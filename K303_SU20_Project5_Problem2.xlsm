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4" codeName="{BFB45374-4EC8-2080-32AF-602F8B743B42}"/>
  <workbookPr codeName="ThisWorkbook"/>
  <mc:AlternateContent xmlns:mc="http://schemas.openxmlformats.org/markup-compatibility/2006">
    <mc:Choice Requires="x15">
      <x15ac:absPath xmlns:x15ac="http://schemas.microsoft.com/office/spreadsheetml/2010/11/ac" url="/Users/raunavsharma/Downloads/"/>
    </mc:Choice>
  </mc:AlternateContent>
  <xr:revisionPtr revIDLastSave="0" documentId="13_ncr:1_{82A85C6E-8E1B-E34F-BF92-6B23C136D834}" xr6:coauthVersionLast="45" xr6:coauthVersionMax="45" xr10:uidLastSave="{00000000-0000-0000-0000-000000000000}"/>
  <bookViews>
    <workbookView xWindow="0" yWindow="0" windowWidth="28800" windowHeight="18000" tabRatio="800" activeTab="6" xr2:uid="{00000000-000D-0000-FFFF-FFFF00000000}"/>
  </bookViews>
  <sheets>
    <sheet name="Documentation" sheetId="7" state="veryHidden" r:id="rId1"/>
    <sheet name="Historical returns" sheetId="11" state="veryHidden" r:id="rId2"/>
    <sheet name="Model and simulation" sheetId="12" state="veryHidden" r:id="rId3"/>
    <sheet name="Combo box back end" sheetId="14" state="veryHidden" r:id="rId4"/>
    <sheet name="Simulation results" sheetId="16" state="veryHidden" r:id="rId5"/>
    <sheet name="Question options" sheetId="17" state="veryHidden" r:id="rId6"/>
    <sheet name="." sheetId="8" r:id="rId7"/>
    <sheet name="Times" sheetId="9" state="veryHidden" r:id="rId8"/>
    <sheet name="IDSheet" sheetId="10" state="veryHidden" r:id="rId9"/>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 hidden="1">'Model and simulation'!$D$9:$F$18</definedName>
    <definedName name="_PalDV_1287484137" hidden="1">#REF!</definedName>
    <definedName name="_PalDV_1951079581" hidden="1">#REF!</definedName>
    <definedName name="_PalDV_224669081" hidden="1">#REF!</definedName>
    <definedName name="_xlchart.v1.0" hidden="1">'Simulation results'!$B$10:$J$10</definedName>
    <definedName name="_xlchart.v1.1" hidden="1">'Simulation results'!$B$11:$J$11</definedName>
    <definedName name="_xlchart.v1.10" hidden="1">'Simulation results'!$B$6:$J$6</definedName>
    <definedName name="_xlchart.v1.11" hidden="1">'Simulation results'!$B$7:$J$7</definedName>
    <definedName name="_xlchart.v1.12" hidden="1">'Simulation results'!$B$8:$J$8</definedName>
    <definedName name="_xlchart.v1.13" hidden="1">'Simulation results'!$B$9:$J$9</definedName>
    <definedName name="_xlchart.v1.2" hidden="1">'Simulation results'!$B$12:$J$12</definedName>
    <definedName name="_xlchart.v1.3" hidden="1">'Simulation results'!$B$6:$J$6</definedName>
    <definedName name="_xlchart.v1.4" hidden="1">'Simulation results'!$B$7:$J$7</definedName>
    <definedName name="_xlchart.v1.5" hidden="1">'Simulation results'!$B$8:$J$8</definedName>
    <definedName name="_xlchart.v1.6" hidden="1">'Simulation results'!$B$9:$J$9</definedName>
    <definedName name="_xlchart.v1.7" hidden="1">'Simulation results'!$B$10:$J$10</definedName>
    <definedName name="_xlchart.v1.8" hidden="1">'Simulation results'!$B$11:$J$11</definedName>
    <definedName name="_xlchart.v1.9" hidden="1">'Simulation results'!$B$12:$J$12</definedName>
    <definedName name="Pal_Workbook_GUID" localSheetId="0" hidden="1">"E5IUZ7NZ784FJ4SENL2C18BW"</definedName>
    <definedName name="Pal_Workbook_GUID" hidden="1">"YKPTAKBNB64EXWU1IXZH4S3A"</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231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0</definedName>
    <definedName name="TopRankDefaultStepsPerInput" hidden="1">5</definedName>
    <definedName name="TopRankDetailByInputReport" hidden="1">FALSE</definedName>
    <definedName name="TopRankMaxInputsPerGraph" hidden="1">20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DetailReport" hidden="1">FALSE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TRUE</definedName>
    <definedName name="TopRankReportsInExistingWorkbook" hidden="1">TRUE</definedName>
    <definedName name="TopRankReportsInExistingWorkbookName" hidden="1">"Active Workbook"</definedName>
    <definedName name="TopRankReportsInNewWorkbook" hidden="1">FALSE</definedName>
    <definedName name="TopRankSensitivityGraphs" hidden="1">FALSE</definedName>
    <definedName name="TopRankSingleWorkbookAllResults" hidden="1">TRUE</definedName>
    <definedName name="TopRankSpiderGraphs" hidden="1">FALSE</definedName>
    <definedName name="TopRankTornadoGraphs" hidden="1">TRUE</definedName>
    <definedName name="TopRankUpdateDisplay" hidden="1">FALSE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6" l="1"/>
  <c r="D12" i="16"/>
  <c r="E12" i="16"/>
  <c r="F12" i="16"/>
  <c r="G12" i="16"/>
  <c r="H12" i="16"/>
  <c r="I12" i="16"/>
  <c r="J12" i="16"/>
  <c r="C11" i="16"/>
  <c r="D11" i="16"/>
  <c r="E11" i="16"/>
  <c r="F11" i="16"/>
  <c r="G11" i="16"/>
  <c r="H11" i="16"/>
  <c r="I11" i="16"/>
  <c r="J11" i="16"/>
  <c r="C10" i="16"/>
  <c r="D10" i="16"/>
  <c r="E10" i="16"/>
  <c r="F10" i="16"/>
  <c r="G10" i="16"/>
  <c r="H10" i="16"/>
  <c r="I10" i="16"/>
  <c r="J10" i="16"/>
  <c r="C9" i="16"/>
  <c r="D9" i="16"/>
  <c r="E9" i="16"/>
  <c r="F9" i="16"/>
  <c r="G9" i="16"/>
  <c r="H9" i="16"/>
  <c r="I9" i="16"/>
  <c r="J9" i="16"/>
  <c r="C8" i="16"/>
  <c r="D8" i="16"/>
  <c r="E8" i="16"/>
  <c r="F8" i="16"/>
  <c r="G8" i="16"/>
  <c r="H8" i="16"/>
  <c r="I8" i="16"/>
  <c r="J8" i="16"/>
  <c r="B12" i="16"/>
  <c r="B11" i="16"/>
  <c r="B10" i="16"/>
  <c r="B9" i="16"/>
  <c r="B8" i="16"/>
  <c r="C7" i="16"/>
  <c r="D7" i="16"/>
  <c r="E7" i="16"/>
  <c r="F7" i="16"/>
  <c r="G7" i="16"/>
  <c r="H7" i="16"/>
  <c r="I7" i="16"/>
  <c r="J7" i="16"/>
  <c r="B7" i="16"/>
  <c r="C6" i="16"/>
  <c r="D6" i="16"/>
  <c r="E6" i="16"/>
  <c r="F6" i="16"/>
  <c r="G6" i="16"/>
  <c r="H6" i="16"/>
  <c r="I6" i="16"/>
  <c r="J6" i="16"/>
  <c r="B6" i="16"/>
  <c r="C3" i="16"/>
  <c r="D3" i="16"/>
  <c r="E3" i="16"/>
  <c r="F3" i="16"/>
  <c r="G3" i="16"/>
  <c r="H3" i="16"/>
  <c r="I3" i="16"/>
  <c r="J3" i="16"/>
  <c r="B3" i="16"/>
  <c r="C2" i="16"/>
  <c r="D2" i="16"/>
  <c r="E2" i="16"/>
  <c r="F2" i="16"/>
  <c r="G2" i="16"/>
  <c r="H2" i="16"/>
  <c r="I2" i="16"/>
  <c r="J2" i="16"/>
  <c r="B2" i="16"/>
  <c r="C31" i="12"/>
  <c r="C32" i="12"/>
  <c r="C33" i="12"/>
  <c r="C34" i="12"/>
  <c r="C35" i="12"/>
  <c r="C36" i="12"/>
  <c r="C37" i="12"/>
  <c r="C38" i="12"/>
  <c r="C39" i="12"/>
  <c r="C30" i="12"/>
  <c r="F31" i="12" s="1"/>
  <c r="F24" i="12"/>
  <c r="E24" i="12"/>
  <c r="D24" i="12"/>
  <c r="D44" i="14"/>
  <c r="D7" i="12" s="1"/>
  <c r="C44" i="14"/>
  <c r="D5" i="12" s="1"/>
  <c r="C6" i="7"/>
  <c r="E37" i="12" l="1"/>
  <c r="E36" i="12"/>
  <c r="D30" i="12"/>
  <c r="F35" i="12"/>
  <c r="D38" i="12"/>
  <c r="E30" i="12"/>
  <c r="E33" i="12"/>
  <c r="F34" i="12"/>
  <c r="F38" i="12"/>
  <c r="D32" i="12"/>
  <c r="D31" i="12"/>
  <c r="D37" i="12"/>
  <c r="F30" i="12"/>
  <c r="E32" i="12"/>
  <c r="F33" i="12"/>
  <c r="F36" i="12"/>
  <c r="D39" i="12"/>
  <c r="D36" i="12"/>
  <c r="E39" i="12"/>
  <c r="E31" i="12"/>
  <c r="F32" i="12"/>
  <c r="D34" i="12"/>
  <c r="D33" i="12"/>
  <c r="F37" i="12"/>
  <c r="E35" i="12"/>
  <c r="E34" i="12"/>
  <c r="D35" i="12"/>
  <c r="E38" i="12"/>
  <c r="F39" i="12"/>
  <c r="B30" i="12"/>
  <c r="H3" i="11"/>
  <c r="G3" i="11"/>
  <c r="F3" i="11"/>
  <c r="G30" i="12" l="1"/>
  <c r="B31" i="12" l="1"/>
  <c r="G31" i="12" l="1"/>
  <c r="B32" i="12" s="1"/>
  <c r="G32" i="12" l="1"/>
  <c r="B33" i="12" s="1"/>
  <c r="G33" i="12" l="1"/>
  <c r="B34" i="12" s="1"/>
  <c r="G34" i="12" l="1"/>
  <c r="B35" i="12" s="1"/>
  <c r="G35" i="12" l="1"/>
  <c r="B36" i="12" s="1"/>
  <c r="G36" i="12" l="1"/>
  <c r="B37" i="12" s="1"/>
  <c r="G37" i="12" l="1"/>
  <c r="B38" i="12" s="1"/>
  <c r="G38" i="12" l="1"/>
  <c r="B39" i="12" s="1"/>
  <c r="G39" i="12" s="1"/>
  <c r="I15"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00000000-0006-0000-0100-000001000000}">
      <text>
        <r>
          <rPr>
            <sz val="9"/>
            <color rgb="FF000000"/>
            <rFont val="Tahoma"/>
            <family val="2"/>
          </rPr>
          <t>Data source: http://pages.stern.nyu.edu/~adamodar/New_Home_Page/datafile/histretSP.html</t>
        </r>
      </text>
    </comment>
  </commentList>
</comments>
</file>

<file path=xl/sharedStrings.xml><?xml version="1.0" encoding="utf-8"?>
<sst xmlns="http://schemas.openxmlformats.org/spreadsheetml/2006/main" count="123" uniqueCount="81">
  <si>
    <t>Year</t>
  </si>
  <si>
    <t>Annual Returns on Investments in</t>
  </si>
  <si>
    <t>S&amp;P 500</t>
  </si>
  <si>
    <t>T. Bonds</t>
  </si>
  <si>
    <t>Portfolio weights</t>
  </si>
  <si>
    <t>Beginning cash</t>
  </si>
  <si>
    <t>Historical scenario</t>
  </si>
  <si>
    <t>Returns</t>
  </si>
  <si>
    <t>Ending cash</t>
  </si>
  <si>
    <t>Strategy</t>
  </si>
  <si>
    <t>Selected strategy</t>
  </si>
  <si>
    <t>Simulation</t>
  </si>
  <si>
    <t>Annual deposit</t>
  </si>
  <si>
    <t>Initial balance</t>
  </si>
  <si>
    <t>Mean</t>
  </si>
  <si>
    <t>St dev</t>
  </si>
  <si>
    <t>Percentiles</t>
  </si>
  <si>
    <t>There is no discernable pattern.</t>
  </si>
  <si>
    <t>T. Bills</t>
  </si>
  <si>
    <t>K303 - Project 5</t>
  </si>
  <si>
    <t>Username:</t>
  </si>
  <si>
    <t>Class Number:</t>
  </si>
  <si>
    <t>Prepared by:</t>
  </si>
  <si>
    <t>Lab Instructor's Name:</t>
  </si>
  <si>
    <t>Today is:</t>
  </si>
  <si>
    <t>Please Enable Macros</t>
  </si>
  <si>
    <t>Username</t>
  </si>
  <si>
    <t>Class #</t>
  </si>
  <si>
    <t>Semester</t>
  </si>
  <si>
    <t>GP #</t>
  </si>
  <si>
    <t>Started</t>
  </si>
  <si>
    <t>Stopped</t>
  </si>
  <si>
    <t>Pts Earned</t>
  </si>
  <si>
    <t>Excel Version</t>
  </si>
  <si>
    <t>Documenation Username</t>
  </si>
  <si>
    <t>OS Version</t>
  </si>
  <si>
    <t>File Size On Open</t>
  </si>
  <si>
    <t>File Size On Close</t>
  </si>
  <si>
    <t>Filepath On Open</t>
  </si>
  <si>
    <t>Filepath On Close</t>
  </si>
  <si>
    <t>Classname</t>
  </si>
  <si>
    <t># of Attempts</t>
  </si>
  <si>
    <t>Average annual returns</t>
  </si>
  <si>
    <t>Set behavior:</t>
  </si>
  <si>
    <t>(0 = static; 1 = probabilistic)</t>
  </si>
  <si>
    <t>x</t>
  </si>
  <si>
    <t>Analysis questions</t>
  </si>
  <si>
    <t>Input ranges</t>
  </si>
  <si>
    <t>Cell links</t>
  </si>
  <si>
    <t>Allocation strategy</t>
  </si>
  <si>
    <t>Choose from the options below.</t>
  </si>
  <si>
    <t>Strategy 1</t>
  </si>
  <si>
    <t>Strategy 2</t>
  </si>
  <si>
    <t>Strategy 3</t>
  </si>
  <si>
    <t>Strategy 4</t>
  </si>
  <si>
    <t>Strategy 5</t>
  </si>
  <si>
    <t>Strategy 6</t>
  </si>
  <si>
    <t>Strategy 7</t>
  </si>
  <si>
    <t>Strategy 8</t>
  </si>
  <si>
    <t>Strategy 9</t>
  </si>
  <si>
    <t>Strategies that provide better mean performance also come with more volatility.</t>
  </si>
  <si>
    <t>When volatility increases, mean performance decreases.</t>
  </si>
  <si>
    <t>(1) Scan the simulation statistics, comparing results for the nine strategies. What kind of pattern emerges?</t>
  </si>
  <si>
    <r>
      <t xml:space="preserve">(5) One potential problem with using standard deviation as a measure of risk is that standard deviation does not communicate the </t>
    </r>
    <r>
      <rPr>
        <i/>
        <sz val="11"/>
        <rFont val="Calibri"/>
        <family val="2"/>
        <scheme val="minor"/>
      </rPr>
      <t>direction</t>
    </r>
    <r>
      <rPr>
        <sz val="11"/>
        <rFont val="Calibri"/>
        <family val="2"/>
        <scheme val="minor"/>
      </rPr>
      <t xml:space="preserve"> of the spread around the mean. What effect does this have in the context of this investment example?</t>
    </r>
  </si>
  <si>
    <t>All high deviation is seen as good.</t>
  </si>
  <si>
    <t>All high deviation is seen as bad/risky, but high deviation that exists because of pronounced right skewness may be advantageous.</t>
  </si>
  <si>
    <t>All high deviation is seen as bad/risky, but high deviation that exists because of pronounced left skewness may be advantageous.</t>
  </si>
  <si>
    <r>
      <t xml:space="preserve">Data table corner cell </t>
    </r>
    <r>
      <rPr>
        <sz val="11"/>
        <color theme="1"/>
        <rFont val="Calibri"/>
        <family val="2"/>
      </rPr>
      <t>→</t>
    </r>
  </si>
  <si>
    <t>(2) Say an investor is strongly focused on value, which is often thought of as return (mean performance) per unit of risk (standard deviation). Which of the nine strategies considered here delivers the most value? (Press F9 a few times as you consider the results.)</t>
  </si>
  <si>
    <r>
      <t xml:space="preserve">(3) Again thinking of value as return per unit of risk, which of the nine strategies delivers the </t>
    </r>
    <r>
      <rPr>
        <i/>
        <sz val="11"/>
        <color theme="1"/>
        <rFont val="Calibri"/>
        <family val="2"/>
        <scheme val="minor"/>
      </rPr>
      <t>least</t>
    </r>
    <r>
      <rPr>
        <sz val="11"/>
        <color theme="1"/>
        <rFont val="Calibri"/>
        <family val="2"/>
        <scheme val="minor"/>
      </rPr>
      <t xml:space="preserve"> value?  (Press F9 a few times as you consider the results.)</t>
    </r>
  </si>
  <si>
    <r>
      <t xml:space="preserve">(4) Say the cafe owners can comfortably manage an initial balance of 1000 and annual deposits of 1200. (First double-check to make sure the relevant values in the model are set to these levels.) At the end of the ten years, they would like to go on an elaborate coffee tour of Central and South America. For this, they will need to achieve an ending balance of 20000. You should find that five of the investment strategies under consideration give close to a 50% chance (or even better) of an ending balance of at least 20000. Now </t>
    </r>
    <r>
      <rPr>
        <b/>
        <sz val="11"/>
        <rFont val="Calibri"/>
        <family val="2"/>
        <scheme val="minor"/>
      </rPr>
      <t>also</t>
    </r>
    <r>
      <rPr>
        <sz val="11"/>
        <rFont val="Calibri"/>
        <family val="2"/>
        <scheme val="minor"/>
      </rPr>
      <t xml:space="preserve"> consider that if the ending balance is less than 13000, it will mean that they haven't grown their investments at all. (1000 + 10*1200 = 13000). They require a roughly 50% chance or better of being able to go on the coffee tour. They also want to nearly eliminate the chance that they end with less than they put into the account. </t>
    </r>
    <r>
      <rPr>
        <b/>
        <sz val="11"/>
        <rFont val="Calibri"/>
        <family val="2"/>
        <scheme val="minor"/>
      </rPr>
      <t>Which of the strategies aligns best with these two objectives?</t>
    </r>
    <r>
      <rPr>
        <sz val="11"/>
        <rFont val="Calibri"/>
        <family val="2"/>
        <scheme val="minor"/>
      </rPr>
      <t xml:space="preserve"> (You might want to press F9 a few times as you consider the results.)</t>
    </r>
  </si>
  <si>
    <t>The question doesn't have an answer because the pattern changes substantially with each recalculation.</t>
  </si>
  <si>
    <t>Problem 2</t>
  </si>
  <si>
    <t>Spring 2020</t>
  </si>
  <si>
    <t>5a</t>
  </si>
  <si>
    <t>RASHAR</t>
  </si>
  <si>
    <t>P5c</t>
  </si>
  <si>
    <t>Macintosh (Intel) Version 10.15.4 (Build 19E287)</t>
  </si>
  <si>
    <t>/Users/raunavsharma/Downloads\K303_SU20_Project5_Problem2.xlsm</t>
  </si>
  <si>
    <t>Raunav Sharma</t>
  </si>
  <si>
    <t>Taryn Malher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</si>
</sst>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
    <numFmt numFmtId="166" formatCode="_(* #,##0_);_(* \(#,##0\);_(* &quot;-&quot;??_);_(@_)"/>
    <numFmt numFmtId="169" formatCode="_(* #,##0.0_);_(* \(#,##0.0\);_(* &quot;-&quot;??_);_(@_)"/>
  </numFmts>
  <fonts count="21">
    <font>
      <sz val="11"/>
      <color theme="1"/>
      <name val="Calibri"/>
      <family val="2"/>
      <scheme val="minor"/>
    </font>
    <font>
      <sz val="11"/>
      <color theme="1"/>
      <name val="Calibri"/>
      <family val="2"/>
      <scheme val="minor"/>
    </font>
    <font>
      <b/>
      <sz val="11"/>
      <color theme="1"/>
      <name val="Calibri"/>
      <family val="2"/>
      <scheme val="minor"/>
    </font>
    <font>
      <b/>
      <sz val="15"/>
      <color theme="3"/>
      <name val="Calibri"/>
      <family val="2"/>
      <scheme val="minor"/>
    </font>
    <font>
      <sz val="11"/>
      <color theme="0"/>
      <name val="Calibri"/>
      <family val="2"/>
      <scheme val="minor"/>
    </font>
    <font>
      <b/>
      <sz val="14"/>
      <name val="Calibri"/>
      <family val="2"/>
      <scheme val="minor"/>
    </font>
    <font>
      <sz val="14"/>
      <color theme="1"/>
      <name val="Calibri"/>
      <family val="2"/>
      <scheme val="minor"/>
    </font>
    <font>
      <b/>
      <sz val="14"/>
      <color theme="3"/>
      <name val="Calibri"/>
      <family val="2"/>
      <scheme val="minor"/>
    </font>
    <font>
      <sz val="10"/>
      <name val="MS Sans Serif"/>
      <family val="2"/>
    </font>
    <font>
      <sz val="11"/>
      <name val="Calibri"/>
      <family val="2"/>
      <scheme val="minor"/>
    </font>
    <font>
      <sz val="11"/>
      <color indexed="8"/>
      <name val="Calibri"/>
      <family val="2"/>
      <scheme val="minor"/>
    </font>
    <font>
      <sz val="11"/>
      <color rgb="FF9C6500"/>
      <name val="Calibri"/>
      <family val="2"/>
      <scheme val="minor"/>
    </font>
    <font>
      <sz val="11"/>
      <color rgb="FFFFFFFF"/>
      <name val="Calibri"/>
      <family val="2"/>
      <scheme val="minor"/>
    </font>
    <font>
      <sz val="11"/>
      <color rgb="FFFF0000"/>
      <name val="Calibri"/>
      <family val="2"/>
      <scheme val="minor"/>
    </font>
    <font>
      <sz val="11"/>
      <color rgb="FF9C0006"/>
      <name val="Calibri"/>
      <family val="2"/>
      <scheme val="minor"/>
    </font>
    <font>
      <b/>
      <sz val="11"/>
      <name val="Calibri"/>
      <family val="2"/>
      <scheme val="minor"/>
    </font>
    <font>
      <i/>
      <sz val="11"/>
      <name val="Calibri"/>
      <family val="2"/>
      <scheme val="minor"/>
    </font>
    <font>
      <sz val="11"/>
      <color theme="1"/>
      <name val="Calibri"/>
      <family val="2"/>
    </font>
    <font>
      <i/>
      <sz val="11"/>
      <color theme="1"/>
      <name val="Calibri"/>
      <family val="2"/>
      <scheme val="minor"/>
    </font>
    <font>
      <b/>
      <sz val="12"/>
      <color theme="0"/>
      <name val="Calibri"/>
      <family val="2"/>
      <scheme val="minor"/>
    </font>
    <font>
      <sz val="9"/>
      <color rgb="FF000000"/>
      <name val="Tahoma"/>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EB9C"/>
      </patternFill>
    </fill>
    <fill>
      <patternFill patternType="solid">
        <fgColor rgb="FFFFC7CE"/>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indexed="10"/>
        <bgColor indexed="64"/>
      </patternFill>
    </fill>
    <fill>
      <patternFill patternType="solid">
        <fgColor rgb="FFA5A5A5"/>
      </patternFill>
    </fill>
    <fill>
      <patternFill patternType="solid">
        <fgColor theme="9" tint="0.59999389629810485"/>
        <bgColor indexed="64"/>
      </patternFill>
    </fill>
    <fill>
      <patternFill patternType="solid">
        <fgColor theme="8" tint="0.59999389629810485"/>
        <bgColor indexed="64"/>
      </patternFill>
    </fill>
  </fills>
  <borders count="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medium">
        <color indexed="64"/>
      </bottom>
      <diagonal/>
    </border>
    <border>
      <left/>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4" applyNumberFormat="0" applyFill="0" applyAlignment="0" applyProtection="0"/>
    <xf numFmtId="0" fontId="8" fillId="0" borderId="0"/>
    <xf numFmtId="0" fontId="11" fillId="4" borderId="0" applyNumberFormat="0" applyBorder="0" applyAlignment="0" applyProtection="0"/>
    <xf numFmtId="0" fontId="14" fillId="5" borderId="0" applyNumberFormat="0" applyBorder="0" applyAlignment="0" applyProtection="0"/>
    <xf numFmtId="0" fontId="19" fillId="10" borderId="7" applyNumberFormat="0" applyAlignment="0" applyProtection="0"/>
  </cellStyleXfs>
  <cellXfs count="49">
    <xf numFmtId="0" fontId="0" fillId="0" borderId="0" xfId="0"/>
    <xf numFmtId="164" fontId="0" fillId="0" borderId="0" xfId="0" applyNumberFormat="1"/>
    <xf numFmtId="0" fontId="0" fillId="0" borderId="1" xfId="0" applyBorder="1"/>
    <xf numFmtId="9" fontId="0" fillId="0" borderId="0" xfId="1" applyFont="1"/>
    <xf numFmtId="1" fontId="0" fillId="0" borderId="0" xfId="1" applyNumberFormat="1" applyFont="1"/>
    <xf numFmtId="166" fontId="0" fillId="0" borderId="0" xfId="2" applyNumberFormat="1" applyFont="1"/>
    <xf numFmtId="166" fontId="0" fillId="0" borderId="0" xfId="0" applyNumberFormat="1"/>
    <xf numFmtId="166" fontId="0" fillId="0" borderId="2" xfId="2" applyNumberFormat="1" applyFont="1" applyBorder="1"/>
    <xf numFmtId="0" fontId="0" fillId="2" borderId="2" xfId="0" applyFill="1" applyBorder="1"/>
    <xf numFmtId="0" fontId="2" fillId="0" borderId="1" xfId="0" applyFont="1" applyBorder="1"/>
    <xf numFmtId="0" fontId="2" fillId="0" borderId="0" xfId="0" applyFont="1"/>
    <xf numFmtId="165" fontId="0" fillId="0" borderId="0" xfId="0" applyNumberFormat="1"/>
    <xf numFmtId="0" fontId="4" fillId="3" borderId="0" xfId="0" applyFont="1" applyFill="1"/>
    <xf numFmtId="0" fontId="3" fillId="0" borderId="4" xfId="3"/>
    <xf numFmtId="22" fontId="0" fillId="0" borderId="0" xfId="0" applyNumberFormat="1"/>
    <xf numFmtId="0" fontId="0" fillId="0" borderId="2" xfId="0" applyBorder="1"/>
    <xf numFmtId="0" fontId="4" fillId="0" borderId="0" xfId="0" applyFont="1"/>
    <xf numFmtId="0" fontId="12" fillId="0" borderId="0" xfId="0" applyFont="1"/>
    <xf numFmtId="22" fontId="12" fillId="0" borderId="0" xfId="0" applyNumberFormat="1" applyFont="1"/>
    <xf numFmtId="9" fontId="9" fillId="0" borderId="2" xfId="5" applyNumberFormat="1" applyFont="1" applyFill="1" applyBorder="1"/>
    <xf numFmtId="10" fontId="0" fillId="0" borderId="0" xfId="1" applyNumberFormat="1" applyFont="1"/>
    <xf numFmtId="10" fontId="0" fillId="0" borderId="0" xfId="0" applyNumberFormat="1"/>
    <xf numFmtId="0" fontId="9" fillId="0" borderId="0" xfId="0" applyFont="1"/>
    <xf numFmtId="0" fontId="0" fillId="6" borderId="0" xfId="0" applyFill="1"/>
    <xf numFmtId="43" fontId="0" fillId="0" borderId="2" xfId="2" applyFont="1" applyBorder="1"/>
    <xf numFmtId="0" fontId="0" fillId="0" borderId="0" xfId="0" applyAlignment="1">
      <alignment horizontal="right"/>
    </xf>
    <xf numFmtId="0" fontId="0" fillId="8" borderId="0" xfId="0" applyFill="1"/>
    <xf numFmtId="0" fontId="2" fillId="8" borderId="0" xfId="0" applyFont="1" applyFill="1" applyAlignment="1">
      <alignment horizontal="right"/>
    </xf>
    <xf numFmtId="0" fontId="13" fillId="8" borderId="3" xfId="4" applyFont="1" applyFill="1" applyBorder="1" applyAlignment="1">
      <alignment horizontal="left"/>
    </xf>
    <xf numFmtId="0" fontId="9" fillId="8" borderId="3" xfId="4" applyFont="1" applyFill="1" applyBorder="1" applyAlignment="1">
      <alignment horizontal="left"/>
    </xf>
    <xf numFmtId="0" fontId="10" fillId="8" borderId="2" xfId="4" applyFont="1" applyFill="1" applyBorder="1" applyAlignment="1">
      <alignment horizontal="left"/>
    </xf>
    <xf numFmtId="0" fontId="9" fillId="8" borderId="2" xfId="4" applyFont="1" applyFill="1" applyBorder="1" applyAlignment="1">
      <alignment horizontal="left"/>
    </xf>
    <xf numFmtId="14" fontId="10" fillId="8" borderId="2" xfId="4" applyNumberFormat="1" applyFont="1" applyFill="1" applyBorder="1" applyAlignment="1">
      <alignment horizontal="left"/>
    </xf>
    <xf numFmtId="0" fontId="5" fillId="8" borderId="0" xfId="0" applyFont="1" applyFill="1"/>
    <xf numFmtId="0" fontId="6" fillId="8" borderId="0" xfId="0" applyFont="1" applyFill="1"/>
    <xf numFmtId="0" fontId="4" fillId="9" borderId="0" xfId="0" applyFont="1" applyFill="1"/>
    <xf numFmtId="0" fontId="0" fillId="9" borderId="0" xfId="0" applyFill="1"/>
    <xf numFmtId="0" fontId="7" fillId="8" borderId="5" xfId="3" applyFont="1" applyFill="1" applyBorder="1" applyAlignment="1">
      <alignment horizontal="left" vertical="top" wrapText="1"/>
    </xf>
    <xf numFmtId="0" fontId="9" fillId="0" borderId="6" xfId="0" applyFont="1" applyBorder="1" applyAlignment="1">
      <alignment horizontal="left" wrapText="1"/>
    </xf>
    <xf numFmtId="0" fontId="0" fillId="7" borderId="6" xfId="0" applyFill="1" applyBorder="1" applyAlignment="1">
      <alignment horizontal="left" wrapText="1"/>
    </xf>
    <xf numFmtId="0" fontId="0" fillId="0" borderId="1" xfId="0" applyBorder="1" applyAlignment="1">
      <alignment horizontal="left" wrapText="1"/>
    </xf>
    <xf numFmtId="0" fontId="0" fillId="7" borderId="1" xfId="0" applyFill="1" applyBorder="1" applyAlignment="1">
      <alignment horizontal="left" wrapText="1"/>
    </xf>
    <xf numFmtId="0" fontId="0" fillId="0" borderId="6" xfId="0" applyBorder="1" applyAlignment="1">
      <alignment horizontal="left" wrapText="1"/>
    </xf>
    <xf numFmtId="0" fontId="0" fillId="11" borderId="0" xfId="0" applyFill="1"/>
    <xf numFmtId="169" fontId="0" fillId="0" borderId="0" xfId="0" applyNumberFormat="1"/>
    <xf numFmtId="0" fontId="14" fillId="5" borderId="2" xfId="6" applyBorder="1"/>
    <xf numFmtId="9" fontId="0" fillId="12" borderId="0" xfId="1" applyFont="1" applyFill="1"/>
    <xf numFmtId="166" fontId="0" fillId="12" borderId="2" xfId="2" applyNumberFormat="1" applyFont="1" applyFill="1" applyBorder="1"/>
    <xf numFmtId="169" fontId="19" fillId="10" borderId="7" xfId="7" applyNumberFormat="1"/>
  </cellXfs>
  <cellStyles count="8">
    <cellStyle name="Bad" xfId="6" builtinId="27"/>
    <cellStyle name="Check Cell" xfId="7" builtinId="23"/>
    <cellStyle name="Comma" xfId="2" builtinId="3"/>
    <cellStyle name="Heading 1" xfId="3" builtinId="16"/>
    <cellStyle name="Neutral" xfId="5" builtinId="28"/>
    <cellStyle name="Normal" xfId="0" builtinId="0"/>
    <cellStyle name="Normal 2 2" xfId="4" xr:uid="{00000000-0005-0000-0000-000005000000}"/>
    <cellStyle name="Percent" xfId="1"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_xlchart.v1.3</cx:f>
      </cx:numDim>
    </cx:data>
    <cx:data id="1">
      <cx:numDim type="val">
        <cx:f dir="row">_xlchart.v1.4</cx:f>
      </cx:numDim>
    </cx:data>
    <cx:data id="2">
      <cx:numDim type="val">
        <cx:f dir="row">_xlchart.v1.5</cx:f>
      </cx:numDim>
    </cx:data>
    <cx:data id="3">
      <cx:numDim type="val">
        <cx:f dir="row">_xlchart.v1.6</cx:f>
      </cx:numDim>
    </cx:data>
    <cx:data id="4">
      <cx:numDim type="val">
        <cx:f dir="row">_xlchart.v1.0</cx:f>
      </cx:numDim>
    </cx:data>
    <cx:data id="5">
      <cx:numDim type="val">
        <cx:f dir="row">_xlchart.v1.1</cx:f>
      </cx:numDim>
    </cx:data>
    <cx:data id="6">
      <cx:numDim type="val">
        <cx:f dir="row">_xlchart.v1.2</cx:f>
      </cx:numDim>
    </cx:data>
  </cx:chartData>
  <cx:chart>
    <cx:plotArea>
      <cx:plotAreaRegion>
        <cx:series layoutId="boxWhisker" uniqueId="{F5A53E96-5257-4042-9CDC-277B4E4EF501}">
          <cx:dataId val="0"/>
          <cx:layoutPr>
            <cx:visibility meanLine="0" meanMarker="1" nonoutliers="0" outliers="1"/>
            <cx:statistics quartileMethod="exclusive"/>
          </cx:layoutPr>
        </cx:series>
        <cx:series layoutId="boxWhisker" uniqueId="{2DE847CA-26B6-7642-B70B-72DE0F961074}">
          <cx:dataId val="1"/>
          <cx:layoutPr>
            <cx:visibility meanLine="0" meanMarker="1" nonoutliers="0" outliers="1"/>
            <cx:statistics quartileMethod="exclusive"/>
          </cx:layoutPr>
        </cx:series>
        <cx:series layoutId="boxWhisker" uniqueId="{09985092-AC62-8B4E-8051-CAD28F733AF5}">
          <cx:dataId val="2"/>
          <cx:layoutPr>
            <cx:visibility meanLine="0" meanMarker="1" nonoutliers="0" outliers="1"/>
            <cx:statistics quartileMethod="exclusive"/>
          </cx:layoutPr>
        </cx:series>
        <cx:series layoutId="boxWhisker" uniqueId="{187884A4-9146-5248-8D27-1B67DDCEAAE3}">
          <cx:dataId val="3"/>
          <cx:layoutPr>
            <cx:visibility meanLine="0" meanMarker="1" nonoutliers="0" outliers="1"/>
            <cx:statistics quartileMethod="exclusive"/>
          </cx:layoutPr>
        </cx:series>
        <cx:series layoutId="boxWhisker" uniqueId="{E74C838B-2317-EB40-AF90-1A2021F5F12C}">
          <cx:dataId val="4"/>
          <cx:layoutPr>
            <cx:visibility meanLine="0" meanMarker="1" nonoutliers="0" outliers="1"/>
            <cx:statistics quartileMethod="exclusive"/>
          </cx:layoutPr>
        </cx:series>
        <cx:series layoutId="boxWhisker" uniqueId="{FCC8298D-2EC9-7A44-A002-D3DD5F1B0B06}">
          <cx:dataId val="5"/>
          <cx:layoutPr>
            <cx:visibility meanLine="0" meanMarker="1" nonoutliers="0" outliers="1"/>
            <cx:statistics quartileMethod="exclusive"/>
          </cx:layoutPr>
        </cx:series>
        <cx:series layoutId="boxWhisker" uniqueId="{4A902F1A-4131-A141-A3D4-B1E285DC155D}">
          <cx:dataId val="6"/>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Style="combo" dx="15" fmlaLink="'Combo box back end'!$A$12" fmlaRange="'Combo box back end'!$A$3:$A$8" noThreeD="1" sel="2" val="0"/>
</file>

<file path=xl/ctrlProps/ctrlProp2.xml><?xml version="1.0" encoding="utf-8"?>
<formControlPr xmlns="http://schemas.microsoft.com/office/spreadsheetml/2009/9/main" objectType="Drop" dropStyle="combo" dx="15" fmlaLink="'Combo box back end'!$B$12" fmlaRange="'Combo box back end'!$B$3:$B$6" noThreeD="1" sel="2" val="0"/>
</file>

<file path=xl/ctrlProps/ctrlProp3.xml><?xml version="1.0" encoding="utf-8"?>
<formControlPr xmlns="http://schemas.microsoft.com/office/spreadsheetml/2009/9/main" objectType="Spin" dx="15" fmlaLink="$D$21" max="9" min="1" page="10" val="9"/>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0</xdr:rowOff>
    </xdr:from>
    <xdr:to>
      <xdr:col>8</xdr:col>
      <xdr:colOff>66675</xdr:colOff>
      <xdr:row>28</xdr:row>
      <xdr:rowOff>152401</xdr:rowOff>
    </xdr:to>
    <xdr:sp macro="" textlink="">
      <xdr:nvSpPr>
        <xdr:cNvPr id="2" name="TextBox 1">
          <a:extLst>
            <a:ext uri="{FF2B5EF4-FFF2-40B4-BE49-F238E27FC236}">
              <a16:creationId xmlns:a16="http://schemas.microsoft.com/office/drawing/2014/main" id="{D638EE54-4535-4004-A8DF-DB2E8FE019B2}"/>
            </a:ext>
          </a:extLst>
        </xdr:cNvPr>
        <xdr:cNvSpPr txBox="1"/>
      </xdr:nvSpPr>
      <xdr:spPr>
        <a:xfrm>
          <a:off x="1200150" y="1866900"/>
          <a:ext cx="5124450" cy="3771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u="sng">
              <a:solidFill>
                <a:srgbClr val="FF0000"/>
              </a:solidFill>
              <a:effectLst/>
              <a:latin typeface="+mn-lt"/>
              <a:ea typeface="+mn-ea"/>
              <a:cs typeface="+mn-cs"/>
            </a:rPr>
            <a:t>Every</a:t>
          </a:r>
          <a:r>
            <a:rPr lang="en-US" sz="1100" u="sng" baseline="0">
              <a:solidFill>
                <a:srgbClr val="FF0000"/>
              </a:solidFill>
              <a:effectLst/>
              <a:latin typeface="+mn-lt"/>
              <a:ea typeface="+mn-ea"/>
              <a:cs typeface="+mn-cs"/>
            </a:rPr>
            <a:t> time this file opens</a:t>
          </a:r>
          <a:r>
            <a:rPr lang="en-US" sz="1100" baseline="0">
              <a:solidFill>
                <a:srgbClr val="FF0000"/>
              </a:solidFill>
              <a:effectLst/>
              <a:latin typeface="+mn-lt"/>
              <a:ea typeface="+mn-ea"/>
              <a:cs typeface="+mn-cs"/>
            </a:rPr>
            <a:t>,</a:t>
          </a:r>
          <a:r>
            <a:rPr lang="en-US" sz="1100" baseline="0">
              <a:solidFill>
                <a:schemeClr val="dk1"/>
              </a:solidFill>
              <a:effectLst/>
              <a:latin typeface="+mn-lt"/>
              <a:ea typeface="+mn-ea"/>
              <a:cs typeface="+mn-cs"/>
            </a:rPr>
            <a:t> it will set Excel's Calculation Options to Automatic Except for Data Tables.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is to reduce problems (including crashing) caused by having multiple data tables running at once.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Suggestion--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(1) Make sure that this is the only Excel file open (or at least the only one that contains a data table.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(2) O</a:t>
          </a:r>
          <a:r>
            <a:rPr lang="en-US" sz="1100">
              <a:solidFill>
                <a:schemeClr val="dk1"/>
              </a:solidFill>
              <a:effectLst/>
              <a:latin typeface="+mn-lt"/>
              <a:ea typeface="+mn-ea"/>
              <a:cs typeface="+mn-cs"/>
            </a:rPr>
            <a:t>n Excel’s Formulas tab, locate the Calculation Options</a:t>
          </a:r>
          <a:r>
            <a:rPr lang="en-US" sz="1100" baseline="0">
              <a:solidFill>
                <a:schemeClr val="dk1"/>
              </a:solidFill>
              <a:effectLst/>
              <a:latin typeface="+mn-lt"/>
              <a:ea typeface="+mn-ea"/>
              <a:cs typeface="+mn-cs"/>
            </a:rPr>
            <a:t> drop-down</a:t>
          </a:r>
          <a:r>
            <a:rPr lang="en-US" sz="1100">
              <a:solidFill>
                <a:schemeClr val="dk1"/>
              </a:solidFill>
              <a:effectLst/>
              <a:latin typeface="+mn-lt"/>
              <a:ea typeface="+mn-ea"/>
              <a:cs typeface="+mn-cs"/>
            </a:rPr>
            <a:t> (towards the right) and set calculation to Automatic.</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(3) Realize that</a:t>
          </a:r>
          <a:r>
            <a:rPr lang="en-US" sz="1100" baseline="0">
              <a:solidFill>
                <a:schemeClr val="dk1"/>
              </a:solidFill>
              <a:effectLst/>
              <a:latin typeface="+mn-lt"/>
              <a:ea typeface="+mn-ea"/>
              <a:cs typeface="+mn-cs"/>
            </a:rPr>
            <a:t> if you close and then re-open the file, you will need to repeat this process.</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Or,</a:t>
          </a:r>
          <a:r>
            <a:rPr lang="en-US" sz="1100" baseline="0">
              <a:solidFill>
                <a:schemeClr val="dk1"/>
              </a:solidFill>
              <a:effectLst/>
              <a:latin typeface="+mn-lt"/>
              <a:ea typeface="+mn-ea"/>
              <a:cs typeface="+mn-cs"/>
            </a:rPr>
            <a:t> a</a:t>
          </a:r>
          <a:r>
            <a:rPr lang="en-US" sz="1100">
              <a:solidFill>
                <a:schemeClr val="dk1"/>
              </a:solidFill>
              <a:effectLst/>
              <a:latin typeface="+mn-lt"/>
              <a:ea typeface="+mn-ea"/>
              <a:cs typeface="+mn-cs"/>
            </a:rPr>
            <a:t>lternatively--</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You can leave the calculation setting as it is, and instead trigger calculation manually. Since the reason for doing this is usually to improve performance, you might want to recalculate only the sheet that contains the data table. Here's how--</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(1) Navigate to the sheet with the data table.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(2) Press Shift + F9. This triggers a recalculation of the active worksheet only.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441139</xdr:colOff>
      <xdr:row>0</xdr:row>
      <xdr:rowOff>129056</xdr:rowOff>
    </xdr:from>
    <xdr:to>
      <xdr:col>15</xdr:col>
      <xdr:colOff>878542</xdr:colOff>
      <xdr:row>4</xdr:row>
      <xdr:rowOff>117850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9136904" y="129056"/>
          <a:ext cx="5427756" cy="765735"/>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600"/>
            <a:t>Warning: Do not insert rows or</a:t>
          </a:r>
          <a:r>
            <a:rPr lang="en-US" sz="1600" baseline="0"/>
            <a:t> columns, or otherwise move any of the content on this worksheet.</a:t>
          </a:r>
          <a:endParaRPr lang="en-US" sz="1600"/>
        </a:p>
      </xdr:txBody>
    </xdr:sp>
    <xdr:clientData/>
  </xdr:twoCellAnchor>
  <mc:AlternateContent xmlns:mc="http://schemas.openxmlformats.org/markup-compatibility/2006">
    <mc:Choice xmlns:a14="http://schemas.microsoft.com/office/drawing/2010/main" Requires="a14">
      <xdr:twoCellAnchor editAs="oneCell">
        <xdr:from>
          <xdr:col>3</xdr:col>
          <xdr:colOff>21166</xdr:colOff>
          <xdr:row>4</xdr:row>
          <xdr:rowOff>0</xdr:rowOff>
        </xdr:from>
        <xdr:to>
          <xdr:col>4</xdr:col>
          <xdr:colOff>16933</xdr:colOff>
          <xdr:row>4</xdr:row>
          <xdr:rowOff>186267</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EA5115B9-46E6-F347-99EA-D2F8AEE8DBF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4233</xdr:colOff>
          <xdr:row>6</xdr:row>
          <xdr:rowOff>0</xdr:rowOff>
        </xdr:from>
        <xdr:to>
          <xdr:col>4</xdr:col>
          <xdr:colOff>8467</xdr:colOff>
          <xdr:row>7</xdr:row>
          <xdr:rowOff>1114</xdr:rowOff>
        </xdr:to>
        <xdr:sp macro="" textlink="">
          <xdr:nvSpPr>
            <xdr:cNvPr id="3074" name="Drop Down 2" hidden="1">
              <a:extLst>
                <a:ext uri="{63B3BB69-23CF-44E3-9099-C40C66FF867C}">
                  <a14:compatExt spid="_x0000_s3074"/>
                </a:ext>
                <a:ext uri="{FF2B5EF4-FFF2-40B4-BE49-F238E27FC236}">
                  <a16:creationId xmlns:a16="http://schemas.microsoft.com/office/drawing/2014/main" id="{C6483C95-09EB-5949-A95C-56896053A0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16933</xdr:colOff>
          <xdr:row>20</xdr:row>
          <xdr:rowOff>8467</xdr:rowOff>
        </xdr:from>
        <xdr:to>
          <xdr:col>4</xdr:col>
          <xdr:colOff>431800</xdr:colOff>
          <xdr:row>20</xdr:row>
          <xdr:rowOff>177799</xdr:rowOff>
        </xdr:to>
        <xdr:sp macro="" textlink="">
          <xdr:nvSpPr>
            <xdr:cNvPr id="3075" name="Spinner 3" hidden="1">
              <a:extLst>
                <a:ext uri="{63B3BB69-23CF-44E3-9099-C40C66FF867C}">
                  <a14:compatExt spid="_x0000_s3075"/>
                </a:ext>
                <a:ext uri="{FF2B5EF4-FFF2-40B4-BE49-F238E27FC236}">
                  <a16:creationId xmlns:a16="http://schemas.microsoft.com/office/drawing/2014/main" id="{CAC534D9-D4EC-444F-960F-A41DD645605D}"/>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23</xdr:col>
      <xdr:colOff>599108</xdr:colOff>
      <xdr:row>0</xdr:row>
      <xdr:rowOff>115267</xdr:rowOff>
    </xdr:from>
    <xdr:to>
      <xdr:col>32</xdr:col>
      <xdr:colOff>232448</xdr:colOff>
      <xdr:row>3</xdr:row>
      <xdr:rowOff>115266</xdr:rowOff>
    </xdr:to>
    <xdr:sp macro="" textlink="">
      <xdr:nvSpPr>
        <xdr:cNvPr id="2" name="TextBox 1">
          <a:extLst>
            <a:ext uri="{FF2B5EF4-FFF2-40B4-BE49-F238E27FC236}">
              <a16:creationId xmlns:a16="http://schemas.microsoft.com/office/drawing/2014/main" id="{3AF8BCD6-6B81-4DB6-B187-0A64A4BF4C35}"/>
            </a:ext>
          </a:extLst>
        </xdr:cNvPr>
        <xdr:cNvSpPr txBox="1"/>
      </xdr:nvSpPr>
      <xdr:spPr>
        <a:xfrm>
          <a:off x="17955775" y="115267"/>
          <a:ext cx="5679644" cy="579782"/>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200"/>
            <a:t>Warning: Do not insert rows or</a:t>
          </a:r>
          <a:r>
            <a:rPr lang="en-US" sz="1200" baseline="0"/>
            <a:t> columns, or otherwise move any of the content on this worksheet.</a:t>
          </a:r>
          <a:endParaRPr lang="en-US" sz="1200"/>
        </a:p>
      </xdr:txBody>
    </xdr:sp>
    <xdr:clientData/>
  </xdr:twoCellAnchor>
  <xdr:twoCellAnchor editAs="oneCell">
    <xdr:from>
      <xdr:col>19</xdr:col>
      <xdr:colOff>97827</xdr:colOff>
      <xdr:row>4</xdr:row>
      <xdr:rowOff>19694</xdr:rowOff>
    </xdr:from>
    <xdr:to>
      <xdr:col>24</xdr:col>
      <xdr:colOff>497877</xdr:colOff>
      <xdr:row>11</xdr:row>
      <xdr:rowOff>184379</xdr:rowOff>
    </xdr:to>
    <xdr:sp macro="" textlink="">
      <xdr:nvSpPr>
        <xdr:cNvPr id="4" name="TextBox 3">
          <a:extLst>
            <a:ext uri="{FF2B5EF4-FFF2-40B4-BE49-F238E27FC236}">
              <a16:creationId xmlns:a16="http://schemas.microsoft.com/office/drawing/2014/main" id="{583B2DDA-A173-4890-90F2-42C2E56ACBD8}"/>
            </a:ext>
          </a:extLst>
        </xdr:cNvPr>
        <xdr:cNvSpPr txBox="1"/>
      </xdr:nvSpPr>
      <xdr:spPr>
        <a:xfrm>
          <a:off x="14767247" y="792737"/>
          <a:ext cx="3759108" cy="1517512"/>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Place a box-whisker plot representing the distribution of values for the nine strategies over the</a:t>
          </a:r>
          <a:r>
            <a:rPr lang="en-US" sz="1100" baseline="0"/>
            <a:t> shaded</a:t>
          </a:r>
          <a:r>
            <a:rPr lang="en-US" sz="1100"/>
            <a:t> cells.</a:t>
          </a:r>
        </a:p>
        <a:p>
          <a:endParaRPr lang="en-US" sz="1100"/>
        </a:p>
        <a:p>
          <a:r>
            <a:rPr lang="en-US" sz="1100"/>
            <a:t>Delete</a:t>
          </a:r>
          <a:r>
            <a:rPr lang="en-US" sz="1100" baseline="0"/>
            <a:t> the title, and also remove the primary horizontal axis. (You should be left with a very spare-looking box-whisker plot.)</a:t>
          </a:r>
          <a:endParaRPr lang="en-US" sz="1100"/>
        </a:p>
      </xdr:txBody>
    </xdr:sp>
    <xdr:clientData/>
  </xdr:twoCellAnchor>
  <xdr:twoCellAnchor>
    <xdr:from>
      <xdr:col>24</xdr:col>
      <xdr:colOff>548264</xdr:colOff>
      <xdr:row>5</xdr:row>
      <xdr:rowOff>30185</xdr:rowOff>
    </xdr:from>
    <xdr:to>
      <xdr:col>30</xdr:col>
      <xdr:colOff>444454</xdr:colOff>
      <xdr:row>9</xdr:row>
      <xdr:rowOff>185346</xdr:rowOff>
    </xdr:to>
    <xdr:sp macro="" textlink="">
      <xdr:nvSpPr>
        <xdr:cNvPr id="5" name="TextBox 4">
          <a:extLst>
            <a:ext uri="{FF2B5EF4-FFF2-40B4-BE49-F238E27FC236}">
              <a16:creationId xmlns:a16="http://schemas.microsoft.com/office/drawing/2014/main" id="{547DBA92-B3B5-467C-8AD9-96BBD555FECB}"/>
            </a:ext>
          </a:extLst>
        </xdr:cNvPr>
        <xdr:cNvSpPr txBox="1"/>
      </xdr:nvSpPr>
      <xdr:spPr>
        <a:xfrm>
          <a:off x="18576742" y="996489"/>
          <a:ext cx="3927060" cy="928205"/>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100"/>
            <a:t>After calculating the requested summary statistics,</a:t>
          </a:r>
          <a:r>
            <a:rPr lang="en-US" sz="1100" baseline="0"/>
            <a:t> apply conditional formatting appropriately. Use either Green-Yellow-Red or Red-Yellow-Green color scales, making sure that you use "green" to mean "good."</a:t>
          </a:r>
          <a:endParaRPr lang="en-US" sz="1100"/>
        </a:p>
      </xdr:txBody>
    </xdr:sp>
    <xdr:clientData/>
  </xdr:twoCellAnchor>
  <xdr:twoCellAnchor>
    <xdr:from>
      <xdr:col>10</xdr:col>
      <xdr:colOff>635001</xdr:colOff>
      <xdr:row>1</xdr:row>
      <xdr:rowOff>9203</xdr:rowOff>
    </xdr:from>
    <xdr:to>
      <xdr:col>19</xdr:col>
      <xdr:colOff>1</xdr:colOff>
      <xdr:row>16</xdr:row>
      <xdr:rowOff>18406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1C91081F-9549-CC4E-B8D1-D06F97F32C1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258117" y="202464"/>
              <a:ext cx="5411304" cy="29081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13"/>
  <sheetViews>
    <sheetView showGridLines="0" zoomScale="139" zoomScaleNormal="100" workbookViewId="0">
      <selection activeCell="E7" sqref="E7"/>
    </sheetView>
  </sheetViews>
  <sheetFormatPr baseColWidth="10" defaultColWidth="8.83203125" defaultRowHeight="15"/>
  <cols>
    <col min="1" max="1" width="18" customWidth="1"/>
    <col min="3" max="3" width="12.6640625" bestFit="1" customWidth="1"/>
    <col min="5" max="5" width="20.1640625" customWidth="1"/>
    <col min="6" max="6" width="9.1640625" customWidth="1"/>
    <col min="7" max="7" width="11" bestFit="1" customWidth="1"/>
    <col min="8" max="25" width="9.1640625" customWidth="1"/>
    <col min="26" max="16384" width="8.83203125" style="12"/>
  </cols>
  <sheetData>
    <row r="1" spans="1:25" ht="19">
      <c r="A1" s="33" t="s">
        <v>19</v>
      </c>
      <c r="B1" s="34"/>
      <c r="C1" s="33" t="s">
        <v>72</v>
      </c>
      <c r="D1" s="34"/>
      <c r="E1" s="34"/>
      <c r="F1" s="34"/>
      <c r="G1" s="34"/>
      <c r="H1" s="26"/>
      <c r="I1" s="26"/>
      <c r="J1" s="26"/>
      <c r="K1" s="26"/>
      <c r="L1" s="26"/>
      <c r="M1" s="26"/>
      <c r="N1" s="26"/>
      <c r="O1" s="26"/>
      <c r="P1" s="26"/>
      <c r="Q1" s="26"/>
      <c r="R1" s="26"/>
      <c r="S1" s="26"/>
      <c r="T1" s="26"/>
      <c r="U1" s="26"/>
      <c r="V1" s="26"/>
      <c r="W1" s="26"/>
      <c r="X1" s="26"/>
      <c r="Y1" s="26"/>
    </row>
    <row r="2" spans="1:25" ht="19">
      <c r="A2" s="33" t="s">
        <v>73</v>
      </c>
      <c r="B2" s="34"/>
      <c r="C2" s="34"/>
      <c r="D2" s="34"/>
      <c r="E2" s="34"/>
      <c r="F2" s="34"/>
      <c r="G2" s="34"/>
      <c r="H2" s="26"/>
      <c r="I2" s="26"/>
      <c r="J2" s="26"/>
      <c r="K2" s="26"/>
      <c r="L2" s="26"/>
      <c r="M2" s="26"/>
      <c r="N2" s="26"/>
      <c r="O2" s="26"/>
      <c r="P2" s="26"/>
      <c r="Q2" s="26"/>
      <c r="R2" s="26"/>
      <c r="S2" s="26"/>
      <c r="T2" s="26"/>
      <c r="U2" s="26"/>
      <c r="V2" s="26"/>
      <c r="W2" s="26"/>
      <c r="X2" s="26"/>
      <c r="Y2" s="26"/>
    </row>
    <row r="3" spans="1:25" ht="20" thickBot="1">
      <c r="A3" s="37"/>
      <c r="B3" s="37"/>
      <c r="C3" s="37"/>
      <c r="D3" s="37"/>
      <c r="E3" s="37"/>
      <c r="F3" s="37"/>
      <c r="G3" s="37"/>
      <c r="H3" s="26"/>
      <c r="I3" s="26"/>
      <c r="J3" s="26"/>
      <c r="K3" s="26"/>
      <c r="L3" s="26"/>
      <c r="M3" s="26"/>
      <c r="N3" s="26"/>
      <c r="O3" s="26"/>
      <c r="P3" s="26"/>
      <c r="Q3" s="26"/>
      <c r="R3" s="26"/>
      <c r="S3" s="26"/>
      <c r="T3" s="26"/>
      <c r="U3" s="26"/>
      <c r="V3" s="26"/>
      <c r="W3" s="26"/>
      <c r="X3" s="26"/>
      <c r="Y3" s="26"/>
    </row>
    <row r="4" spans="1:25">
      <c r="A4" s="27" t="s">
        <v>20</v>
      </c>
      <c r="B4" s="27"/>
      <c r="C4" s="28" t="s">
        <v>75</v>
      </c>
      <c r="D4" s="27"/>
      <c r="E4" s="27" t="s">
        <v>21</v>
      </c>
      <c r="F4" s="27"/>
      <c r="G4" s="29">
        <v>7123</v>
      </c>
      <c r="H4" s="26"/>
      <c r="I4" s="26"/>
      <c r="J4" s="26"/>
      <c r="K4" s="26"/>
      <c r="L4" s="26"/>
      <c r="M4" s="26"/>
      <c r="N4" s="26"/>
      <c r="O4" s="26"/>
      <c r="P4" s="26"/>
      <c r="Q4" s="26"/>
      <c r="R4" s="26"/>
      <c r="S4" s="26"/>
      <c r="T4" s="26"/>
      <c r="U4" s="26"/>
      <c r="V4" s="26"/>
      <c r="W4" s="26"/>
      <c r="X4" s="26"/>
      <c r="Y4" s="26"/>
    </row>
    <row r="5" spans="1:25">
      <c r="A5" s="27" t="s">
        <v>22</v>
      </c>
      <c r="B5" s="27"/>
      <c r="C5" s="30" t="s">
        <v>79</v>
      </c>
      <c r="D5" s="27"/>
      <c r="E5" s="27" t="s">
        <v>23</v>
      </c>
      <c r="F5" s="27"/>
      <c r="G5" s="31" t="s">
        <v>80</v>
      </c>
      <c r="H5" s="26"/>
      <c r="I5" s="26"/>
      <c r="J5" s="26"/>
      <c r="K5" s="26"/>
      <c r="L5" s="26"/>
      <c r="M5" s="26"/>
      <c r="N5" s="26"/>
      <c r="O5" s="26"/>
      <c r="P5" s="26"/>
      <c r="Q5" s="26"/>
      <c r="R5" s="26"/>
      <c r="S5" s="26"/>
      <c r="T5" s="26"/>
      <c r="U5" s="26"/>
      <c r="V5" s="26"/>
      <c r="W5" s="26"/>
      <c r="X5" s="26"/>
      <c r="Y5" s="26"/>
    </row>
    <row r="6" spans="1:25">
      <c r="A6" s="27" t="s">
        <v>24</v>
      </c>
      <c r="B6" s="27"/>
      <c r="C6" s="32">
        <f ca="1">TODAY()</f>
        <v>44001</v>
      </c>
      <c r="D6" s="27"/>
      <c r="E6" s="27"/>
      <c r="F6" s="27"/>
      <c r="G6" s="26"/>
      <c r="H6" s="26"/>
      <c r="I6" s="26"/>
      <c r="J6" s="26"/>
      <c r="K6" s="26"/>
      <c r="L6" s="26"/>
      <c r="M6" s="26"/>
      <c r="N6" s="26"/>
      <c r="O6" s="26"/>
      <c r="P6" s="26"/>
      <c r="Q6" s="26"/>
      <c r="R6" s="26"/>
      <c r="S6" s="26"/>
      <c r="T6" s="26"/>
      <c r="U6" s="26"/>
      <c r="V6" s="26"/>
      <c r="W6" s="26"/>
      <c r="X6" s="26"/>
      <c r="Y6" s="26"/>
    </row>
    <row r="7" spans="1:25">
      <c r="A7" s="27"/>
      <c r="B7" s="27"/>
      <c r="C7" s="26"/>
      <c r="D7" s="27"/>
      <c r="E7" s="27"/>
      <c r="F7" s="27"/>
      <c r="G7" s="26"/>
      <c r="H7" s="26"/>
      <c r="I7" s="26"/>
      <c r="J7" s="26"/>
      <c r="K7" s="26"/>
      <c r="L7" s="26"/>
      <c r="M7" s="26"/>
      <c r="N7" s="26"/>
      <c r="O7" s="26"/>
      <c r="P7" s="26"/>
      <c r="Q7" s="26"/>
      <c r="R7" s="26"/>
      <c r="S7" s="26"/>
      <c r="T7" s="26"/>
      <c r="U7" s="26"/>
      <c r="V7" s="26"/>
      <c r="W7" s="26"/>
      <c r="X7" s="26"/>
      <c r="Y7" s="26"/>
    </row>
    <row r="8" spans="1:25">
      <c r="A8" s="26"/>
      <c r="B8" s="26"/>
      <c r="C8" s="26"/>
      <c r="D8" s="26"/>
      <c r="E8" s="26"/>
      <c r="F8" s="26"/>
      <c r="G8" s="26"/>
      <c r="H8" s="26"/>
      <c r="I8" s="26"/>
      <c r="J8" s="26"/>
      <c r="K8" s="26"/>
      <c r="L8" s="26"/>
      <c r="M8" s="26"/>
      <c r="N8" s="26"/>
      <c r="O8" s="26"/>
      <c r="P8" s="26"/>
      <c r="Q8" s="26"/>
      <c r="R8" s="26"/>
      <c r="S8" s="26"/>
      <c r="T8" s="26"/>
      <c r="U8" s="26"/>
      <c r="V8" s="26"/>
      <c r="W8" s="26"/>
      <c r="X8" s="26"/>
      <c r="Y8" s="26"/>
    </row>
    <row r="9" spans="1:25">
      <c r="A9" s="26"/>
      <c r="B9" s="26"/>
      <c r="C9" s="26"/>
      <c r="D9" s="26"/>
      <c r="E9" s="26"/>
      <c r="F9" s="26"/>
      <c r="G9" s="26"/>
      <c r="H9" s="26"/>
      <c r="I9" s="26"/>
      <c r="J9" s="26"/>
      <c r="K9" s="26"/>
      <c r="L9" s="26"/>
      <c r="M9" s="26"/>
      <c r="N9" s="26"/>
      <c r="O9" s="26"/>
      <c r="P9" s="26"/>
      <c r="Q9" s="26"/>
      <c r="R9" s="26"/>
      <c r="S9" s="26"/>
      <c r="T9" s="26"/>
      <c r="U9" s="26"/>
      <c r="V9" s="26"/>
      <c r="W9" s="26"/>
      <c r="X9" s="26"/>
      <c r="Y9" s="26"/>
    </row>
    <row r="10" spans="1:25">
      <c r="A10" s="26"/>
      <c r="B10" s="26"/>
      <c r="C10" s="26"/>
      <c r="D10" s="26"/>
      <c r="E10" s="26"/>
      <c r="F10" s="26"/>
      <c r="G10" s="26"/>
      <c r="H10" s="26"/>
      <c r="I10" s="26"/>
      <c r="J10" s="26"/>
      <c r="K10" s="26"/>
      <c r="L10" s="26"/>
      <c r="M10" s="26"/>
      <c r="N10" s="26"/>
      <c r="O10" s="26"/>
      <c r="P10" s="26"/>
      <c r="Q10" s="26"/>
      <c r="R10" s="26"/>
      <c r="S10" s="26"/>
      <c r="T10" s="26"/>
      <c r="U10" s="26"/>
      <c r="V10" s="26"/>
      <c r="W10" s="26"/>
      <c r="X10" s="26"/>
      <c r="Y10" s="26"/>
    </row>
    <row r="11" spans="1:25">
      <c r="A11" s="26"/>
      <c r="B11" s="26"/>
      <c r="C11" s="26"/>
      <c r="D11" s="26"/>
      <c r="E11" s="26"/>
      <c r="F11" s="26"/>
      <c r="G11" s="26"/>
      <c r="H11" s="26"/>
      <c r="I11" s="26"/>
      <c r="J11" s="26"/>
      <c r="K11" s="26"/>
      <c r="L11" s="26"/>
      <c r="M11" s="26"/>
      <c r="N11" s="26"/>
      <c r="O11" s="26"/>
      <c r="P11" s="26"/>
      <c r="Q11" s="26"/>
      <c r="R11" s="26"/>
      <c r="S11" s="26"/>
      <c r="T11" s="26"/>
      <c r="U11" s="26"/>
      <c r="V11" s="26"/>
      <c r="W11" s="26"/>
      <c r="X11" s="26"/>
      <c r="Y11" s="26"/>
    </row>
    <row r="12" spans="1:25">
      <c r="A12" s="26"/>
      <c r="B12" s="26"/>
      <c r="C12" s="26"/>
      <c r="D12" s="26"/>
      <c r="E12" s="26"/>
      <c r="F12" s="26"/>
      <c r="G12" s="26"/>
      <c r="H12" s="26"/>
      <c r="I12" s="26"/>
      <c r="J12" s="26"/>
      <c r="K12" s="26"/>
      <c r="L12" s="26"/>
      <c r="M12" s="26"/>
      <c r="N12" s="26"/>
      <c r="O12" s="26"/>
      <c r="P12" s="26"/>
      <c r="Q12" s="26"/>
      <c r="R12" s="26"/>
      <c r="S12" s="26"/>
      <c r="T12" s="26"/>
      <c r="U12" s="26"/>
      <c r="V12" s="26"/>
      <c r="W12" s="26"/>
      <c r="X12" s="26"/>
      <c r="Y12" s="26"/>
    </row>
    <row r="13" spans="1:25">
      <c r="A13" s="26"/>
      <c r="B13" s="26"/>
      <c r="C13" s="26"/>
      <c r="D13" s="26"/>
      <c r="E13" s="26"/>
      <c r="F13" s="26"/>
      <c r="G13" s="26"/>
      <c r="H13" s="26"/>
      <c r="I13" s="26"/>
      <c r="J13" s="26"/>
      <c r="K13" s="26"/>
      <c r="L13" s="26"/>
      <c r="M13" s="26"/>
      <c r="N13" s="26"/>
      <c r="O13" s="26"/>
      <c r="P13" s="26"/>
      <c r="Q13" s="26"/>
      <c r="R13" s="26"/>
      <c r="S13" s="26"/>
      <c r="T13" s="26"/>
      <c r="U13" s="26"/>
      <c r="V13" s="26"/>
      <c r="W13" s="26"/>
      <c r="X13" s="26"/>
      <c r="Y13" s="26"/>
    </row>
    <row r="14" spans="1:25">
      <c r="A14" s="26"/>
      <c r="B14" s="26"/>
      <c r="C14" s="26"/>
      <c r="D14" s="26"/>
      <c r="E14" s="26"/>
      <c r="F14" s="26"/>
      <c r="G14" s="26"/>
      <c r="H14" s="26"/>
      <c r="I14" s="26"/>
      <c r="J14" s="26"/>
      <c r="K14" s="26"/>
      <c r="L14" s="26"/>
      <c r="M14" s="26"/>
      <c r="N14" s="26"/>
      <c r="O14" s="26"/>
      <c r="P14" s="26"/>
      <c r="Q14" s="26"/>
      <c r="R14" s="26"/>
      <c r="S14" s="26"/>
      <c r="T14" s="26"/>
      <c r="U14" s="26"/>
      <c r="V14" s="26"/>
      <c r="W14" s="26"/>
      <c r="X14" s="26"/>
      <c r="Y14" s="26"/>
    </row>
    <row r="15" spans="1:25">
      <c r="A15" s="26"/>
      <c r="B15" s="26"/>
      <c r="C15" s="26"/>
      <c r="D15" s="26"/>
      <c r="E15" s="26"/>
      <c r="F15" s="26"/>
      <c r="G15" s="26"/>
      <c r="H15" s="26"/>
      <c r="I15" s="26"/>
      <c r="J15" s="26"/>
      <c r="K15" s="26"/>
      <c r="L15" s="26"/>
      <c r="M15" s="26"/>
      <c r="N15" s="26"/>
      <c r="O15" s="26"/>
      <c r="P15" s="26"/>
      <c r="Q15" s="26"/>
      <c r="R15" s="26"/>
      <c r="S15" s="26"/>
      <c r="T15" s="26"/>
      <c r="U15" s="26"/>
      <c r="V15" s="26"/>
      <c r="W15" s="26"/>
      <c r="X15" s="26"/>
      <c r="Y15" s="26"/>
    </row>
    <row r="16" spans="1:25">
      <c r="A16" s="26"/>
      <c r="B16" s="26"/>
      <c r="C16" s="26"/>
      <c r="D16" s="26"/>
      <c r="E16" s="26"/>
      <c r="F16" s="26"/>
      <c r="G16" s="26"/>
      <c r="H16" s="26"/>
      <c r="I16" s="26"/>
      <c r="J16" s="26"/>
      <c r="K16" s="26"/>
      <c r="L16" s="26"/>
      <c r="M16" s="26"/>
      <c r="N16" s="26"/>
      <c r="O16" s="26"/>
      <c r="P16" s="26"/>
      <c r="Q16" s="26"/>
      <c r="R16" s="26"/>
      <c r="S16" s="26"/>
      <c r="T16" s="26"/>
      <c r="U16" s="26"/>
      <c r="V16" s="26"/>
      <c r="W16" s="26"/>
      <c r="X16" s="26"/>
      <c r="Y16" s="26"/>
    </row>
    <row r="17" spans="1:25">
      <c r="A17" s="26"/>
      <c r="B17" s="26"/>
      <c r="C17" s="26"/>
      <c r="D17" s="26"/>
      <c r="E17" s="26"/>
      <c r="F17" s="26"/>
      <c r="G17" s="26"/>
      <c r="H17" s="26"/>
      <c r="I17" s="26"/>
      <c r="J17" s="26"/>
      <c r="K17" s="26"/>
      <c r="L17" s="26"/>
      <c r="M17" s="26"/>
      <c r="N17" s="26"/>
      <c r="O17" s="26"/>
      <c r="P17" s="26"/>
      <c r="Q17" s="26"/>
      <c r="R17" s="26"/>
      <c r="S17" s="26"/>
      <c r="T17" s="26"/>
      <c r="U17" s="26"/>
      <c r="V17" s="26"/>
      <c r="W17" s="26"/>
      <c r="X17" s="26"/>
      <c r="Y17" s="26"/>
    </row>
    <row r="18" spans="1:25">
      <c r="A18" s="26"/>
      <c r="B18" s="26"/>
      <c r="C18" s="26"/>
      <c r="D18" s="26"/>
      <c r="E18" s="26"/>
      <c r="F18" s="26"/>
      <c r="G18" s="26"/>
      <c r="H18" s="26"/>
      <c r="I18" s="26"/>
      <c r="J18" s="26"/>
      <c r="K18" s="26"/>
      <c r="L18" s="26"/>
      <c r="M18" s="26"/>
      <c r="N18" s="26"/>
      <c r="O18" s="26"/>
      <c r="P18" s="26"/>
      <c r="Q18" s="26"/>
      <c r="R18" s="26"/>
      <c r="S18" s="26"/>
      <c r="T18" s="26"/>
      <c r="U18" s="26"/>
      <c r="V18" s="26"/>
      <c r="W18" s="26"/>
      <c r="X18" s="26"/>
      <c r="Y18" s="26"/>
    </row>
    <row r="19" spans="1:25">
      <c r="A19" s="26"/>
      <c r="B19" s="26"/>
      <c r="C19" s="26"/>
      <c r="D19" s="26"/>
      <c r="E19" s="26"/>
      <c r="F19" s="26"/>
      <c r="G19" s="26"/>
      <c r="H19" s="26"/>
      <c r="I19" s="26"/>
      <c r="J19" s="26"/>
      <c r="K19" s="26"/>
      <c r="L19" s="26"/>
      <c r="M19" s="26"/>
      <c r="N19" s="26"/>
      <c r="O19" s="26"/>
      <c r="P19" s="26"/>
      <c r="Q19" s="26"/>
      <c r="R19" s="26"/>
      <c r="S19" s="26"/>
      <c r="T19" s="26"/>
      <c r="U19" s="26"/>
      <c r="V19" s="26"/>
      <c r="W19" s="26"/>
      <c r="X19" s="26"/>
      <c r="Y19" s="26"/>
    </row>
    <row r="20" spans="1:25">
      <c r="A20" s="26"/>
      <c r="B20" s="26"/>
      <c r="C20" s="26"/>
      <c r="D20" s="26"/>
      <c r="E20" s="26"/>
      <c r="F20" s="26"/>
      <c r="G20" s="26"/>
      <c r="H20" s="26"/>
      <c r="I20" s="26"/>
      <c r="J20" s="26"/>
      <c r="K20" s="26"/>
      <c r="L20" s="26"/>
      <c r="M20" s="26"/>
      <c r="N20" s="26"/>
      <c r="O20" s="26"/>
      <c r="P20" s="26"/>
      <c r="Q20" s="26"/>
      <c r="R20" s="26"/>
      <c r="S20" s="26"/>
      <c r="T20" s="26"/>
      <c r="U20" s="26"/>
      <c r="V20" s="26"/>
      <c r="W20" s="26"/>
      <c r="X20" s="26"/>
      <c r="Y20" s="26"/>
    </row>
    <row r="21" spans="1:25">
      <c r="A21" s="26"/>
      <c r="B21" s="26"/>
      <c r="C21" s="26"/>
      <c r="D21" s="26"/>
      <c r="E21" s="26"/>
      <c r="F21" s="26"/>
      <c r="G21" s="26"/>
      <c r="H21" s="26"/>
      <c r="I21" s="26"/>
      <c r="J21" s="26"/>
      <c r="K21" s="26"/>
      <c r="L21" s="26"/>
      <c r="M21" s="26"/>
      <c r="N21" s="26"/>
      <c r="O21" s="26"/>
      <c r="P21" s="26"/>
      <c r="Q21" s="26"/>
      <c r="R21" s="26"/>
      <c r="S21" s="26"/>
      <c r="T21" s="26"/>
      <c r="U21" s="26"/>
      <c r="V21" s="26"/>
      <c r="W21" s="26"/>
      <c r="X21" s="26"/>
      <c r="Y21" s="26"/>
    </row>
    <row r="22" spans="1:25">
      <c r="A22" s="26"/>
      <c r="B22" s="26"/>
      <c r="C22" s="26"/>
      <c r="D22" s="26"/>
      <c r="E22" s="26"/>
      <c r="F22" s="26"/>
      <c r="G22" s="26"/>
      <c r="H22" s="26"/>
      <c r="I22" s="26"/>
      <c r="J22" s="26"/>
      <c r="K22" s="26"/>
      <c r="L22" s="26"/>
      <c r="M22" s="26"/>
      <c r="N22" s="26"/>
      <c r="O22" s="26"/>
      <c r="P22" s="26"/>
      <c r="Q22" s="26"/>
      <c r="R22" s="26"/>
      <c r="S22" s="26"/>
      <c r="T22" s="26"/>
      <c r="U22" s="26"/>
      <c r="V22" s="26"/>
      <c r="W22" s="26"/>
      <c r="X22" s="26"/>
      <c r="Y22" s="26"/>
    </row>
    <row r="23" spans="1:25">
      <c r="A23" s="26"/>
      <c r="B23" s="26"/>
      <c r="C23" s="26"/>
      <c r="D23" s="26"/>
      <c r="E23" s="26"/>
      <c r="F23" s="26"/>
      <c r="G23" s="26"/>
      <c r="H23" s="26"/>
      <c r="I23" s="26"/>
      <c r="J23" s="26"/>
      <c r="K23" s="26"/>
      <c r="L23" s="26"/>
      <c r="M23" s="26"/>
      <c r="N23" s="26"/>
      <c r="O23" s="26"/>
      <c r="P23" s="26"/>
      <c r="Q23" s="26"/>
      <c r="R23" s="26"/>
      <c r="S23" s="26"/>
      <c r="T23" s="26"/>
      <c r="U23" s="26"/>
      <c r="V23" s="26"/>
      <c r="W23" s="26"/>
      <c r="X23" s="26"/>
      <c r="Y23" s="26"/>
    </row>
    <row r="24" spans="1:25">
      <c r="A24" s="26"/>
      <c r="B24" s="26"/>
      <c r="C24" s="26"/>
      <c r="D24" s="26"/>
      <c r="E24" s="26"/>
      <c r="F24" s="26"/>
      <c r="G24" s="26"/>
      <c r="H24" s="26"/>
      <c r="I24" s="26"/>
      <c r="J24" s="26"/>
      <c r="K24" s="26"/>
      <c r="L24" s="26"/>
      <c r="M24" s="26"/>
      <c r="N24" s="26"/>
      <c r="O24" s="26"/>
      <c r="P24" s="26"/>
      <c r="Q24" s="26"/>
      <c r="R24" s="26"/>
      <c r="S24" s="26"/>
      <c r="T24" s="26"/>
      <c r="U24" s="26"/>
      <c r="V24" s="26"/>
      <c r="W24" s="26"/>
      <c r="X24" s="26"/>
      <c r="Y24" s="26"/>
    </row>
    <row r="25" spans="1:25">
      <c r="A25" s="26"/>
      <c r="B25" s="26"/>
      <c r="C25" s="26"/>
      <c r="D25" s="26"/>
      <c r="E25" s="26"/>
      <c r="F25" s="26"/>
      <c r="G25" s="26"/>
      <c r="H25" s="26"/>
      <c r="I25" s="26"/>
      <c r="J25" s="26"/>
      <c r="K25" s="26"/>
      <c r="L25" s="26"/>
      <c r="M25" s="26"/>
      <c r="N25" s="26"/>
      <c r="O25" s="26"/>
      <c r="P25" s="26"/>
      <c r="Q25" s="26"/>
      <c r="R25" s="26"/>
      <c r="S25" s="26"/>
      <c r="T25" s="26"/>
      <c r="U25" s="26"/>
      <c r="V25" s="26"/>
      <c r="W25" s="26"/>
      <c r="X25" s="26"/>
      <c r="Y25" s="26"/>
    </row>
    <row r="26" spans="1:25">
      <c r="A26" s="26"/>
      <c r="B26" s="26"/>
      <c r="C26" s="26"/>
      <c r="D26" s="26"/>
      <c r="E26" s="26"/>
      <c r="F26" s="26"/>
      <c r="G26" s="26"/>
      <c r="H26" s="26"/>
      <c r="I26" s="26"/>
      <c r="J26" s="26"/>
      <c r="K26" s="26"/>
      <c r="L26" s="26"/>
      <c r="M26" s="26"/>
      <c r="N26" s="26"/>
      <c r="O26" s="26"/>
      <c r="P26" s="26"/>
      <c r="Q26" s="26"/>
      <c r="R26" s="26"/>
      <c r="S26" s="26"/>
      <c r="T26" s="26"/>
      <c r="U26" s="26"/>
      <c r="V26" s="26"/>
      <c r="W26" s="26"/>
      <c r="X26" s="26"/>
      <c r="Y26" s="26"/>
    </row>
    <row r="27" spans="1:25">
      <c r="A27" s="26"/>
      <c r="B27" s="26"/>
      <c r="C27" s="26"/>
      <c r="D27" s="26"/>
      <c r="E27" s="26"/>
      <c r="F27" s="26"/>
      <c r="G27" s="26"/>
      <c r="H27" s="26"/>
      <c r="I27" s="26"/>
      <c r="J27" s="26"/>
      <c r="K27" s="26"/>
      <c r="L27" s="26"/>
      <c r="M27" s="26"/>
      <c r="N27" s="26"/>
      <c r="O27" s="26"/>
      <c r="P27" s="26"/>
      <c r="Q27" s="26"/>
      <c r="R27" s="26"/>
      <c r="S27" s="26"/>
      <c r="T27" s="26"/>
      <c r="U27" s="26"/>
      <c r="V27" s="26"/>
      <c r="W27" s="26"/>
      <c r="X27" s="26"/>
      <c r="Y27" s="26"/>
    </row>
    <row r="28" spans="1:25">
      <c r="A28" s="26"/>
      <c r="B28" s="26"/>
      <c r="C28" s="26"/>
      <c r="D28" s="26"/>
      <c r="E28" s="26"/>
      <c r="F28" s="26"/>
      <c r="G28" s="26"/>
      <c r="H28" s="26"/>
      <c r="I28" s="26"/>
      <c r="J28" s="26"/>
      <c r="K28" s="26"/>
      <c r="L28" s="26"/>
      <c r="M28" s="26"/>
      <c r="N28" s="26"/>
      <c r="O28" s="26"/>
      <c r="P28" s="26"/>
      <c r="Q28" s="26"/>
      <c r="R28" s="26"/>
      <c r="S28" s="26"/>
      <c r="T28" s="26"/>
      <c r="U28" s="26"/>
      <c r="V28" s="26"/>
      <c r="W28" s="26"/>
      <c r="X28" s="26"/>
      <c r="Y28" s="26"/>
    </row>
    <row r="29" spans="1:25">
      <c r="A29" s="26"/>
      <c r="B29" s="26"/>
      <c r="C29" s="26"/>
      <c r="D29" s="26"/>
      <c r="E29" s="26"/>
      <c r="F29" s="26"/>
      <c r="G29" s="26"/>
      <c r="H29" s="26"/>
      <c r="I29" s="26"/>
      <c r="J29" s="26"/>
      <c r="K29" s="26"/>
      <c r="L29" s="26"/>
      <c r="M29" s="26"/>
      <c r="N29" s="26"/>
      <c r="O29" s="26"/>
      <c r="P29" s="26"/>
      <c r="Q29" s="26"/>
      <c r="R29" s="26"/>
      <c r="S29" s="26"/>
      <c r="T29" s="26"/>
      <c r="U29" s="26"/>
      <c r="V29" s="26"/>
      <c r="W29" s="26"/>
      <c r="X29" s="26"/>
      <c r="Y29" s="26"/>
    </row>
    <row r="30" spans="1:25">
      <c r="A30" s="26"/>
      <c r="B30" s="26"/>
      <c r="C30" s="26"/>
      <c r="D30" s="26"/>
      <c r="E30" s="26"/>
      <c r="F30" s="26"/>
      <c r="G30" s="26"/>
      <c r="H30" s="26"/>
      <c r="I30" s="26"/>
      <c r="J30" s="26"/>
      <c r="K30" s="26"/>
      <c r="L30" s="26"/>
      <c r="M30" s="26"/>
      <c r="N30" s="26"/>
      <c r="O30" s="26"/>
      <c r="P30" s="26"/>
      <c r="Q30" s="26"/>
      <c r="R30" s="26"/>
      <c r="S30" s="26"/>
      <c r="T30" s="26"/>
      <c r="U30" s="26"/>
      <c r="V30" s="26"/>
      <c r="W30" s="26"/>
      <c r="X30" s="26"/>
      <c r="Y30" s="26"/>
    </row>
    <row r="31" spans="1:25">
      <c r="A31" s="26"/>
      <c r="B31" s="26"/>
      <c r="C31" s="26"/>
      <c r="D31" s="26"/>
      <c r="E31" s="26"/>
      <c r="F31" s="26"/>
      <c r="G31" s="26"/>
      <c r="H31" s="26"/>
      <c r="I31" s="26"/>
      <c r="J31" s="26"/>
      <c r="K31" s="26"/>
      <c r="L31" s="26"/>
      <c r="M31" s="26"/>
      <c r="N31" s="26"/>
      <c r="O31" s="26"/>
      <c r="P31" s="26"/>
      <c r="Q31" s="26"/>
      <c r="R31" s="26"/>
      <c r="S31" s="26"/>
      <c r="T31" s="26"/>
      <c r="U31" s="26"/>
      <c r="V31" s="26"/>
      <c r="W31" s="26"/>
      <c r="X31" s="26"/>
      <c r="Y31" s="26"/>
    </row>
    <row r="32" spans="1:25">
      <c r="A32" s="26"/>
      <c r="B32" s="26"/>
      <c r="C32" s="26"/>
      <c r="D32" s="26"/>
      <c r="E32" s="26"/>
      <c r="F32" s="26"/>
      <c r="G32" s="26"/>
      <c r="H32" s="26"/>
      <c r="I32" s="26"/>
      <c r="J32" s="26"/>
      <c r="K32" s="26"/>
      <c r="L32" s="26"/>
      <c r="M32" s="26"/>
      <c r="N32" s="26"/>
      <c r="O32" s="26"/>
      <c r="P32" s="26"/>
      <c r="Q32" s="26"/>
      <c r="R32" s="26"/>
      <c r="S32" s="26"/>
      <c r="T32" s="26"/>
      <c r="U32" s="26"/>
      <c r="V32" s="26"/>
      <c r="W32" s="26"/>
      <c r="X32" s="26"/>
      <c r="Y32" s="26"/>
    </row>
    <row r="33" spans="1:25">
      <c r="A33" s="26"/>
      <c r="B33" s="26"/>
      <c r="C33" s="26"/>
      <c r="D33" s="26"/>
      <c r="E33" s="26"/>
      <c r="F33" s="26"/>
      <c r="G33" s="26"/>
      <c r="H33" s="26"/>
      <c r="I33" s="26"/>
      <c r="J33" s="26"/>
      <c r="K33" s="26"/>
      <c r="L33" s="26"/>
      <c r="M33" s="26"/>
      <c r="N33" s="26"/>
      <c r="O33" s="26"/>
      <c r="P33" s="26"/>
      <c r="Q33" s="26"/>
      <c r="R33" s="26"/>
      <c r="S33" s="26"/>
      <c r="T33" s="26"/>
      <c r="U33" s="26"/>
      <c r="V33" s="26"/>
      <c r="W33" s="26"/>
      <c r="X33" s="26"/>
      <c r="Y33" s="26"/>
    </row>
    <row r="34" spans="1:25">
      <c r="A34" s="26"/>
      <c r="B34" s="26"/>
      <c r="C34" s="26"/>
      <c r="D34" s="26"/>
      <c r="E34" s="26"/>
      <c r="F34" s="26"/>
      <c r="G34" s="26"/>
      <c r="H34" s="26"/>
      <c r="I34" s="26"/>
      <c r="J34" s="26"/>
      <c r="K34" s="26"/>
      <c r="L34" s="26"/>
      <c r="M34" s="26"/>
      <c r="N34" s="26"/>
      <c r="O34" s="26"/>
      <c r="P34" s="26"/>
      <c r="Q34" s="26"/>
      <c r="R34" s="26"/>
      <c r="S34" s="26"/>
      <c r="T34" s="26"/>
      <c r="U34" s="26"/>
      <c r="V34" s="26"/>
      <c r="W34" s="26"/>
      <c r="X34" s="26"/>
      <c r="Y34" s="26"/>
    </row>
    <row r="35" spans="1:25">
      <c r="A35" s="26"/>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26"/>
      <c r="B36" s="26"/>
      <c r="C36" s="26"/>
      <c r="D36" s="26"/>
      <c r="E36" s="26"/>
      <c r="F36" s="26"/>
      <c r="G36" s="26"/>
      <c r="H36" s="26"/>
      <c r="I36" s="26"/>
      <c r="J36" s="26"/>
      <c r="K36" s="26"/>
      <c r="L36" s="26"/>
      <c r="M36" s="26"/>
      <c r="N36" s="26"/>
      <c r="O36" s="26"/>
      <c r="P36" s="26"/>
      <c r="Q36" s="26"/>
      <c r="R36" s="26"/>
      <c r="S36" s="26"/>
      <c r="T36" s="26"/>
      <c r="U36" s="26"/>
      <c r="V36" s="26"/>
      <c r="W36" s="26"/>
      <c r="X36" s="26"/>
      <c r="Y36" s="26"/>
    </row>
    <row r="37" spans="1:25">
      <c r="A37" s="26"/>
      <c r="B37" s="26"/>
      <c r="C37" s="26"/>
      <c r="D37" s="26"/>
      <c r="E37" s="26"/>
      <c r="F37" s="26"/>
      <c r="G37" s="26"/>
      <c r="H37" s="26"/>
      <c r="I37" s="26"/>
      <c r="J37" s="26"/>
      <c r="K37" s="26"/>
      <c r="L37" s="26"/>
      <c r="M37" s="26"/>
      <c r="N37" s="26"/>
      <c r="O37" s="26"/>
      <c r="P37" s="26"/>
      <c r="Q37" s="26"/>
      <c r="R37" s="26"/>
      <c r="S37" s="26"/>
      <c r="T37" s="26"/>
      <c r="U37" s="26"/>
      <c r="V37" s="26"/>
      <c r="W37" s="26"/>
      <c r="X37" s="26"/>
      <c r="Y37" s="26"/>
    </row>
    <row r="38" spans="1:25">
      <c r="A38" s="26"/>
      <c r="B38" s="26"/>
      <c r="C38" s="26"/>
      <c r="D38" s="26"/>
      <c r="E38" s="26"/>
      <c r="F38" s="26"/>
      <c r="G38" s="26"/>
      <c r="H38" s="26"/>
      <c r="I38" s="26"/>
      <c r="J38" s="26"/>
      <c r="K38" s="26"/>
      <c r="L38" s="26"/>
      <c r="M38" s="26"/>
      <c r="N38" s="26"/>
      <c r="O38" s="26"/>
      <c r="P38" s="26"/>
      <c r="Q38" s="26"/>
      <c r="R38" s="26"/>
      <c r="S38" s="26"/>
      <c r="T38" s="26"/>
      <c r="U38" s="26"/>
      <c r="V38" s="26"/>
      <c r="W38" s="26"/>
      <c r="X38" s="26"/>
      <c r="Y38" s="26"/>
    </row>
    <row r="39" spans="1:25">
      <c r="A39" s="26"/>
      <c r="B39" s="26"/>
      <c r="C39" s="26"/>
      <c r="D39" s="26"/>
      <c r="E39" s="26"/>
      <c r="F39" s="26"/>
      <c r="G39" s="26"/>
      <c r="H39" s="26"/>
      <c r="I39" s="26"/>
      <c r="J39" s="26"/>
      <c r="K39" s="26"/>
      <c r="L39" s="26"/>
      <c r="M39" s="26"/>
      <c r="N39" s="26"/>
      <c r="O39" s="26"/>
      <c r="P39" s="26"/>
      <c r="Q39" s="26"/>
      <c r="R39" s="26"/>
      <c r="S39" s="26"/>
      <c r="T39" s="26"/>
      <c r="U39" s="26"/>
      <c r="V39" s="26"/>
      <c r="W39" s="26"/>
      <c r="X39" s="26"/>
      <c r="Y39" s="26"/>
    </row>
    <row r="40" spans="1:25">
      <c r="A40" s="26"/>
      <c r="B40" s="26"/>
      <c r="C40" s="26"/>
      <c r="D40" s="26"/>
      <c r="E40" s="26"/>
      <c r="F40" s="26"/>
      <c r="G40" s="26"/>
      <c r="H40" s="26"/>
      <c r="I40" s="26"/>
      <c r="J40" s="26"/>
      <c r="K40" s="26"/>
      <c r="L40" s="26"/>
      <c r="M40" s="26"/>
      <c r="N40" s="26"/>
      <c r="O40" s="26"/>
      <c r="P40" s="26"/>
      <c r="Q40" s="26"/>
      <c r="R40" s="26"/>
      <c r="S40" s="26"/>
      <c r="T40" s="26"/>
      <c r="U40" s="26"/>
      <c r="V40" s="26"/>
      <c r="W40" s="26"/>
      <c r="X40" s="26"/>
      <c r="Y40" s="26"/>
    </row>
    <row r="41" spans="1:25">
      <c r="A41" s="26"/>
      <c r="B41" s="26"/>
      <c r="C41" s="26"/>
      <c r="D41" s="26"/>
      <c r="E41" s="26"/>
      <c r="F41" s="26"/>
      <c r="G41" s="26"/>
      <c r="H41" s="26"/>
      <c r="I41" s="26"/>
      <c r="J41" s="26"/>
      <c r="K41" s="26"/>
      <c r="L41" s="26"/>
      <c r="M41" s="26"/>
      <c r="N41" s="26"/>
      <c r="O41" s="26"/>
      <c r="P41" s="26"/>
      <c r="Q41" s="26"/>
      <c r="R41" s="26"/>
      <c r="S41" s="26"/>
      <c r="T41" s="26"/>
      <c r="U41" s="26"/>
      <c r="V41" s="26"/>
      <c r="W41" s="26"/>
      <c r="X41" s="26"/>
      <c r="Y41" s="26"/>
    </row>
    <row r="42" spans="1:25">
      <c r="A42" s="26"/>
      <c r="B42" s="26"/>
      <c r="C42" s="26"/>
      <c r="D42" s="26"/>
      <c r="E42" s="26"/>
      <c r="F42" s="26"/>
      <c r="G42" s="26"/>
      <c r="H42" s="26"/>
      <c r="I42" s="26"/>
      <c r="J42" s="26"/>
      <c r="K42" s="26"/>
      <c r="L42" s="26"/>
      <c r="M42" s="26"/>
      <c r="N42" s="26"/>
      <c r="O42" s="26"/>
      <c r="P42" s="26"/>
      <c r="Q42" s="26"/>
      <c r="R42" s="26"/>
      <c r="S42" s="26"/>
      <c r="T42" s="26"/>
      <c r="U42" s="26"/>
      <c r="V42" s="26"/>
      <c r="W42" s="26"/>
      <c r="X42" s="26"/>
      <c r="Y42" s="26"/>
    </row>
    <row r="43" spans="1:25">
      <c r="A43" s="26"/>
      <c r="B43" s="26"/>
      <c r="C43" s="26"/>
      <c r="D43" s="26"/>
      <c r="E43" s="26"/>
      <c r="F43" s="26"/>
      <c r="G43" s="26"/>
      <c r="H43" s="26"/>
      <c r="I43" s="26"/>
      <c r="J43" s="26"/>
      <c r="K43" s="26"/>
      <c r="L43" s="26"/>
      <c r="M43" s="26"/>
      <c r="N43" s="26"/>
      <c r="O43" s="26"/>
      <c r="P43" s="26"/>
      <c r="Q43" s="26"/>
      <c r="R43" s="26"/>
      <c r="S43" s="26"/>
      <c r="T43" s="26"/>
      <c r="U43" s="26"/>
      <c r="V43" s="26"/>
      <c r="W43" s="26"/>
      <c r="X43" s="26"/>
      <c r="Y43" s="26"/>
    </row>
    <row r="44" spans="1:25">
      <c r="A44" s="26"/>
      <c r="B44" s="26"/>
      <c r="C44" s="26"/>
      <c r="D44" s="26"/>
      <c r="E44" s="26"/>
      <c r="F44" s="26"/>
      <c r="G44" s="26"/>
      <c r="H44" s="26"/>
      <c r="I44" s="26"/>
      <c r="J44" s="26"/>
      <c r="K44" s="26"/>
      <c r="L44" s="26"/>
      <c r="M44" s="26"/>
      <c r="N44" s="26"/>
      <c r="O44" s="26"/>
      <c r="P44" s="26"/>
      <c r="Q44" s="26"/>
      <c r="R44" s="26"/>
      <c r="S44" s="26"/>
      <c r="T44" s="26"/>
      <c r="U44" s="26"/>
      <c r="V44" s="26"/>
      <c r="W44" s="26"/>
      <c r="X44" s="26"/>
      <c r="Y44" s="26"/>
    </row>
    <row r="45" spans="1:25">
      <c r="A45" s="26"/>
      <c r="B45" s="26"/>
      <c r="C45" s="26"/>
      <c r="D45" s="26"/>
      <c r="E45" s="26"/>
      <c r="F45" s="26"/>
      <c r="G45" s="26"/>
      <c r="H45" s="26"/>
      <c r="I45" s="26"/>
      <c r="J45" s="26"/>
      <c r="K45" s="26"/>
      <c r="L45" s="26"/>
      <c r="M45" s="26"/>
      <c r="N45" s="26"/>
      <c r="O45" s="26"/>
      <c r="P45" s="26"/>
      <c r="Q45" s="26"/>
      <c r="R45" s="26"/>
      <c r="S45" s="26"/>
      <c r="T45" s="26"/>
      <c r="U45" s="26"/>
      <c r="V45" s="26"/>
      <c r="W45" s="26"/>
      <c r="X45" s="26"/>
      <c r="Y45" s="26"/>
    </row>
    <row r="46" spans="1:25">
      <c r="A46" s="26"/>
      <c r="B46" s="26"/>
      <c r="C46" s="26"/>
      <c r="D46" s="26"/>
      <c r="E46" s="26"/>
      <c r="F46" s="26"/>
      <c r="G46" s="26"/>
      <c r="H46" s="26"/>
      <c r="I46" s="26"/>
      <c r="J46" s="26"/>
      <c r="K46" s="26"/>
      <c r="L46" s="26"/>
      <c r="M46" s="26"/>
      <c r="N46" s="26"/>
      <c r="O46" s="26"/>
      <c r="P46" s="26"/>
      <c r="Q46" s="26"/>
      <c r="R46" s="26"/>
      <c r="S46" s="26"/>
      <c r="T46" s="26"/>
      <c r="U46" s="26"/>
      <c r="V46" s="26"/>
      <c r="W46" s="26"/>
      <c r="X46" s="26"/>
      <c r="Y46" s="26"/>
    </row>
    <row r="47" spans="1:25">
      <c r="A47" s="26"/>
      <c r="B47" s="26"/>
      <c r="C47" s="26"/>
      <c r="D47" s="26"/>
      <c r="E47" s="26"/>
      <c r="F47" s="26"/>
      <c r="G47" s="26"/>
      <c r="H47" s="26"/>
      <c r="I47" s="26"/>
      <c r="J47" s="26"/>
      <c r="K47" s="26"/>
      <c r="L47" s="26"/>
      <c r="M47" s="26"/>
      <c r="N47" s="26"/>
      <c r="O47" s="26"/>
      <c r="P47" s="26"/>
      <c r="Q47" s="26"/>
      <c r="R47" s="26"/>
      <c r="S47" s="26"/>
      <c r="T47" s="26"/>
      <c r="U47" s="26"/>
      <c r="V47" s="26"/>
      <c r="W47" s="26"/>
      <c r="X47" s="26"/>
      <c r="Y47" s="26"/>
    </row>
    <row r="48" spans="1:25">
      <c r="A48" s="26"/>
      <c r="B48" s="26"/>
      <c r="C48" s="26"/>
      <c r="D48" s="26"/>
      <c r="E48" s="26"/>
      <c r="F48" s="26"/>
      <c r="G48" s="26"/>
      <c r="H48" s="26"/>
      <c r="I48" s="26"/>
      <c r="J48" s="26"/>
      <c r="K48" s="26"/>
      <c r="L48" s="26"/>
      <c r="M48" s="26"/>
      <c r="N48" s="26"/>
      <c r="O48" s="26"/>
      <c r="P48" s="26"/>
      <c r="Q48" s="26"/>
      <c r="R48" s="26"/>
      <c r="S48" s="26"/>
      <c r="T48" s="26"/>
      <c r="U48" s="26"/>
      <c r="V48" s="26"/>
      <c r="W48" s="26"/>
      <c r="X48" s="26"/>
      <c r="Y48" s="26"/>
    </row>
    <row r="49" spans="1:25">
      <c r="A49" s="26"/>
      <c r="B49" s="26"/>
      <c r="C49" s="26"/>
      <c r="D49" s="26"/>
      <c r="E49" s="26"/>
      <c r="F49" s="26"/>
      <c r="G49" s="26"/>
      <c r="H49" s="26"/>
      <c r="I49" s="26"/>
      <c r="J49" s="26"/>
      <c r="K49" s="26"/>
      <c r="L49" s="26"/>
      <c r="M49" s="26"/>
      <c r="N49" s="26"/>
      <c r="O49" s="26"/>
      <c r="P49" s="26"/>
      <c r="Q49" s="26"/>
      <c r="R49" s="26"/>
      <c r="S49" s="26"/>
      <c r="T49" s="26"/>
      <c r="U49" s="26"/>
      <c r="V49" s="26"/>
      <c r="W49" s="26"/>
      <c r="X49" s="26"/>
      <c r="Y49" s="26"/>
    </row>
    <row r="50" spans="1:25">
      <c r="A50" s="26"/>
      <c r="B50" s="26"/>
      <c r="C50" s="26"/>
      <c r="D50" s="26"/>
      <c r="E50" s="26"/>
      <c r="F50" s="26"/>
      <c r="G50" s="26"/>
      <c r="H50" s="26"/>
      <c r="I50" s="26"/>
      <c r="J50" s="26"/>
      <c r="K50" s="26"/>
      <c r="L50" s="26"/>
      <c r="M50" s="26"/>
      <c r="N50" s="26"/>
      <c r="O50" s="26"/>
      <c r="P50" s="26"/>
      <c r="Q50" s="26"/>
      <c r="R50" s="26"/>
      <c r="S50" s="26"/>
      <c r="T50" s="26"/>
      <c r="U50" s="26"/>
      <c r="V50" s="26"/>
      <c r="W50" s="26"/>
      <c r="X50" s="26"/>
      <c r="Y50" s="26"/>
    </row>
    <row r="51" spans="1:25">
      <c r="A51" s="26"/>
      <c r="B51" s="26"/>
      <c r="C51" s="26"/>
      <c r="D51" s="26"/>
      <c r="E51" s="26"/>
      <c r="F51" s="26"/>
      <c r="G51" s="26"/>
      <c r="H51" s="26"/>
      <c r="I51" s="26"/>
      <c r="J51" s="26"/>
      <c r="K51" s="26"/>
      <c r="L51" s="26"/>
      <c r="M51" s="26"/>
      <c r="N51" s="26"/>
      <c r="O51" s="26"/>
      <c r="P51" s="26"/>
      <c r="Q51" s="26"/>
      <c r="R51" s="26"/>
      <c r="S51" s="26"/>
      <c r="T51" s="26"/>
      <c r="U51" s="26"/>
      <c r="V51" s="26"/>
      <c r="W51" s="26"/>
      <c r="X51" s="26"/>
      <c r="Y51" s="26"/>
    </row>
    <row r="52" spans="1:25">
      <c r="A52" s="26"/>
      <c r="B52" s="26"/>
      <c r="C52" s="26"/>
      <c r="D52" s="26"/>
      <c r="E52" s="26"/>
      <c r="F52" s="26"/>
      <c r="G52" s="26"/>
      <c r="H52" s="26"/>
      <c r="I52" s="26"/>
      <c r="J52" s="26"/>
      <c r="K52" s="26"/>
      <c r="L52" s="26"/>
      <c r="M52" s="26"/>
      <c r="N52" s="26"/>
      <c r="O52" s="26"/>
      <c r="P52" s="26"/>
      <c r="Q52" s="26"/>
      <c r="R52" s="26"/>
      <c r="S52" s="26"/>
      <c r="T52" s="26"/>
      <c r="U52" s="26"/>
      <c r="V52" s="26"/>
      <c r="W52" s="26"/>
      <c r="X52" s="26"/>
      <c r="Y52" s="26"/>
    </row>
    <row r="53" spans="1:25">
      <c r="A53" s="26"/>
      <c r="B53" s="26"/>
      <c r="C53" s="26"/>
      <c r="D53" s="26"/>
      <c r="E53" s="26"/>
      <c r="F53" s="26"/>
      <c r="G53" s="26"/>
      <c r="H53" s="26"/>
      <c r="I53" s="26"/>
      <c r="J53" s="26"/>
      <c r="K53" s="26"/>
      <c r="L53" s="26"/>
      <c r="M53" s="26"/>
      <c r="N53" s="26"/>
      <c r="O53" s="26"/>
      <c r="P53" s="26"/>
      <c r="Q53" s="26"/>
      <c r="R53" s="26"/>
      <c r="S53" s="26"/>
      <c r="T53" s="26"/>
      <c r="U53" s="26"/>
      <c r="V53" s="26"/>
      <c r="W53" s="26"/>
      <c r="X53" s="26"/>
      <c r="Y53" s="26"/>
    </row>
    <row r="54" spans="1:25">
      <c r="A54" s="26"/>
      <c r="B54" s="26"/>
      <c r="C54" s="26"/>
      <c r="D54" s="26"/>
      <c r="E54" s="26"/>
      <c r="F54" s="26"/>
      <c r="G54" s="26"/>
      <c r="H54" s="26"/>
      <c r="I54" s="26"/>
      <c r="J54" s="26"/>
      <c r="K54" s="26"/>
      <c r="L54" s="26"/>
      <c r="M54" s="26"/>
      <c r="N54" s="26"/>
      <c r="O54" s="26"/>
      <c r="P54" s="26"/>
      <c r="Q54" s="26"/>
      <c r="R54" s="26"/>
      <c r="S54" s="26"/>
      <c r="T54" s="26"/>
      <c r="U54" s="26"/>
      <c r="V54" s="26"/>
      <c r="W54" s="26"/>
      <c r="X54" s="26"/>
      <c r="Y54" s="26"/>
    </row>
    <row r="55" spans="1:25">
      <c r="A55" s="26"/>
      <c r="B55" s="26"/>
      <c r="C55" s="26"/>
      <c r="D55" s="26"/>
      <c r="E55" s="26"/>
      <c r="F55" s="26"/>
      <c r="G55" s="26"/>
      <c r="H55" s="26"/>
      <c r="I55" s="26"/>
      <c r="J55" s="26"/>
      <c r="K55" s="26"/>
      <c r="L55" s="26"/>
      <c r="M55" s="26"/>
      <c r="N55" s="26"/>
      <c r="O55" s="26"/>
      <c r="P55" s="26"/>
      <c r="Q55" s="26"/>
      <c r="R55" s="26"/>
      <c r="S55" s="26"/>
      <c r="T55" s="26"/>
      <c r="U55" s="26"/>
      <c r="V55" s="26"/>
      <c r="W55" s="26"/>
      <c r="X55" s="26"/>
      <c r="Y55" s="26"/>
    </row>
    <row r="56" spans="1:25">
      <c r="A56" s="26"/>
      <c r="B56" s="26"/>
      <c r="C56" s="26"/>
      <c r="D56" s="26"/>
      <c r="E56" s="26"/>
      <c r="F56" s="26"/>
      <c r="G56" s="26"/>
      <c r="H56" s="26"/>
      <c r="I56" s="26"/>
      <c r="J56" s="26"/>
      <c r="K56" s="26"/>
      <c r="L56" s="26"/>
      <c r="M56" s="26"/>
      <c r="N56" s="26"/>
      <c r="O56" s="26"/>
      <c r="P56" s="26"/>
      <c r="Q56" s="26"/>
      <c r="R56" s="26"/>
      <c r="S56" s="26"/>
      <c r="T56" s="26"/>
      <c r="U56" s="26"/>
      <c r="V56" s="26"/>
      <c r="W56" s="26"/>
      <c r="X56" s="26"/>
      <c r="Y56" s="26"/>
    </row>
    <row r="57" spans="1:25">
      <c r="A57" s="26"/>
      <c r="B57" s="26"/>
      <c r="C57" s="26"/>
      <c r="D57" s="26"/>
      <c r="E57" s="26"/>
      <c r="F57" s="26"/>
      <c r="G57" s="26"/>
      <c r="H57" s="26"/>
      <c r="I57" s="26"/>
      <c r="J57" s="26"/>
      <c r="K57" s="26"/>
      <c r="L57" s="26"/>
      <c r="M57" s="26"/>
      <c r="N57" s="26"/>
      <c r="O57" s="26"/>
      <c r="P57" s="26"/>
      <c r="Q57" s="26"/>
      <c r="R57" s="26"/>
      <c r="S57" s="26"/>
      <c r="T57" s="26"/>
      <c r="U57" s="26"/>
      <c r="V57" s="26"/>
      <c r="W57" s="26"/>
      <c r="X57" s="26"/>
      <c r="Y57" s="26"/>
    </row>
    <row r="58" spans="1:25">
      <c r="A58" s="26"/>
      <c r="B58" s="26"/>
      <c r="C58" s="26"/>
      <c r="D58" s="26"/>
      <c r="E58" s="26"/>
      <c r="F58" s="26"/>
      <c r="G58" s="26"/>
      <c r="H58" s="26"/>
      <c r="I58" s="26"/>
      <c r="J58" s="26"/>
      <c r="K58" s="26"/>
      <c r="L58" s="26"/>
      <c r="M58" s="26"/>
      <c r="N58" s="26"/>
      <c r="O58" s="26"/>
      <c r="P58" s="26"/>
      <c r="Q58" s="26"/>
      <c r="R58" s="26"/>
      <c r="S58" s="26"/>
      <c r="T58" s="26"/>
      <c r="U58" s="26"/>
      <c r="V58" s="26"/>
      <c r="W58" s="26"/>
      <c r="X58" s="26"/>
      <c r="Y58" s="26"/>
    </row>
    <row r="59" spans="1:25">
      <c r="A59" s="26"/>
      <c r="B59" s="26"/>
      <c r="C59" s="26"/>
      <c r="D59" s="26"/>
      <c r="E59" s="26"/>
      <c r="F59" s="26"/>
      <c r="G59" s="26"/>
      <c r="H59" s="26"/>
      <c r="I59" s="26"/>
      <c r="J59" s="26"/>
      <c r="K59" s="26"/>
      <c r="L59" s="26"/>
      <c r="M59" s="26"/>
      <c r="N59" s="26"/>
      <c r="O59" s="26"/>
      <c r="P59" s="26"/>
      <c r="Q59" s="26"/>
      <c r="R59" s="26"/>
      <c r="S59" s="26"/>
      <c r="T59" s="26"/>
      <c r="U59" s="26"/>
      <c r="V59" s="26"/>
      <c r="W59" s="26"/>
      <c r="X59" s="26"/>
      <c r="Y59" s="26"/>
    </row>
    <row r="60" spans="1:25">
      <c r="A60" s="26"/>
      <c r="B60" s="26"/>
      <c r="C60" s="26"/>
      <c r="D60" s="26"/>
      <c r="E60" s="26"/>
      <c r="F60" s="26"/>
      <c r="G60" s="26"/>
      <c r="H60" s="26"/>
      <c r="I60" s="26"/>
      <c r="J60" s="26"/>
      <c r="K60" s="26"/>
      <c r="L60" s="26"/>
      <c r="M60" s="26"/>
      <c r="N60" s="26"/>
      <c r="O60" s="26"/>
      <c r="P60" s="26"/>
      <c r="Q60" s="26"/>
      <c r="R60" s="26"/>
      <c r="S60" s="26"/>
      <c r="T60" s="26"/>
      <c r="U60" s="26"/>
      <c r="V60" s="26"/>
      <c r="W60" s="26"/>
      <c r="X60" s="26"/>
      <c r="Y60" s="26"/>
    </row>
    <row r="61" spans="1:25">
      <c r="A61" s="26"/>
      <c r="B61" s="26"/>
      <c r="C61" s="26"/>
      <c r="D61" s="26"/>
      <c r="E61" s="26"/>
      <c r="F61" s="26"/>
      <c r="G61" s="26"/>
      <c r="H61" s="26"/>
      <c r="I61" s="26"/>
      <c r="J61" s="26"/>
      <c r="K61" s="26"/>
      <c r="L61" s="26"/>
      <c r="M61" s="26"/>
      <c r="N61" s="26"/>
      <c r="O61" s="26"/>
      <c r="P61" s="26"/>
      <c r="Q61" s="26"/>
      <c r="R61" s="26"/>
      <c r="S61" s="26"/>
      <c r="T61" s="26"/>
      <c r="U61" s="26"/>
      <c r="V61" s="26"/>
      <c r="W61" s="26"/>
      <c r="X61" s="26"/>
      <c r="Y61" s="26"/>
    </row>
    <row r="62" spans="1:25">
      <c r="A62" s="26"/>
      <c r="B62" s="26"/>
      <c r="C62" s="26"/>
      <c r="D62" s="26"/>
      <c r="E62" s="26"/>
      <c r="F62" s="26"/>
      <c r="G62" s="26"/>
      <c r="H62" s="26"/>
      <c r="I62" s="26"/>
      <c r="J62" s="26"/>
      <c r="K62" s="26"/>
      <c r="L62" s="26"/>
      <c r="M62" s="26"/>
      <c r="N62" s="26"/>
      <c r="O62" s="26"/>
      <c r="P62" s="26"/>
      <c r="Q62" s="26"/>
      <c r="R62" s="26"/>
      <c r="S62" s="26"/>
      <c r="T62" s="26"/>
      <c r="U62" s="26"/>
      <c r="V62" s="26"/>
      <c r="W62" s="26"/>
      <c r="X62" s="26"/>
      <c r="Y62" s="26"/>
    </row>
    <row r="63" spans="1:25">
      <c r="A63" s="26"/>
      <c r="B63" s="26"/>
      <c r="C63" s="26"/>
      <c r="D63" s="26"/>
      <c r="E63" s="26"/>
      <c r="F63" s="26"/>
      <c r="G63" s="26"/>
      <c r="H63" s="26"/>
      <c r="I63" s="26"/>
      <c r="J63" s="26"/>
      <c r="K63" s="26"/>
      <c r="L63" s="26"/>
      <c r="M63" s="26"/>
      <c r="N63" s="26"/>
      <c r="O63" s="26"/>
      <c r="P63" s="26"/>
      <c r="Q63" s="26"/>
      <c r="R63" s="26"/>
      <c r="S63" s="26"/>
      <c r="T63" s="26"/>
      <c r="U63" s="26"/>
      <c r="V63" s="26"/>
      <c r="W63" s="26"/>
      <c r="X63" s="26"/>
      <c r="Y63" s="26"/>
    </row>
    <row r="64" spans="1:25">
      <c r="A64" s="26"/>
      <c r="B64" s="26"/>
      <c r="C64" s="26"/>
      <c r="D64" s="26"/>
      <c r="E64" s="26"/>
      <c r="F64" s="26"/>
      <c r="G64" s="26"/>
      <c r="H64" s="26"/>
      <c r="I64" s="26"/>
      <c r="J64" s="26"/>
      <c r="K64" s="26"/>
      <c r="L64" s="26"/>
      <c r="M64" s="26"/>
      <c r="N64" s="26"/>
      <c r="O64" s="26"/>
      <c r="P64" s="26"/>
      <c r="Q64" s="26"/>
      <c r="R64" s="26"/>
      <c r="S64" s="26"/>
      <c r="T64" s="26"/>
      <c r="U64" s="26"/>
      <c r="V64" s="26"/>
      <c r="W64" s="26"/>
      <c r="X64" s="26"/>
      <c r="Y64" s="26"/>
    </row>
    <row r="65" spans="1:25">
      <c r="A65" s="26"/>
      <c r="B65" s="26"/>
      <c r="C65" s="26"/>
      <c r="D65" s="26"/>
      <c r="E65" s="26"/>
      <c r="F65" s="26"/>
      <c r="G65" s="26"/>
      <c r="H65" s="26"/>
      <c r="I65" s="26"/>
      <c r="J65" s="26"/>
      <c r="K65" s="26"/>
      <c r="L65" s="26"/>
      <c r="M65" s="26"/>
      <c r="N65" s="26"/>
      <c r="O65" s="26"/>
      <c r="P65" s="26"/>
      <c r="Q65" s="26"/>
      <c r="R65" s="26"/>
      <c r="S65" s="26"/>
      <c r="T65" s="26"/>
      <c r="U65" s="26"/>
      <c r="V65" s="26"/>
      <c r="W65" s="26"/>
      <c r="X65" s="26"/>
      <c r="Y65" s="26"/>
    </row>
    <row r="66" spans="1:25">
      <c r="A66" s="26"/>
      <c r="B66" s="26"/>
      <c r="C66" s="26"/>
      <c r="D66" s="26"/>
      <c r="E66" s="26"/>
      <c r="F66" s="26"/>
      <c r="G66" s="26"/>
      <c r="H66" s="26"/>
      <c r="I66" s="26"/>
      <c r="J66" s="26"/>
      <c r="K66" s="26"/>
      <c r="L66" s="26"/>
      <c r="M66" s="26"/>
      <c r="N66" s="26"/>
      <c r="O66" s="26"/>
      <c r="P66" s="26"/>
      <c r="Q66" s="26"/>
      <c r="R66" s="26"/>
      <c r="S66" s="26"/>
      <c r="T66" s="26"/>
      <c r="U66" s="26"/>
      <c r="V66" s="26"/>
      <c r="W66" s="26"/>
      <c r="X66" s="26"/>
      <c r="Y66" s="26"/>
    </row>
    <row r="67" spans="1:25">
      <c r="A67" s="26"/>
      <c r="B67" s="26"/>
      <c r="C67" s="26"/>
      <c r="D67" s="26"/>
      <c r="E67" s="26"/>
      <c r="F67" s="26"/>
      <c r="G67" s="26"/>
      <c r="H67" s="26"/>
      <c r="I67" s="26"/>
      <c r="J67" s="26"/>
      <c r="K67" s="26"/>
      <c r="L67" s="26"/>
      <c r="M67" s="26"/>
      <c r="N67" s="26"/>
      <c r="O67" s="26"/>
      <c r="P67" s="26"/>
      <c r="Q67" s="26"/>
      <c r="R67" s="26"/>
      <c r="S67" s="26"/>
      <c r="T67" s="26"/>
      <c r="U67" s="26"/>
      <c r="V67" s="26"/>
      <c r="W67" s="26"/>
      <c r="X67" s="26"/>
      <c r="Y67" s="26"/>
    </row>
    <row r="68" spans="1:25">
      <c r="A68" s="26"/>
      <c r="B68" s="26"/>
      <c r="C68" s="26"/>
      <c r="D68" s="26"/>
      <c r="E68" s="26"/>
      <c r="F68" s="26"/>
      <c r="G68" s="26"/>
      <c r="H68" s="26"/>
      <c r="I68" s="26"/>
      <c r="J68" s="26"/>
      <c r="K68" s="26"/>
      <c r="L68" s="26"/>
      <c r="M68" s="26"/>
      <c r="N68" s="26"/>
      <c r="O68" s="26"/>
      <c r="P68" s="26"/>
      <c r="Q68" s="26"/>
      <c r="R68" s="26"/>
      <c r="S68" s="26"/>
      <c r="T68" s="26"/>
      <c r="U68" s="26"/>
      <c r="V68" s="26"/>
      <c r="W68" s="26"/>
      <c r="X68" s="26"/>
      <c r="Y68" s="26"/>
    </row>
    <row r="69" spans="1:25">
      <c r="A69" s="26"/>
      <c r="B69" s="26"/>
      <c r="C69" s="26"/>
      <c r="D69" s="26"/>
      <c r="E69" s="26"/>
      <c r="F69" s="26"/>
      <c r="G69" s="26"/>
      <c r="H69" s="26"/>
      <c r="I69" s="26"/>
      <c r="J69" s="26"/>
      <c r="K69" s="26"/>
      <c r="L69" s="26"/>
      <c r="M69" s="26"/>
      <c r="N69" s="26"/>
      <c r="O69" s="26"/>
      <c r="P69" s="26"/>
      <c r="Q69" s="26"/>
      <c r="R69" s="26"/>
      <c r="S69" s="26"/>
      <c r="T69" s="26"/>
      <c r="U69" s="26"/>
      <c r="V69" s="26"/>
      <c r="W69" s="26"/>
      <c r="X69" s="26"/>
      <c r="Y69" s="26"/>
    </row>
    <row r="70" spans="1:25">
      <c r="A70" s="26"/>
      <c r="B70" s="26"/>
      <c r="C70" s="26"/>
      <c r="D70" s="26"/>
      <c r="E70" s="26"/>
      <c r="F70" s="26"/>
      <c r="G70" s="26"/>
      <c r="H70" s="26"/>
      <c r="I70" s="26"/>
      <c r="J70" s="26"/>
      <c r="K70" s="26"/>
      <c r="L70" s="26"/>
      <c r="M70" s="26"/>
      <c r="N70" s="26"/>
      <c r="O70" s="26"/>
      <c r="P70" s="26"/>
      <c r="Q70" s="26"/>
      <c r="R70" s="26"/>
      <c r="S70" s="26"/>
      <c r="T70" s="26"/>
      <c r="U70" s="26"/>
      <c r="V70" s="26"/>
      <c r="W70" s="26"/>
      <c r="X70" s="26"/>
      <c r="Y70" s="26"/>
    </row>
    <row r="71" spans="1:25">
      <c r="A71" s="26"/>
      <c r="B71" s="26"/>
      <c r="C71" s="26"/>
      <c r="D71" s="26"/>
      <c r="E71" s="26"/>
      <c r="F71" s="26"/>
      <c r="G71" s="26"/>
      <c r="H71" s="26"/>
      <c r="I71" s="26"/>
      <c r="J71" s="26"/>
      <c r="K71" s="26"/>
      <c r="L71" s="26"/>
      <c r="M71" s="26"/>
      <c r="N71" s="26"/>
      <c r="O71" s="26"/>
      <c r="P71" s="26"/>
      <c r="Q71" s="26"/>
      <c r="R71" s="26"/>
      <c r="S71" s="26"/>
      <c r="T71" s="26"/>
      <c r="U71" s="26"/>
      <c r="V71" s="26"/>
      <c r="W71" s="26"/>
      <c r="X71" s="26"/>
      <c r="Y71" s="26"/>
    </row>
    <row r="72" spans="1:25">
      <c r="A72" s="26"/>
      <c r="B72" s="26"/>
      <c r="C72" s="26"/>
      <c r="D72" s="26"/>
      <c r="E72" s="26"/>
      <c r="F72" s="26"/>
      <c r="G72" s="26"/>
      <c r="H72" s="26"/>
      <c r="I72" s="26"/>
      <c r="J72" s="26"/>
      <c r="K72" s="26"/>
      <c r="L72" s="26"/>
      <c r="M72" s="26"/>
      <c r="N72" s="26"/>
      <c r="O72" s="26"/>
      <c r="P72" s="26"/>
      <c r="Q72" s="26"/>
      <c r="R72" s="26"/>
      <c r="S72" s="26"/>
      <c r="T72" s="26"/>
      <c r="U72" s="26"/>
      <c r="V72" s="26"/>
      <c r="W72" s="26"/>
      <c r="X72" s="26"/>
      <c r="Y72" s="26"/>
    </row>
    <row r="73" spans="1:25">
      <c r="A73" s="26"/>
      <c r="B73" s="26"/>
      <c r="C73" s="26"/>
      <c r="D73" s="26"/>
      <c r="E73" s="26"/>
      <c r="F73" s="26"/>
      <c r="G73" s="26"/>
      <c r="H73" s="26"/>
      <c r="I73" s="26"/>
      <c r="J73" s="26"/>
      <c r="K73" s="26"/>
      <c r="L73" s="26"/>
      <c r="M73" s="26"/>
      <c r="N73" s="26"/>
      <c r="O73" s="26"/>
      <c r="P73" s="26"/>
      <c r="Q73" s="26"/>
      <c r="R73" s="26"/>
      <c r="S73" s="26"/>
      <c r="T73" s="26"/>
      <c r="U73" s="26"/>
      <c r="V73" s="26"/>
      <c r="W73" s="26"/>
      <c r="X73" s="26"/>
      <c r="Y73" s="26"/>
    </row>
    <row r="74" spans="1:25">
      <c r="A74" s="26"/>
      <c r="B74" s="26"/>
      <c r="C74" s="26"/>
      <c r="D74" s="26"/>
      <c r="E74" s="26"/>
      <c r="F74" s="26"/>
      <c r="G74" s="26"/>
      <c r="H74" s="26"/>
      <c r="I74" s="26"/>
      <c r="J74" s="26"/>
      <c r="K74" s="26"/>
      <c r="L74" s="26"/>
      <c r="M74" s="26"/>
      <c r="N74" s="26"/>
      <c r="O74" s="26"/>
      <c r="P74" s="26"/>
      <c r="Q74" s="26"/>
      <c r="R74" s="26"/>
      <c r="S74" s="26"/>
      <c r="T74" s="26"/>
      <c r="U74" s="26"/>
      <c r="V74" s="26"/>
      <c r="W74" s="26"/>
      <c r="X74" s="26"/>
      <c r="Y74" s="26"/>
    </row>
    <row r="75" spans="1:25">
      <c r="A75" s="26"/>
      <c r="B75" s="26"/>
      <c r="C75" s="26"/>
      <c r="D75" s="26"/>
      <c r="E75" s="26"/>
      <c r="F75" s="26"/>
      <c r="G75" s="26"/>
      <c r="H75" s="26"/>
      <c r="I75" s="26"/>
      <c r="J75" s="26"/>
      <c r="K75" s="26"/>
      <c r="L75" s="26"/>
      <c r="M75" s="26"/>
      <c r="N75" s="26"/>
      <c r="O75" s="26"/>
      <c r="P75" s="26"/>
      <c r="Q75" s="26"/>
      <c r="R75" s="26"/>
      <c r="S75" s="26"/>
      <c r="T75" s="26"/>
      <c r="U75" s="26"/>
      <c r="V75" s="26"/>
      <c r="W75" s="26"/>
      <c r="X75" s="26"/>
      <c r="Y75" s="26"/>
    </row>
    <row r="76" spans="1:25">
      <c r="A76" s="26"/>
      <c r="B76" s="26"/>
      <c r="C76" s="26"/>
      <c r="D76" s="26"/>
      <c r="E76" s="26"/>
      <c r="F76" s="26"/>
      <c r="G76" s="26"/>
      <c r="H76" s="26"/>
      <c r="I76" s="26"/>
      <c r="J76" s="26"/>
      <c r="K76" s="26"/>
      <c r="L76" s="26"/>
      <c r="M76" s="26"/>
      <c r="N76" s="26"/>
      <c r="O76" s="26"/>
      <c r="P76" s="26"/>
      <c r="Q76" s="26"/>
      <c r="R76" s="26"/>
      <c r="S76" s="26"/>
      <c r="T76" s="26"/>
      <c r="U76" s="26"/>
      <c r="V76" s="26"/>
      <c r="W76" s="26"/>
      <c r="X76" s="26"/>
      <c r="Y76" s="26"/>
    </row>
    <row r="77" spans="1:25">
      <c r="A77" s="26"/>
      <c r="B77" s="26"/>
      <c r="C77" s="26"/>
      <c r="D77" s="26"/>
      <c r="E77" s="26"/>
      <c r="F77" s="26"/>
      <c r="G77" s="26"/>
      <c r="H77" s="26"/>
      <c r="I77" s="26"/>
      <c r="J77" s="26"/>
      <c r="K77" s="26"/>
      <c r="L77" s="26"/>
      <c r="M77" s="26"/>
      <c r="N77" s="26"/>
      <c r="O77" s="26"/>
      <c r="P77" s="26"/>
      <c r="Q77" s="26"/>
      <c r="R77" s="26"/>
      <c r="S77" s="26"/>
      <c r="T77" s="26"/>
      <c r="U77" s="26"/>
      <c r="V77" s="26"/>
      <c r="W77" s="26"/>
      <c r="X77" s="26"/>
      <c r="Y77" s="26"/>
    </row>
    <row r="78" spans="1:25">
      <c r="A78" s="26"/>
      <c r="B78" s="26"/>
      <c r="C78" s="26"/>
      <c r="D78" s="26"/>
      <c r="E78" s="26"/>
      <c r="F78" s="26"/>
      <c r="G78" s="26"/>
      <c r="H78" s="26"/>
      <c r="I78" s="26"/>
      <c r="J78" s="26"/>
      <c r="K78" s="26"/>
      <c r="L78" s="26"/>
      <c r="M78" s="26"/>
      <c r="N78" s="26"/>
      <c r="O78" s="26"/>
      <c r="P78" s="26"/>
      <c r="Q78" s="26"/>
      <c r="R78" s="26"/>
      <c r="S78" s="26"/>
      <c r="T78" s="26"/>
      <c r="U78" s="26"/>
      <c r="V78" s="26"/>
      <c r="W78" s="26"/>
      <c r="X78" s="26"/>
      <c r="Y78" s="26"/>
    </row>
    <row r="79" spans="1:25">
      <c r="A79" s="26"/>
      <c r="B79" s="26"/>
      <c r="C79" s="26"/>
      <c r="D79" s="26"/>
      <c r="E79" s="26"/>
      <c r="F79" s="26"/>
      <c r="G79" s="26"/>
      <c r="H79" s="26"/>
      <c r="I79" s="26"/>
      <c r="J79" s="26"/>
      <c r="K79" s="26"/>
      <c r="L79" s="26"/>
      <c r="M79" s="26"/>
      <c r="N79" s="26"/>
      <c r="O79" s="26"/>
      <c r="P79" s="26"/>
      <c r="Q79" s="26"/>
      <c r="R79" s="26"/>
      <c r="S79" s="26"/>
      <c r="T79" s="26"/>
      <c r="U79" s="26"/>
      <c r="V79" s="26"/>
      <c r="W79" s="26"/>
      <c r="X79" s="26"/>
      <c r="Y79" s="26"/>
    </row>
    <row r="80" spans="1:25">
      <c r="A80" s="26"/>
      <c r="B80" s="26"/>
      <c r="C80" s="26"/>
      <c r="D80" s="26"/>
      <c r="E80" s="26"/>
      <c r="F80" s="26"/>
      <c r="G80" s="26"/>
      <c r="H80" s="26"/>
      <c r="I80" s="26"/>
      <c r="J80" s="26"/>
      <c r="K80" s="26"/>
      <c r="L80" s="26"/>
      <c r="M80" s="26"/>
      <c r="N80" s="26"/>
      <c r="O80" s="26"/>
      <c r="P80" s="26"/>
      <c r="Q80" s="26"/>
      <c r="R80" s="26"/>
      <c r="S80" s="26"/>
      <c r="T80" s="26"/>
      <c r="U80" s="26"/>
      <c r="V80" s="26"/>
      <c r="W80" s="26"/>
      <c r="X80" s="26"/>
      <c r="Y80" s="26"/>
    </row>
    <row r="81" spans="1:25">
      <c r="A81" s="26"/>
      <c r="B81" s="26"/>
      <c r="C81" s="26"/>
      <c r="D81" s="26"/>
      <c r="E81" s="26"/>
      <c r="F81" s="26"/>
      <c r="G81" s="26"/>
      <c r="H81" s="26"/>
      <c r="I81" s="26"/>
      <c r="J81" s="26"/>
      <c r="K81" s="26"/>
      <c r="L81" s="26"/>
      <c r="M81" s="26"/>
      <c r="N81" s="26"/>
      <c r="O81" s="26"/>
      <c r="P81" s="26"/>
      <c r="Q81" s="26"/>
      <c r="R81" s="26"/>
      <c r="S81" s="26"/>
      <c r="T81" s="26"/>
      <c r="U81" s="26"/>
      <c r="V81" s="26"/>
      <c r="W81" s="26"/>
      <c r="X81" s="26"/>
      <c r="Y81" s="26"/>
    </row>
    <row r="82" spans="1:25">
      <c r="A82" s="26"/>
      <c r="B82" s="26"/>
      <c r="C82" s="26"/>
      <c r="D82" s="26"/>
      <c r="E82" s="26"/>
      <c r="F82" s="26"/>
      <c r="G82" s="26"/>
      <c r="H82" s="26"/>
      <c r="I82" s="26"/>
      <c r="J82" s="26"/>
      <c r="K82" s="26"/>
      <c r="L82" s="26"/>
      <c r="M82" s="26"/>
      <c r="N82" s="26"/>
      <c r="O82" s="26"/>
      <c r="P82" s="26"/>
      <c r="Q82" s="26"/>
      <c r="R82" s="26"/>
      <c r="S82" s="26"/>
      <c r="T82" s="26"/>
      <c r="U82" s="26"/>
      <c r="V82" s="26"/>
      <c r="W82" s="26"/>
      <c r="X82" s="26"/>
      <c r="Y82" s="26"/>
    </row>
    <row r="83" spans="1:25">
      <c r="A83" s="26"/>
      <c r="B83" s="26"/>
      <c r="C83" s="26"/>
      <c r="D83" s="26"/>
      <c r="E83" s="26"/>
      <c r="F83" s="26"/>
      <c r="G83" s="26"/>
      <c r="H83" s="26"/>
      <c r="I83" s="26"/>
      <c r="J83" s="26"/>
      <c r="K83" s="26"/>
      <c r="L83" s="26"/>
      <c r="M83" s="26"/>
      <c r="N83" s="26"/>
      <c r="O83" s="26"/>
      <c r="P83" s="26"/>
      <c r="Q83" s="26"/>
      <c r="R83" s="26"/>
      <c r="S83" s="26"/>
      <c r="T83" s="26"/>
      <c r="U83" s="26"/>
      <c r="V83" s="26"/>
      <c r="W83" s="26"/>
      <c r="X83" s="26"/>
      <c r="Y83" s="26"/>
    </row>
    <row r="84" spans="1:25">
      <c r="A84" s="26"/>
      <c r="B84" s="26"/>
      <c r="C84" s="26"/>
      <c r="D84" s="26"/>
      <c r="E84" s="26"/>
      <c r="F84" s="26"/>
      <c r="G84" s="26"/>
      <c r="H84" s="26"/>
      <c r="I84" s="26"/>
      <c r="J84" s="26"/>
      <c r="K84" s="26"/>
      <c r="L84" s="26"/>
      <c r="M84" s="26"/>
      <c r="N84" s="26"/>
      <c r="O84" s="26"/>
      <c r="P84" s="26"/>
      <c r="Q84" s="26"/>
      <c r="R84" s="26"/>
      <c r="S84" s="26"/>
      <c r="T84" s="26"/>
      <c r="U84" s="26"/>
      <c r="V84" s="26"/>
      <c r="W84" s="26"/>
      <c r="X84" s="26"/>
      <c r="Y84" s="26"/>
    </row>
    <row r="85" spans="1:25">
      <c r="A85" s="26"/>
      <c r="B85" s="26"/>
      <c r="C85" s="26"/>
      <c r="D85" s="26"/>
      <c r="E85" s="26"/>
      <c r="F85" s="26"/>
      <c r="G85" s="26"/>
      <c r="H85" s="26"/>
      <c r="I85" s="26"/>
      <c r="J85" s="26"/>
      <c r="K85" s="26"/>
      <c r="L85" s="26"/>
      <c r="M85" s="26"/>
      <c r="N85" s="26"/>
      <c r="O85" s="26"/>
      <c r="P85" s="26"/>
      <c r="Q85" s="26"/>
      <c r="R85" s="26"/>
      <c r="S85" s="26"/>
      <c r="T85" s="26"/>
      <c r="U85" s="26"/>
      <c r="V85" s="26"/>
      <c r="W85" s="26"/>
      <c r="X85" s="26"/>
      <c r="Y85" s="26"/>
    </row>
    <row r="86" spans="1:25">
      <c r="A86" s="26"/>
      <c r="B86" s="26"/>
      <c r="C86" s="26"/>
      <c r="D86" s="26"/>
      <c r="E86" s="26"/>
      <c r="F86" s="26"/>
      <c r="G86" s="26"/>
      <c r="H86" s="26"/>
      <c r="I86" s="26"/>
      <c r="J86" s="26"/>
      <c r="K86" s="26"/>
      <c r="L86" s="26"/>
      <c r="M86" s="26"/>
      <c r="N86" s="26"/>
      <c r="O86" s="26"/>
      <c r="P86" s="26"/>
      <c r="Q86" s="26"/>
      <c r="R86" s="26"/>
      <c r="S86" s="26"/>
      <c r="T86" s="26"/>
      <c r="U86" s="26"/>
      <c r="V86" s="26"/>
      <c r="W86" s="26"/>
      <c r="X86" s="26"/>
      <c r="Y86" s="26"/>
    </row>
    <row r="87" spans="1:25">
      <c r="A87" s="26"/>
      <c r="B87" s="26"/>
      <c r="C87" s="26"/>
      <c r="D87" s="26"/>
      <c r="E87" s="26"/>
      <c r="F87" s="26"/>
      <c r="G87" s="26"/>
      <c r="H87" s="26"/>
      <c r="I87" s="26"/>
      <c r="J87" s="26"/>
      <c r="K87" s="26"/>
      <c r="L87" s="26"/>
      <c r="M87" s="26"/>
      <c r="N87" s="26"/>
      <c r="O87" s="26"/>
      <c r="P87" s="26"/>
      <c r="Q87" s="26"/>
      <c r="R87" s="26"/>
      <c r="S87" s="26"/>
      <c r="T87" s="26"/>
      <c r="U87" s="26"/>
      <c r="V87" s="26"/>
      <c r="W87" s="26"/>
      <c r="X87" s="26"/>
      <c r="Y87" s="26"/>
    </row>
    <row r="88" spans="1:25">
      <c r="A88" s="26"/>
      <c r="B88" s="26"/>
      <c r="C88" s="26"/>
      <c r="D88" s="26"/>
      <c r="E88" s="26"/>
      <c r="F88" s="26"/>
      <c r="G88" s="26"/>
      <c r="H88" s="26"/>
      <c r="I88" s="26"/>
      <c r="J88" s="26"/>
      <c r="K88" s="26"/>
      <c r="L88" s="26"/>
      <c r="M88" s="26"/>
      <c r="N88" s="26"/>
      <c r="O88" s="26"/>
      <c r="P88" s="26"/>
      <c r="Q88" s="26"/>
      <c r="R88" s="26"/>
      <c r="S88" s="26"/>
      <c r="T88" s="26"/>
      <c r="U88" s="26"/>
      <c r="V88" s="26"/>
      <c r="W88" s="26"/>
      <c r="X88" s="26"/>
      <c r="Y88" s="26"/>
    </row>
    <row r="89" spans="1:25">
      <c r="A89" s="26"/>
      <c r="B89" s="26"/>
      <c r="C89" s="26"/>
      <c r="D89" s="26"/>
      <c r="E89" s="26"/>
      <c r="F89" s="26"/>
      <c r="G89" s="26"/>
      <c r="H89" s="26"/>
      <c r="I89" s="26"/>
      <c r="J89" s="26"/>
      <c r="K89" s="26"/>
      <c r="L89" s="26"/>
      <c r="M89" s="26"/>
      <c r="N89" s="26"/>
      <c r="O89" s="26"/>
      <c r="P89" s="26"/>
      <c r="Q89" s="26"/>
      <c r="R89" s="26"/>
      <c r="S89" s="26"/>
      <c r="T89" s="26"/>
      <c r="U89" s="26"/>
      <c r="V89" s="26"/>
      <c r="W89" s="26"/>
      <c r="X89" s="26"/>
      <c r="Y89" s="26"/>
    </row>
    <row r="90" spans="1:25">
      <c r="A90" s="26"/>
      <c r="B90" s="26"/>
      <c r="C90" s="26"/>
      <c r="D90" s="26"/>
      <c r="E90" s="26"/>
      <c r="F90" s="26"/>
      <c r="G90" s="26"/>
      <c r="H90" s="26"/>
      <c r="I90" s="26"/>
      <c r="J90" s="26"/>
      <c r="K90" s="26"/>
      <c r="L90" s="26"/>
      <c r="M90" s="26"/>
      <c r="N90" s="26"/>
      <c r="O90" s="26"/>
      <c r="P90" s="26"/>
      <c r="Q90" s="26"/>
      <c r="R90" s="26"/>
      <c r="S90" s="26"/>
      <c r="T90" s="26"/>
      <c r="U90" s="26"/>
      <c r="V90" s="26"/>
      <c r="W90" s="26"/>
      <c r="X90" s="26"/>
      <c r="Y90" s="26"/>
    </row>
    <row r="91" spans="1:25">
      <c r="A91" s="26"/>
      <c r="B91" s="26"/>
      <c r="C91" s="26"/>
      <c r="D91" s="26"/>
      <c r="E91" s="26"/>
      <c r="F91" s="26"/>
      <c r="G91" s="26"/>
      <c r="H91" s="26"/>
      <c r="I91" s="26"/>
      <c r="J91" s="26"/>
      <c r="K91" s="26"/>
      <c r="L91" s="26"/>
      <c r="M91" s="26"/>
      <c r="N91" s="26"/>
      <c r="O91" s="26"/>
      <c r="P91" s="26"/>
      <c r="Q91" s="26"/>
      <c r="R91" s="26"/>
      <c r="S91" s="26"/>
      <c r="T91" s="26"/>
      <c r="U91" s="26"/>
      <c r="V91" s="26"/>
      <c r="W91" s="26"/>
      <c r="X91" s="26"/>
      <c r="Y91" s="26"/>
    </row>
    <row r="92" spans="1:25">
      <c r="A92" s="26"/>
      <c r="B92" s="26"/>
      <c r="C92" s="26"/>
      <c r="D92" s="26"/>
      <c r="E92" s="26"/>
      <c r="F92" s="26"/>
      <c r="G92" s="26"/>
      <c r="H92" s="26"/>
      <c r="I92" s="26"/>
      <c r="J92" s="26"/>
      <c r="K92" s="26"/>
      <c r="L92" s="26"/>
      <c r="M92" s="26"/>
      <c r="N92" s="26"/>
      <c r="O92" s="26"/>
      <c r="P92" s="26"/>
      <c r="Q92" s="26"/>
      <c r="R92" s="26"/>
      <c r="S92" s="26"/>
      <c r="T92" s="26"/>
      <c r="U92" s="26"/>
      <c r="V92" s="26"/>
      <c r="W92" s="26"/>
      <c r="X92" s="26"/>
      <c r="Y92" s="26"/>
    </row>
    <row r="93" spans="1:25">
      <c r="A93" s="26"/>
      <c r="B93" s="26"/>
      <c r="C93" s="26"/>
      <c r="D93" s="26"/>
      <c r="E93" s="26"/>
      <c r="F93" s="26"/>
      <c r="G93" s="26"/>
      <c r="H93" s="26"/>
      <c r="I93" s="26"/>
      <c r="J93" s="26"/>
      <c r="K93" s="26"/>
      <c r="L93" s="26"/>
      <c r="M93" s="26"/>
      <c r="N93" s="26"/>
      <c r="O93" s="26"/>
      <c r="P93" s="26"/>
      <c r="Q93" s="26"/>
      <c r="R93" s="26"/>
      <c r="S93" s="26"/>
      <c r="T93" s="26"/>
      <c r="U93" s="26"/>
      <c r="V93" s="26"/>
      <c r="W93" s="26"/>
      <c r="X93" s="26"/>
      <c r="Y93" s="26"/>
    </row>
    <row r="94" spans="1:25">
      <c r="A94" s="26"/>
      <c r="B94" s="26"/>
      <c r="C94" s="26"/>
      <c r="D94" s="26"/>
      <c r="E94" s="26"/>
      <c r="F94" s="26"/>
      <c r="G94" s="26"/>
      <c r="H94" s="26"/>
      <c r="I94" s="26"/>
      <c r="J94" s="26"/>
      <c r="K94" s="26"/>
      <c r="L94" s="26"/>
      <c r="M94" s="26"/>
      <c r="N94" s="26"/>
      <c r="O94" s="26"/>
      <c r="P94" s="26"/>
      <c r="Q94" s="26"/>
      <c r="R94" s="26"/>
      <c r="S94" s="26"/>
      <c r="T94" s="26"/>
      <c r="U94" s="26"/>
      <c r="V94" s="26"/>
      <c r="W94" s="26"/>
      <c r="X94" s="26"/>
      <c r="Y94" s="26"/>
    </row>
    <row r="95" spans="1:25">
      <c r="A95" s="26"/>
      <c r="B95" s="26"/>
      <c r="C95" s="26"/>
      <c r="D95" s="26"/>
      <c r="E95" s="26"/>
      <c r="F95" s="26"/>
      <c r="G95" s="26"/>
      <c r="H95" s="26"/>
      <c r="I95" s="26"/>
      <c r="J95" s="26"/>
      <c r="K95" s="26"/>
      <c r="L95" s="26"/>
      <c r="M95" s="26"/>
      <c r="N95" s="26"/>
      <c r="O95" s="26"/>
      <c r="P95" s="26"/>
      <c r="Q95" s="26"/>
      <c r="R95" s="26"/>
      <c r="S95" s="26"/>
      <c r="T95" s="26"/>
      <c r="U95" s="26"/>
      <c r="V95" s="26"/>
      <c r="W95" s="26"/>
      <c r="X95" s="26"/>
      <c r="Y95" s="26"/>
    </row>
    <row r="96" spans="1:25">
      <c r="A96" s="26"/>
      <c r="B96" s="26"/>
      <c r="C96" s="26"/>
      <c r="D96" s="26"/>
      <c r="E96" s="26"/>
      <c r="F96" s="26"/>
      <c r="G96" s="26"/>
      <c r="H96" s="26"/>
      <c r="I96" s="26"/>
      <c r="J96" s="26"/>
      <c r="K96" s="26"/>
      <c r="L96" s="26"/>
      <c r="M96" s="26"/>
      <c r="N96" s="26"/>
      <c r="O96" s="26"/>
      <c r="P96" s="26"/>
      <c r="Q96" s="26"/>
      <c r="R96" s="26"/>
      <c r="S96" s="26"/>
      <c r="T96" s="26"/>
      <c r="U96" s="26"/>
      <c r="V96" s="26"/>
      <c r="W96" s="26"/>
      <c r="X96" s="26"/>
      <c r="Y96" s="26"/>
    </row>
    <row r="97" spans="1:25">
      <c r="A97" s="26"/>
      <c r="B97" s="26"/>
      <c r="C97" s="26"/>
      <c r="D97" s="26"/>
      <c r="E97" s="26"/>
      <c r="F97" s="26"/>
      <c r="G97" s="26"/>
      <c r="H97" s="26"/>
      <c r="I97" s="26"/>
      <c r="J97" s="26"/>
      <c r="K97" s="26"/>
      <c r="L97" s="26"/>
      <c r="M97" s="26"/>
      <c r="N97" s="26"/>
      <c r="O97" s="26"/>
      <c r="P97" s="26"/>
      <c r="Q97" s="26"/>
      <c r="R97" s="26"/>
      <c r="S97" s="26"/>
      <c r="T97" s="26"/>
      <c r="U97" s="26"/>
      <c r="V97" s="26"/>
      <c r="W97" s="26"/>
      <c r="X97" s="26"/>
      <c r="Y97" s="26"/>
    </row>
    <row r="98" spans="1:25">
      <c r="A98" s="26"/>
      <c r="B98" s="26"/>
      <c r="C98" s="26"/>
      <c r="D98" s="26"/>
      <c r="E98" s="26"/>
      <c r="F98" s="26"/>
      <c r="G98" s="26"/>
      <c r="H98" s="26"/>
      <c r="I98" s="26"/>
      <c r="J98" s="26"/>
      <c r="K98" s="26"/>
      <c r="L98" s="26"/>
      <c r="M98" s="26"/>
      <c r="N98" s="26"/>
      <c r="O98" s="26"/>
      <c r="P98" s="26"/>
      <c r="Q98" s="26"/>
      <c r="R98" s="26"/>
      <c r="S98" s="26"/>
      <c r="T98" s="26"/>
      <c r="U98" s="26"/>
      <c r="V98" s="26"/>
      <c r="W98" s="26"/>
      <c r="X98" s="26"/>
      <c r="Y98" s="26"/>
    </row>
    <row r="99" spans="1:25">
      <c r="A99" s="26"/>
      <c r="B99" s="26"/>
      <c r="C99" s="26"/>
      <c r="D99" s="26"/>
      <c r="E99" s="26"/>
      <c r="F99" s="26"/>
      <c r="G99" s="26"/>
      <c r="H99" s="26"/>
      <c r="I99" s="26"/>
      <c r="J99" s="26"/>
      <c r="K99" s="26"/>
      <c r="L99" s="26"/>
      <c r="M99" s="26"/>
      <c r="N99" s="26"/>
      <c r="O99" s="26"/>
      <c r="P99" s="26"/>
      <c r="Q99" s="26"/>
      <c r="R99" s="26"/>
      <c r="S99" s="26"/>
      <c r="T99" s="26"/>
      <c r="U99" s="26"/>
      <c r="V99" s="26"/>
      <c r="W99" s="26"/>
      <c r="X99" s="26"/>
      <c r="Y99" s="26"/>
    </row>
    <row r="100" spans="1: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row>
    <row r="101" spans="1: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row>
    <row r="102" spans="1: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row>
    <row r="103" spans="1: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row>
    <row r="104" spans="1: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row>
    <row r="105" spans="1: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row>
    <row r="106" spans="1: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row>
    <row r="107" spans="1: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row>
    <row r="108" spans="1: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row>
    <row r="109" spans="1: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row>
    <row r="110" spans="1: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row>
    <row r="111" spans="1: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row>
    <row r="112" spans="1: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row>
    <row r="113" spans="1: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row>
  </sheetData>
  <mergeCells count="1">
    <mergeCell ref="A3:G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91"/>
  <sheetViews>
    <sheetView zoomScale="181" workbookViewId="0"/>
  </sheetViews>
  <sheetFormatPr baseColWidth="10" defaultColWidth="8.83203125" defaultRowHeight="15"/>
  <cols>
    <col min="1" max="1" width="10.1640625" customWidth="1"/>
    <col min="2" max="4" width="11.5" customWidth="1"/>
  </cols>
  <sheetData>
    <row r="1" spans="1:8">
      <c r="B1" t="s">
        <v>1</v>
      </c>
      <c r="F1" t="s">
        <v>42</v>
      </c>
    </row>
    <row r="2" spans="1:8">
      <c r="A2" t="s">
        <v>0</v>
      </c>
      <c r="B2" t="s">
        <v>2</v>
      </c>
      <c r="C2" t="s">
        <v>18</v>
      </c>
      <c r="D2" t="s">
        <v>3</v>
      </c>
      <c r="F2" t="s">
        <v>2</v>
      </c>
      <c r="G2" t="s">
        <v>18</v>
      </c>
      <c r="H2" t="s">
        <v>3</v>
      </c>
    </row>
    <row r="3" spans="1:8">
      <c r="A3">
        <v>1928</v>
      </c>
      <c r="B3" s="20">
        <v>0.43811155152887893</v>
      </c>
      <c r="C3" s="20">
        <v>3.0800000000000001E-2</v>
      </c>
      <c r="D3" s="20">
        <v>8.354708589799302E-3</v>
      </c>
      <c r="F3" s="1">
        <f>AVERAGE(B3:B90)+1</f>
        <v>1.1141199984722114</v>
      </c>
      <c r="G3" s="1">
        <f t="shared" ref="G3:H3" si="0">AVERAGE(C3:C90)+1</f>
        <v>1.0349388068181817</v>
      </c>
      <c r="H3" s="1">
        <f t="shared" si="0"/>
        <v>1.0523129823942536</v>
      </c>
    </row>
    <row r="4" spans="1:8">
      <c r="A4">
        <v>1929</v>
      </c>
      <c r="B4" s="20">
        <v>-8.2979466119096595E-2</v>
      </c>
      <c r="C4" s="20">
        <v>3.1600000000000003E-2</v>
      </c>
      <c r="D4" s="20">
        <v>4.2038041563204259E-2</v>
      </c>
    </row>
    <row r="5" spans="1:8">
      <c r="A5">
        <v>1930</v>
      </c>
      <c r="B5" s="20">
        <v>-0.25123636363636365</v>
      </c>
      <c r="C5" s="20">
        <v>4.5499999999999999E-2</v>
      </c>
      <c r="D5" s="20">
        <v>4.5409314348970366E-2</v>
      </c>
    </row>
    <row r="6" spans="1:8">
      <c r="A6">
        <v>1931</v>
      </c>
      <c r="B6" s="20">
        <v>-0.43837548891786188</v>
      </c>
      <c r="C6" s="20">
        <v>2.3099999999999999E-2</v>
      </c>
      <c r="D6" s="20">
        <v>-2.5588559619422531E-2</v>
      </c>
    </row>
    <row r="7" spans="1:8">
      <c r="A7">
        <v>1932</v>
      </c>
      <c r="B7" s="20">
        <v>-8.642364532019696E-2</v>
      </c>
      <c r="C7" s="20">
        <v>1.0699999999999999E-2</v>
      </c>
      <c r="D7" s="20">
        <v>8.7903069904773257E-2</v>
      </c>
    </row>
    <row r="8" spans="1:8">
      <c r="A8">
        <v>1933</v>
      </c>
      <c r="B8" s="20">
        <v>0.49982225433526023</v>
      </c>
      <c r="C8" s="20">
        <v>9.5999999999999992E-3</v>
      </c>
      <c r="D8" s="20">
        <v>1.8552720891857361E-2</v>
      </c>
    </row>
    <row r="9" spans="1:8">
      <c r="A9">
        <v>1934</v>
      </c>
      <c r="B9" s="20">
        <v>-1.1885656970912803E-2</v>
      </c>
      <c r="C9" s="20">
        <v>3.225E-3</v>
      </c>
      <c r="D9" s="20">
        <v>7.9634426179656104E-2</v>
      </c>
    </row>
    <row r="10" spans="1:8">
      <c r="A10">
        <v>1935</v>
      </c>
      <c r="B10" s="20">
        <v>0.46740421052631581</v>
      </c>
      <c r="C10" s="20">
        <v>1.7499999999999998E-3</v>
      </c>
      <c r="D10" s="20">
        <v>4.4720477296566127E-2</v>
      </c>
    </row>
    <row r="11" spans="1:8">
      <c r="A11">
        <v>1936</v>
      </c>
      <c r="B11" s="20">
        <v>0.31943410275502609</v>
      </c>
      <c r="C11" s="20">
        <v>1.7000000000000001E-3</v>
      </c>
      <c r="D11" s="20">
        <v>5.0178754045450601E-2</v>
      </c>
    </row>
    <row r="12" spans="1:8">
      <c r="A12">
        <v>1937</v>
      </c>
      <c r="B12" s="20">
        <v>-0.35336728754365537</v>
      </c>
      <c r="C12" s="20">
        <v>3.0250000000000003E-3</v>
      </c>
      <c r="D12" s="20">
        <v>1.379146059646038E-2</v>
      </c>
    </row>
    <row r="13" spans="1:8">
      <c r="A13">
        <v>1938</v>
      </c>
      <c r="B13" s="20">
        <v>0.29282654028436017</v>
      </c>
      <c r="C13" s="20">
        <v>7.7499999999999997E-4</v>
      </c>
      <c r="D13" s="20">
        <v>4.2132485322046068E-2</v>
      </c>
    </row>
    <row r="14" spans="1:8">
      <c r="A14">
        <v>1939</v>
      </c>
      <c r="B14" s="20">
        <v>-1.0975646879756443E-2</v>
      </c>
      <c r="C14" s="20">
        <v>3.7500000000000006E-4</v>
      </c>
      <c r="D14" s="20">
        <v>4.4122613942060671E-2</v>
      </c>
    </row>
    <row r="15" spans="1:8">
      <c r="A15">
        <v>1940</v>
      </c>
      <c r="B15" s="20">
        <v>-0.10672873194221515</v>
      </c>
      <c r="C15" s="20">
        <v>2.5000000000000001E-4</v>
      </c>
      <c r="D15" s="20">
        <v>5.4024815962845509E-2</v>
      </c>
    </row>
    <row r="16" spans="1:8">
      <c r="A16">
        <v>1941</v>
      </c>
      <c r="B16" s="20">
        <v>-0.12771455576559551</v>
      </c>
      <c r="C16" s="20">
        <v>8.2499999999999989E-4</v>
      </c>
      <c r="D16" s="20">
        <v>-2.0221975848580105E-2</v>
      </c>
    </row>
    <row r="17" spans="1:4">
      <c r="A17">
        <v>1942</v>
      </c>
      <c r="B17" s="20">
        <v>0.19173762945914843</v>
      </c>
      <c r="C17" s="20">
        <v>3.3750000000000004E-3</v>
      </c>
      <c r="D17" s="20">
        <v>2.2948682374484164E-2</v>
      </c>
    </row>
    <row r="18" spans="1:4">
      <c r="A18">
        <v>1943</v>
      </c>
      <c r="B18" s="20">
        <v>0.25061310133060394</v>
      </c>
      <c r="C18" s="20">
        <v>3.8E-3</v>
      </c>
      <c r="D18" s="20">
        <v>2.4899999999999999E-2</v>
      </c>
    </row>
    <row r="19" spans="1:4">
      <c r="A19">
        <v>1944</v>
      </c>
      <c r="B19" s="20">
        <v>0.19030676949443009</v>
      </c>
      <c r="C19" s="20">
        <v>3.8E-3</v>
      </c>
      <c r="D19" s="20">
        <v>2.5776111579070303E-2</v>
      </c>
    </row>
    <row r="20" spans="1:4">
      <c r="A20">
        <v>1945</v>
      </c>
      <c r="B20" s="20">
        <v>0.35821084337349401</v>
      </c>
      <c r="C20" s="20">
        <v>3.8E-3</v>
      </c>
      <c r="D20" s="20">
        <v>3.8044173419237229E-2</v>
      </c>
    </row>
    <row r="21" spans="1:4">
      <c r="A21">
        <v>1946</v>
      </c>
      <c r="B21" s="20">
        <v>-8.4291474654377807E-2</v>
      </c>
      <c r="C21" s="20">
        <v>3.8E-3</v>
      </c>
      <c r="D21" s="20">
        <v>3.1283745375695685E-2</v>
      </c>
    </row>
    <row r="22" spans="1:4">
      <c r="A22">
        <v>1947</v>
      </c>
      <c r="B22" s="20">
        <v>5.1999999999999998E-2</v>
      </c>
      <c r="C22" s="20">
        <v>5.6750000000000004E-3</v>
      </c>
      <c r="D22" s="20">
        <v>9.1969680628322358E-3</v>
      </c>
    </row>
    <row r="23" spans="1:4">
      <c r="A23">
        <v>1948</v>
      </c>
      <c r="B23" s="20">
        <v>5.7045751633986834E-2</v>
      </c>
      <c r="C23" s="20">
        <v>1.0225E-2</v>
      </c>
      <c r="D23" s="20">
        <v>1.9510369413175046E-2</v>
      </c>
    </row>
    <row r="24" spans="1:4">
      <c r="A24">
        <v>1949</v>
      </c>
      <c r="B24" s="20">
        <v>0.18303223684210526</v>
      </c>
      <c r="C24" s="20">
        <v>1.1025E-2</v>
      </c>
      <c r="D24" s="20">
        <v>4.6634851827973139E-2</v>
      </c>
    </row>
    <row r="25" spans="1:4">
      <c r="A25">
        <v>1950</v>
      </c>
      <c r="B25" s="20">
        <v>0.30805539011316263</v>
      </c>
      <c r="C25" s="20">
        <v>1.1724999999999999E-2</v>
      </c>
      <c r="D25" s="20">
        <v>4.2959574171096103E-3</v>
      </c>
    </row>
    <row r="26" spans="1:4">
      <c r="A26">
        <v>1951</v>
      </c>
      <c r="B26" s="20">
        <v>0.23678463044542339</v>
      </c>
      <c r="C26" s="20">
        <v>1.4775E-2</v>
      </c>
      <c r="D26" s="20">
        <v>-2.9531392208319886E-3</v>
      </c>
    </row>
    <row r="27" spans="1:4">
      <c r="A27">
        <v>1952</v>
      </c>
      <c r="B27" s="20">
        <v>0.18150988641144306</v>
      </c>
      <c r="C27" s="20">
        <v>1.6725E-2</v>
      </c>
      <c r="D27" s="20">
        <v>2.2679961918305656E-2</v>
      </c>
    </row>
    <row r="28" spans="1:4">
      <c r="A28">
        <v>1953</v>
      </c>
      <c r="B28" s="20">
        <v>-1.2082047421904465E-2</v>
      </c>
      <c r="C28" s="20">
        <v>1.8925000000000001E-2</v>
      </c>
      <c r="D28" s="20">
        <v>4.1438402589088513E-2</v>
      </c>
    </row>
    <row r="29" spans="1:4">
      <c r="A29">
        <v>1954</v>
      </c>
      <c r="B29" s="20">
        <v>0.52563321241434902</v>
      </c>
      <c r="C29" s="20">
        <v>9.6249999999999999E-3</v>
      </c>
      <c r="D29" s="20">
        <v>3.2898034558095555E-2</v>
      </c>
    </row>
    <row r="30" spans="1:4">
      <c r="A30">
        <v>1955</v>
      </c>
      <c r="B30" s="20">
        <v>0.32597331851028349</v>
      </c>
      <c r="C30" s="20">
        <v>1.66E-2</v>
      </c>
      <c r="D30" s="20">
        <v>-1.3364391288618781E-2</v>
      </c>
    </row>
    <row r="31" spans="1:4">
      <c r="A31">
        <v>1956</v>
      </c>
      <c r="B31" s="20">
        <v>7.4395118733509347E-2</v>
      </c>
      <c r="C31" s="20">
        <v>2.5550000000000003E-2</v>
      </c>
      <c r="D31" s="20">
        <v>-2.2557738173154165E-2</v>
      </c>
    </row>
    <row r="32" spans="1:4">
      <c r="A32">
        <v>1957</v>
      </c>
      <c r="B32" s="20">
        <v>-0.1045736018855796</v>
      </c>
      <c r="C32" s="20">
        <v>3.2300000000000002E-2</v>
      </c>
      <c r="D32" s="20">
        <v>6.7970128466249904E-2</v>
      </c>
    </row>
    <row r="33" spans="1:4">
      <c r="A33">
        <v>1958</v>
      </c>
      <c r="B33" s="20">
        <v>0.43719954988747184</v>
      </c>
      <c r="C33" s="20">
        <v>1.7774999999999999E-2</v>
      </c>
      <c r="D33" s="20">
        <v>-2.0990181755274694E-2</v>
      </c>
    </row>
    <row r="34" spans="1:4">
      <c r="A34">
        <v>1959</v>
      </c>
      <c r="B34" s="20">
        <v>0.12056457163557326</v>
      </c>
      <c r="C34" s="20">
        <v>3.2549999999999996E-2</v>
      </c>
      <c r="D34" s="20">
        <v>-2.6466312591385065E-2</v>
      </c>
    </row>
    <row r="35" spans="1:4">
      <c r="A35">
        <v>1960</v>
      </c>
      <c r="B35" s="20">
        <v>3.36535314743695E-3</v>
      </c>
      <c r="C35" s="20">
        <v>3.0449999999999998E-2</v>
      </c>
      <c r="D35" s="20">
        <v>0.11639503690963365</v>
      </c>
    </row>
    <row r="36" spans="1:4">
      <c r="A36">
        <v>1961</v>
      </c>
      <c r="B36" s="20">
        <v>0.26637712958182752</v>
      </c>
      <c r="C36" s="20">
        <v>2.2675000000000001E-2</v>
      </c>
      <c r="D36" s="20">
        <v>2.0609208076323167E-2</v>
      </c>
    </row>
    <row r="37" spans="1:4">
      <c r="A37">
        <v>1962</v>
      </c>
      <c r="B37" s="20">
        <v>-8.8114605171208879E-2</v>
      </c>
      <c r="C37" s="20">
        <v>2.7775000000000005E-2</v>
      </c>
      <c r="D37" s="20">
        <v>5.693544054008462E-2</v>
      </c>
    </row>
    <row r="38" spans="1:4">
      <c r="A38">
        <v>1963</v>
      </c>
      <c r="B38" s="20">
        <v>0.22611927099841514</v>
      </c>
      <c r="C38" s="20">
        <v>3.1100000000000003E-2</v>
      </c>
      <c r="D38" s="20">
        <v>1.6841620739546127E-2</v>
      </c>
    </row>
    <row r="39" spans="1:4">
      <c r="A39">
        <v>1964</v>
      </c>
      <c r="B39" s="20">
        <v>0.16415455878432425</v>
      </c>
      <c r="C39" s="20">
        <v>3.5049999999999998E-2</v>
      </c>
      <c r="D39" s="20">
        <v>3.7280648911540815E-2</v>
      </c>
    </row>
    <row r="40" spans="1:4">
      <c r="A40">
        <v>1965</v>
      </c>
      <c r="B40" s="20">
        <v>0.12399242477876114</v>
      </c>
      <c r="C40" s="20">
        <v>3.9024999999999997E-2</v>
      </c>
      <c r="D40" s="20">
        <v>7.1885509359262342E-3</v>
      </c>
    </row>
    <row r="41" spans="1:4">
      <c r="A41">
        <v>1966</v>
      </c>
      <c r="B41" s="20">
        <v>-9.9709542356377898E-2</v>
      </c>
      <c r="C41" s="20">
        <v>4.8399999999999999E-2</v>
      </c>
      <c r="D41" s="20">
        <v>2.9079409324299622E-2</v>
      </c>
    </row>
    <row r="42" spans="1:4">
      <c r="A42">
        <v>1967</v>
      </c>
      <c r="B42" s="20">
        <v>0.23802966513133328</v>
      </c>
      <c r="C42" s="20">
        <v>4.3324999999999995E-2</v>
      </c>
      <c r="D42" s="20">
        <v>-1.5806209932824666E-2</v>
      </c>
    </row>
    <row r="43" spans="1:4">
      <c r="A43">
        <v>1968</v>
      </c>
      <c r="B43" s="20">
        <v>0.10814862651601535</v>
      </c>
      <c r="C43" s="20">
        <v>5.2600000000000001E-2</v>
      </c>
      <c r="D43" s="20">
        <v>3.2746196950768365E-2</v>
      </c>
    </row>
    <row r="44" spans="1:4">
      <c r="A44">
        <v>1969</v>
      </c>
      <c r="B44" s="20">
        <v>-8.2413710764490639E-2</v>
      </c>
      <c r="C44" s="20">
        <v>6.5625000000000003E-2</v>
      </c>
      <c r="D44" s="20">
        <v>-5.0140493209926106E-2</v>
      </c>
    </row>
    <row r="45" spans="1:4">
      <c r="A45">
        <v>1970</v>
      </c>
      <c r="B45" s="20">
        <v>3.5611449054964189E-2</v>
      </c>
      <c r="C45" s="20">
        <v>6.6849999999999993E-2</v>
      </c>
      <c r="D45" s="20">
        <v>0.16754737183412338</v>
      </c>
    </row>
    <row r="46" spans="1:4">
      <c r="A46">
        <v>1971</v>
      </c>
      <c r="B46" s="20">
        <v>0.14221150298426474</v>
      </c>
      <c r="C46" s="20">
        <v>4.5400000000000003E-2</v>
      </c>
      <c r="D46" s="20">
        <v>9.7868966197122972E-2</v>
      </c>
    </row>
    <row r="47" spans="1:4">
      <c r="A47">
        <v>1972</v>
      </c>
      <c r="B47" s="20">
        <v>0.18755362915074925</v>
      </c>
      <c r="C47" s="20">
        <v>3.9525000000000005E-2</v>
      </c>
      <c r="D47" s="20">
        <v>2.818449050444969E-2</v>
      </c>
    </row>
    <row r="48" spans="1:4">
      <c r="A48">
        <v>1973</v>
      </c>
      <c r="B48" s="20">
        <v>-0.14308047437526472</v>
      </c>
      <c r="C48" s="20">
        <v>6.724999999999999E-2</v>
      </c>
      <c r="D48" s="20">
        <v>3.6586646024150085E-2</v>
      </c>
    </row>
    <row r="49" spans="1:4">
      <c r="A49">
        <v>1974</v>
      </c>
      <c r="B49" s="20">
        <v>-0.25901785750896972</v>
      </c>
      <c r="C49" s="20">
        <v>7.7775000000000011E-2</v>
      </c>
      <c r="D49" s="20">
        <v>1.9886086932378574E-2</v>
      </c>
    </row>
    <row r="50" spans="1:4">
      <c r="A50">
        <v>1975</v>
      </c>
      <c r="B50" s="20">
        <v>0.36995137106184356</v>
      </c>
      <c r="C50" s="20">
        <v>5.9900000000000002E-2</v>
      </c>
      <c r="D50" s="20">
        <v>3.6052536026033838E-2</v>
      </c>
    </row>
    <row r="51" spans="1:4">
      <c r="A51">
        <v>1976</v>
      </c>
      <c r="B51" s="20">
        <v>0.23830999002106662</v>
      </c>
      <c r="C51" s="20">
        <v>4.9700000000000008E-2</v>
      </c>
      <c r="D51" s="20">
        <v>0.1598456074290921</v>
      </c>
    </row>
    <row r="52" spans="1:4">
      <c r="A52">
        <v>1977</v>
      </c>
      <c r="B52" s="20">
        <v>-6.9797040759352322E-2</v>
      </c>
      <c r="C52" s="20">
        <v>5.1275000000000001E-2</v>
      </c>
      <c r="D52" s="20">
        <v>1.2899606071070449E-2</v>
      </c>
    </row>
    <row r="53" spans="1:4">
      <c r="A53">
        <v>1978</v>
      </c>
      <c r="B53" s="20">
        <v>6.50928391167193E-2</v>
      </c>
      <c r="C53" s="20">
        <v>6.9325000000000012E-2</v>
      </c>
      <c r="D53" s="20">
        <v>-7.7758069075086478E-3</v>
      </c>
    </row>
    <row r="54" spans="1:4">
      <c r="A54">
        <v>1979</v>
      </c>
      <c r="B54" s="20">
        <v>0.18519490167516386</v>
      </c>
      <c r="C54" s="20">
        <v>9.9375000000000005E-2</v>
      </c>
      <c r="D54" s="20">
        <v>6.7072031247235459E-3</v>
      </c>
    </row>
    <row r="55" spans="1:4">
      <c r="A55">
        <v>1980</v>
      </c>
      <c r="B55" s="20">
        <v>0.3173524550676301</v>
      </c>
      <c r="C55" s="20">
        <v>0.11219999999999999</v>
      </c>
      <c r="D55" s="20">
        <v>-2.989744251999403E-2</v>
      </c>
    </row>
    <row r="56" spans="1:4">
      <c r="A56">
        <v>1981</v>
      </c>
      <c r="B56" s="20">
        <v>-4.7023902474955762E-2</v>
      </c>
      <c r="C56" s="20">
        <v>0.14299999999999999</v>
      </c>
      <c r="D56" s="20">
        <v>8.1992153358923542E-2</v>
      </c>
    </row>
    <row r="57" spans="1:4">
      <c r="A57">
        <v>1982</v>
      </c>
      <c r="B57" s="20">
        <v>0.20419055079559353</v>
      </c>
      <c r="C57" s="20">
        <v>0.1101</v>
      </c>
      <c r="D57" s="20">
        <v>0.32814549486295586</v>
      </c>
    </row>
    <row r="58" spans="1:4">
      <c r="A58">
        <v>1983</v>
      </c>
      <c r="B58" s="20">
        <v>0.22337155858930619</v>
      </c>
      <c r="C58" s="20">
        <v>8.4474999999999995E-2</v>
      </c>
      <c r="D58" s="20">
        <v>3.2002094451429264E-2</v>
      </c>
    </row>
    <row r="59" spans="1:4">
      <c r="A59">
        <v>1984</v>
      </c>
      <c r="B59" s="20">
        <v>6.14614199963621E-2</v>
      </c>
      <c r="C59" s="20">
        <v>9.6125000000000002E-2</v>
      </c>
      <c r="D59" s="20">
        <v>0.13733364344102345</v>
      </c>
    </row>
    <row r="60" spans="1:4">
      <c r="A60">
        <v>1985</v>
      </c>
      <c r="B60" s="20">
        <v>0.31235149485768948</v>
      </c>
      <c r="C60" s="20">
        <v>7.4874999999999997E-2</v>
      </c>
      <c r="D60" s="20">
        <v>0.2571248821260641</v>
      </c>
    </row>
    <row r="61" spans="1:4">
      <c r="A61">
        <v>1986</v>
      </c>
      <c r="B61" s="20">
        <v>0.18494578758046187</v>
      </c>
      <c r="C61" s="20">
        <v>6.0350000000000001E-2</v>
      </c>
      <c r="D61" s="20">
        <v>0.24284215141767618</v>
      </c>
    </row>
    <row r="62" spans="1:4">
      <c r="A62">
        <v>1987</v>
      </c>
      <c r="B62" s="20">
        <v>5.8127216418218712E-2</v>
      </c>
      <c r="C62" s="20">
        <v>5.7224999999999998E-2</v>
      </c>
      <c r="D62" s="20">
        <v>-4.9605089379262279E-2</v>
      </c>
    </row>
    <row r="63" spans="1:4">
      <c r="A63">
        <v>1988</v>
      </c>
      <c r="B63" s="20">
        <v>0.16537192812044688</v>
      </c>
      <c r="C63" s="20">
        <v>6.4499999999999988E-2</v>
      </c>
      <c r="D63" s="20">
        <v>8.2235958434841674E-2</v>
      </c>
    </row>
    <row r="64" spans="1:4">
      <c r="A64">
        <v>1989</v>
      </c>
      <c r="B64" s="20">
        <v>0.31475183638196724</v>
      </c>
      <c r="C64" s="20">
        <v>8.1099999999999992E-2</v>
      </c>
      <c r="D64" s="20">
        <v>0.17693647159446219</v>
      </c>
    </row>
    <row r="65" spans="1:4">
      <c r="A65">
        <v>1990</v>
      </c>
      <c r="B65" s="20">
        <v>-3.0644516129032118E-2</v>
      </c>
      <c r="C65" s="20">
        <v>7.5500000000000012E-2</v>
      </c>
      <c r="D65" s="20">
        <v>6.2353753335533363E-2</v>
      </c>
    </row>
    <row r="66" spans="1:4">
      <c r="A66">
        <v>1991</v>
      </c>
      <c r="B66" s="20">
        <v>0.30234843134879757</v>
      </c>
      <c r="C66" s="20">
        <v>5.6100000000000011E-2</v>
      </c>
      <c r="D66" s="20">
        <v>0.15004510019517303</v>
      </c>
    </row>
    <row r="67" spans="1:4">
      <c r="A67">
        <v>1992</v>
      </c>
      <c r="B67" s="20">
        <v>7.493727972380064E-2</v>
      </c>
      <c r="C67" s="20">
        <v>3.4049999999999997E-2</v>
      </c>
      <c r="D67" s="20">
        <v>9.3616373162079422E-2</v>
      </c>
    </row>
    <row r="68" spans="1:4">
      <c r="A68">
        <v>1993</v>
      </c>
      <c r="B68" s="20">
        <v>9.96705147919488E-2</v>
      </c>
      <c r="C68" s="20">
        <v>2.9825000000000001E-2</v>
      </c>
      <c r="D68" s="20">
        <v>0.14210957589263107</v>
      </c>
    </row>
    <row r="69" spans="1:4">
      <c r="A69">
        <v>1994</v>
      </c>
      <c r="B69" s="20">
        <v>1.3259206774573897E-2</v>
      </c>
      <c r="C69" s="20">
        <v>3.9850000000000003E-2</v>
      </c>
      <c r="D69" s="20">
        <v>-8.0366555509985921E-2</v>
      </c>
    </row>
    <row r="70" spans="1:4">
      <c r="A70">
        <v>1995</v>
      </c>
      <c r="B70" s="20">
        <v>0.37195198902606308</v>
      </c>
      <c r="C70" s="20">
        <v>5.5150000000000005E-2</v>
      </c>
      <c r="D70" s="20">
        <v>0.23480780112538907</v>
      </c>
    </row>
    <row r="71" spans="1:4">
      <c r="A71">
        <v>1996</v>
      </c>
      <c r="B71" s="20">
        <v>0.22680966018865789</v>
      </c>
      <c r="C71" s="20">
        <v>5.0224999999999999E-2</v>
      </c>
      <c r="D71" s="20">
        <v>1.428607793401844E-2</v>
      </c>
    </row>
    <row r="72" spans="1:4">
      <c r="A72">
        <v>1997</v>
      </c>
      <c r="B72" s="20">
        <v>0.33103653103653097</v>
      </c>
      <c r="C72" s="20">
        <v>5.0525E-2</v>
      </c>
      <c r="D72" s="20">
        <v>9.939130272977531E-2</v>
      </c>
    </row>
    <row r="73" spans="1:4">
      <c r="A73">
        <v>1998</v>
      </c>
      <c r="B73" s="20">
        <v>0.28337953278443584</v>
      </c>
      <c r="C73" s="20">
        <v>4.7274999999999998E-2</v>
      </c>
      <c r="D73" s="20">
        <v>0.14921431922606215</v>
      </c>
    </row>
    <row r="74" spans="1:4">
      <c r="A74">
        <v>1999</v>
      </c>
      <c r="B74" s="20">
        <v>0.20885350992084475</v>
      </c>
      <c r="C74" s="20">
        <v>4.5100000000000001E-2</v>
      </c>
      <c r="D74" s="20">
        <v>-8.2542147962685761E-2</v>
      </c>
    </row>
    <row r="75" spans="1:4">
      <c r="A75">
        <v>2000</v>
      </c>
      <c r="B75" s="20">
        <v>-9.0318189552492781E-2</v>
      </c>
      <c r="C75" s="20">
        <v>5.7625000000000003E-2</v>
      </c>
      <c r="D75" s="20">
        <v>0.16655267125397488</v>
      </c>
    </row>
    <row r="76" spans="1:4">
      <c r="A76">
        <v>2001</v>
      </c>
      <c r="B76" s="20">
        <v>-0.11849759142000185</v>
      </c>
      <c r="C76" s="20">
        <v>3.6725000000000001E-2</v>
      </c>
      <c r="D76" s="20">
        <v>5.5721811892492555E-2</v>
      </c>
    </row>
    <row r="77" spans="1:4">
      <c r="A77">
        <v>2002</v>
      </c>
      <c r="B77" s="20">
        <v>-0.21966047957912699</v>
      </c>
      <c r="C77" s="20">
        <v>1.6574999999999999E-2</v>
      </c>
      <c r="D77" s="20">
        <v>0.15116400378109285</v>
      </c>
    </row>
    <row r="78" spans="1:4">
      <c r="A78">
        <v>2003</v>
      </c>
      <c r="B78" s="20">
        <v>0.28355800050010233</v>
      </c>
      <c r="C78" s="20">
        <v>1.03E-2</v>
      </c>
      <c r="D78" s="20">
        <v>3.7531858817758529E-3</v>
      </c>
    </row>
    <row r="79" spans="1:4">
      <c r="A79">
        <v>2004</v>
      </c>
      <c r="B79" s="20">
        <v>0.10742775944096193</v>
      </c>
      <c r="C79" s="20">
        <v>1.2275000000000001E-2</v>
      </c>
      <c r="D79" s="20">
        <v>4.490683702274547E-2</v>
      </c>
    </row>
    <row r="80" spans="1:4">
      <c r="A80">
        <v>2005</v>
      </c>
      <c r="B80" s="20">
        <v>4.8344775232688535E-2</v>
      </c>
      <c r="C80" s="20">
        <v>3.0099999999999998E-2</v>
      </c>
      <c r="D80" s="20">
        <v>2.8675329597779506E-2</v>
      </c>
    </row>
    <row r="81" spans="1:4">
      <c r="A81">
        <v>2006</v>
      </c>
      <c r="B81" s="20">
        <v>0.15612557979315703</v>
      </c>
      <c r="C81" s="20">
        <v>4.6775000000000004E-2</v>
      </c>
      <c r="D81" s="20">
        <v>1.9610012417568386E-2</v>
      </c>
    </row>
    <row r="82" spans="1:4">
      <c r="A82">
        <v>2007</v>
      </c>
      <c r="B82" s="20">
        <v>5.4847352464217694E-2</v>
      </c>
      <c r="C82" s="20">
        <v>4.6425000000000001E-2</v>
      </c>
      <c r="D82" s="20">
        <v>0.10209921930012807</v>
      </c>
    </row>
    <row r="83" spans="1:4">
      <c r="A83">
        <v>2008</v>
      </c>
      <c r="B83" s="20">
        <v>-0.36552344111798191</v>
      </c>
      <c r="C83" s="20">
        <v>1.585E-2</v>
      </c>
      <c r="D83" s="20">
        <v>0.20101279926977011</v>
      </c>
    </row>
    <row r="84" spans="1:4">
      <c r="A84">
        <v>2009</v>
      </c>
      <c r="B84" s="20">
        <v>0.25935233877663982</v>
      </c>
      <c r="C84" s="20">
        <v>1.3500000000000001E-3</v>
      </c>
      <c r="D84" s="20">
        <v>-0.11116695313259162</v>
      </c>
    </row>
    <row r="85" spans="1:4">
      <c r="A85">
        <v>2010</v>
      </c>
      <c r="B85" s="20">
        <v>0.14821092278719414</v>
      </c>
      <c r="C85" s="20">
        <v>1.2999999999999999E-3</v>
      </c>
      <c r="D85" s="20">
        <v>8.4629338803557719E-2</v>
      </c>
    </row>
    <row r="86" spans="1:4">
      <c r="A86">
        <v>2011</v>
      </c>
      <c r="B86" s="20">
        <v>2.09837473362805E-2</v>
      </c>
      <c r="C86" s="20">
        <v>2.9999999999999997E-4</v>
      </c>
      <c r="D86" s="20">
        <v>0.16035334999461354</v>
      </c>
    </row>
    <row r="87" spans="1:4">
      <c r="A87">
        <v>2012</v>
      </c>
      <c r="B87" s="20">
        <v>0.15890585241730293</v>
      </c>
      <c r="C87" s="20">
        <v>5.0000000000000001E-4</v>
      </c>
      <c r="D87" s="20">
        <v>2.971571978018946E-2</v>
      </c>
    </row>
    <row r="88" spans="1:4">
      <c r="A88">
        <v>2013</v>
      </c>
      <c r="B88" s="20">
        <v>0.32145085858125483</v>
      </c>
      <c r="C88" s="20">
        <v>6.6E-4</v>
      </c>
      <c r="D88" s="20">
        <v>-9.104568794347262E-2</v>
      </c>
    </row>
    <row r="89" spans="1:4">
      <c r="A89">
        <v>2014</v>
      </c>
      <c r="B89" s="20">
        <v>0.13524421649462237</v>
      </c>
      <c r="C89" s="20">
        <v>5.2999999999999998E-4</v>
      </c>
      <c r="D89" s="20">
        <v>0.10746180452004755</v>
      </c>
    </row>
    <row r="90" spans="1:4">
      <c r="A90">
        <v>2015</v>
      </c>
      <c r="B90" s="20">
        <v>1.3599494875904609E-2</v>
      </c>
      <c r="C90" s="20">
        <v>2.0999999999999999E-3</v>
      </c>
      <c r="D90" s="20">
        <v>1.2842996709792224E-2</v>
      </c>
    </row>
    <row r="91" spans="1:4">
      <c r="D91" s="21"/>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5:XFD1048576"/>
  <sheetViews>
    <sheetView topLeftCell="A7" zoomScale="114" zoomScaleNormal="85" workbookViewId="0">
      <selection activeCell="H35" sqref="H35"/>
    </sheetView>
  </sheetViews>
  <sheetFormatPr baseColWidth="10" defaultColWidth="8.83203125" defaultRowHeight="15"/>
  <cols>
    <col min="1" max="1" width="8.5" customWidth="1"/>
    <col min="2" max="2" width="14.5" bestFit="1" customWidth="1"/>
    <col min="3" max="3" width="17.5" customWidth="1"/>
    <col min="4" max="6" width="9.83203125" customWidth="1"/>
    <col min="7" max="7" width="13.1640625" customWidth="1"/>
    <col min="8" max="8" width="20.5" customWidth="1"/>
    <col min="9" max="9" width="10.5" customWidth="1"/>
    <col min="10" max="13" width="10.5" bestFit="1" customWidth="1"/>
    <col min="14" max="16" width="11.5" bestFit="1" customWidth="1"/>
    <col min="17" max="18" width="10.5" bestFit="1" customWidth="1"/>
  </cols>
  <sheetData>
    <row r="5" spans="3:18">
      <c r="C5" t="s">
        <v>13</v>
      </c>
      <c r="D5" s="47">
        <f>'Combo box back end'!C44</f>
        <v>1000</v>
      </c>
    </row>
    <row r="7" spans="3:18">
      <c r="C7" t="s">
        <v>12</v>
      </c>
      <c r="D7" s="47">
        <f>'Combo box back end'!D44</f>
        <v>1200</v>
      </c>
    </row>
    <row r="9" spans="3:18">
      <c r="C9" t="s">
        <v>49</v>
      </c>
      <c r="D9" t="s">
        <v>2</v>
      </c>
      <c r="E9" t="s">
        <v>18</v>
      </c>
      <c r="F9" t="s">
        <v>3</v>
      </c>
    </row>
    <row r="10" spans="3:18">
      <c r="C10">
        <v>1</v>
      </c>
      <c r="D10" s="46">
        <v>0</v>
      </c>
      <c r="E10" s="46">
        <v>0.2</v>
      </c>
      <c r="F10" s="46">
        <v>0.8</v>
      </c>
    </row>
    <row r="11" spans="3:18">
      <c r="C11">
        <v>2</v>
      </c>
      <c r="D11" s="46">
        <v>0</v>
      </c>
      <c r="E11" s="46">
        <v>0</v>
      </c>
      <c r="F11" s="46">
        <v>1</v>
      </c>
    </row>
    <row r="12" spans="3:18">
      <c r="C12">
        <v>3</v>
      </c>
      <c r="D12" s="46">
        <v>0.1</v>
      </c>
      <c r="E12" s="46">
        <v>0.70000000000000007</v>
      </c>
      <c r="F12" s="46">
        <v>0.2</v>
      </c>
    </row>
    <row r="13" spans="3:18">
      <c r="C13">
        <v>4</v>
      </c>
      <c r="D13" s="46">
        <v>0.3</v>
      </c>
      <c r="E13" s="46">
        <v>0.44999999999999996</v>
      </c>
      <c r="F13" s="46">
        <v>0.25</v>
      </c>
    </row>
    <row r="14" spans="3:18">
      <c r="C14">
        <v>5</v>
      </c>
      <c r="D14" s="46">
        <v>0.4</v>
      </c>
      <c r="E14" s="46">
        <v>0.15000000000000002</v>
      </c>
      <c r="F14" s="46">
        <v>0.45</v>
      </c>
      <c r="I14" s="10" t="s">
        <v>11</v>
      </c>
    </row>
    <row r="15" spans="3:18">
      <c r="C15">
        <v>6</v>
      </c>
      <c r="D15" s="46">
        <v>0.60000000000000009</v>
      </c>
      <c r="E15" s="46">
        <v>0.1</v>
      </c>
      <c r="F15" s="46">
        <v>0.30000000000000004</v>
      </c>
      <c r="H15" s="25" t="s">
        <v>67</v>
      </c>
      <c r="I15" s="24">
        <f ca="1">G39</f>
        <v>40368.364083205248</v>
      </c>
      <c r="J15" s="44">
        <v>1</v>
      </c>
      <c r="K15" s="44">
        <v>2</v>
      </c>
      <c r="L15" s="44">
        <v>3</v>
      </c>
      <c r="M15" s="44">
        <v>4</v>
      </c>
      <c r="N15" s="44">
        <v>5</v>
      </c>
      <c r="O15" s="44">
        <v>6</v>
      </c>
      <c r="P15" s="44">
        <v>7</v>
      </c>
      <c r="Q15" s="44">
        <v>8</v>
      </c>
      <c r="R15" s="44">
        <v>9</v>
      </c>
    </row>
    <row r="16" spans="3:18">
      <c r="C16">
        <v>7</v>
      </c>
      <c r="D16" s="46">
        <v>0.65</v>
      </c>
      <c r="E16" s="46">
        <v>0.30000000000000004</v>
      </c>
      <c r="F16" s="46">
        <v>0.05</v>
      </c>
      <c r="I16" s="4">
        <v>1</v>
      </c>
      <c r="J16" s="5">
        <f t="dataTable" ref="J16:R5015" dt2D="1" dtr="1" r1="D21" r2="I14" ca="1"/>
        <v>17679.321624063952</v>
      </c>
      <c r="K16" s="5">
        <v>8223.1266007477425</v>
      </c>
      <c r="L16" s="5">
        <v>16451.333928028147</v>
      </c>
      <c r="M16" s="5">
        <v>22961.931350882205</v>
      </c>
      <c r="N16" s="5">
        <v>21617.945168312468</v>
      </c>
      <c r="O16" s="5">
        <v>79848.944504816522</v>
      </c>
      <c r="P16" s="5">
        <v>27820.721938889761</v>
      </c>
      <c r="Q16" s="5">
        <v>48756.323642664109</v>
      </c>
      <c r="R16" s="5">
        <v>20236.767651156802</v>
      </c>
    </row>
    <row r="17" spans="1:18">
      <c r="C17">
        <v>8</v>
      </c>
      <c r="D17" s="46">
        <v>0.75</v>
      </c>
      <c r="E17" s="46">
        <v>0</v>
      </c>
      <c r="F17" s="46">
        <v>0.25</v>
      </c>
      <c r="I17" s="4">
        <v>2</v>
      </c>
      <c r="J17" s="5">
        <v>11936.262457073821</v>
      </c>
      <c r="K17" s="5">
        <v>30552.499930043898</v>
      </c>
      <c r="L17" s="5">
        <v>25007.552172398639</v>
      </c>
      <c r="M17" s="5">
        <v>31460.745851561904</v>
      </c>
      <c r="N17" s="5">
        <v>17811.114014514766</v>
      </c>
      <c r="O17" s="5">
        <v>10676.618215263648</v>
      </c>
      <c r="P17" s="5">
        <v>16650.229067545235</v>
      </c>
      <c r="Q17" s="5">
        <v>29432.473148002948</v>
      </c>
      <c r="R17" s="5">
        <v>6681.1887184356683</v>
      </c>
    </row>
    <row r="18" spans="1:18">
      <c r="C18">
        <v>9</v>
      </c>
      <c r="D18" s="46">
        <v>1</v>
      </c>
      <c r="E18" s="46">
        <v>0</v>
      </c>
      <c r="F18" s="46">
        <v>0</v>
      </c>
      <c r="I18" s="4">
        <v>3</v>
      </c>
      <c r="J18" s="5">
        <v>11116.191595722205</v>
      </c>
      <c r="K18" s="5">
        <v>34058.671324159091</v>
      </c>
      <c r="L18" s="5">
        <v>13037.115556745504</v>
      </c>
      <c r="M18" s="5">
        <v>19890.009981657669</v>
      </c>
      <c r="N18" s="5">
        <v>22868.569282757788</v>
      </c>
      <c r="O18" s="5">
        <v>10369.402667058452</v>
      </c>
      <c r="P18" s="5">
        <v>8069.5385577067918</v>
      </c>
      <c r="Q18" s="5">
        <v>16803.875627203233</v>
      </c>
      <c r="R18" s="5">
        <v>7118.1729476780347</v>
      </c>
    </row>
    <row r="19" spans="1:18">
      <c r="G19" s="6"/>
      <c r="I19" s="4">
        <v>4</v>
      </c>
      <c r="J19" s="5">
        <v>12452.764985867625</v>
      </c>
      <c r="K19" s="5">
        <v>14878.52734402675</v>
      </c>
      <c r="L19" s="5">
        <v>15764.107424863063</v>
      </c>
      <c r="M19" s="5">
        <v>19430.369425783585</v>
      </c>
      <c r="N19" s="5">
        <v>18410.937863650517</v>
      </c>
      <c r="O19" s="5">
        <v>40942.522561879181</v>
      </c>
      <c r="P19" s="5">
        <v>34814.458119125498</v>
      </c>
      <c r="Q19" s="5">
        <v>21421.044775857536</v>
      </c>
      <c r="R19" s="5">
        <v>39727.513802035661</v>
      </c>
    </row>
    <row r="20" spans="1:18">
      <c r="I20" s="4">
        <v>5</v>
      </c>
      <c r="J20" s="5">
        <v>9405.362381917912</v>
      </c>
      <c r="K20" s="5">
        <v>21958.925144875713</v>
      </c>
      <c r="L20" s="5">
        <v>15759.954187048656</v>
      </c>
      <c r="M20" s="5">
        <v>6367.5407465007311</v>
      </c>
      <c r="N20" s="5">
        <v>14240.123545764454</v>
      </c>
      <c r="O20" s="5">
        <v>25802.481365323994</v>
      </c>
      <c r="P20" s="5">
        <v>95486.196907583406</v>
      </c>
      <c r="Q20" s="5">
        <v>27018.509959127641</v>
      </c>
      <c r="R20" s="5">
        <v>65420.116221752483</v>
      </c>
    </row>
    <row r="21" spans="1:18">
      <c r="C21" t="s">
        <v>10</v>
      </c>
      <c r="D21" s="45">
        <v>9</v>
      </c>
      <c r="I21" s="4">
        <v>6</v>
      </c>
      <c r="J21" s="5">
        <v>21717.214093683677</v>
      </c>
      <c r="K21" s="5">
        <v>16199.334613834633</v>
      </c>
      <c r="L21" s="5">
        <v>14610.165745300763</v>
      </c>
      <c r="M21" s="5">
        <v>23449.501569180404</v>
      </c>
      <c r="N21" s="5">
        <v>21909.120225822895</v>
      </c>
      <c r="O21" s="5">
        <v>8024.6340027919978</v>
      </c>
      <c r="P21" s="5">
        <v>45161.732159568586</v>
      </c>
      <c r="Q21" s="5">
        <v>42044.890065817184</v>
      </c>
      <c r="R21" s="5">
        <v>76851.431017396084</v>
      </c>
    </row>
    <row r="22" spans="1:18">
      <c r="I22" s="4">
        <v>7</v>
      </c>
      <c r="J22" s="5">
        <v>14741.240040396578</v>
      </c>
      <c r="K22" s="5">
        <v>17003.901855709089</v>
      </c>
      <c r="L22" s="5">
        <v>16577.562442697115</v>
      </c>
      <c r="M22" s="5">
        <v>19042.78605337895</v>
      </c>
      <c r="N22" s="5">
        <v>37309.151967087455</v>
      </c>
      <c r="O22" s="5">
        <v>53504.725169095313</v>
      </c>
      <c r="P22" s="5">
        <v>18862.487147419793</v>
      </c>
      <c r="Q22" s="5">
        <v>28776.080424849053</v>
      </c>
      <c r="R22" s="5">
        <v>59414.886464347241</v>
      </c>
    </row>
    <row r="23" spans="1:18">
      <c r="C23" t="s">
        <v>4</v>
      </c>
      <c r="D23" t="s">
        <v>2</v>
      </c>
      <c r="E23" t="s">
        <v>18</v>
      </c>
      <c r="F23" t="s">
        <v>3</v>
      </c>
      <c r="I23" s="4">
        <v>8</v>
      </c>
      <c r="J23" s="5">
        <v>12701.339251949787</v>
      </c>
      <c r="K23" s="5">
        <v>16934.093371663999</v>
      </c>
      <c r="L23" s="5">
        <v>25007.552172398639</v>
      </c>
      <c r="M23" s="5">
        <v>30830.81083227017</v>
      </c>
      <c r="N23" s="5">
        <v>21933.097106966918</v>
      </c>
      <c r="O23" s="5">
        <v>35286.662852302201</v>
      </c>
      <c r="P23" s="5">
        <v>45161.732159568586</v>
      </c>
      <c r="Q23" s="5">
        <v>30266.563414010914</v>
      </c>
      <c r="R23" s="5">
        <v>14079.827908007112</v>
      </c>
    </row>
    <row r="24" spans="1:18">
      <c r="D24" s="19">
        <f>VLOOKUP($D$21,$C$9:$F$18,2,FALSE)</f>
        <v>1</v>
      </c>
      <c r="E24" s="19">
        <f>VLOOKUP($D$21,$C$9:$F$18,3,FALSE)</f>
        <v>0</v>
      </c>
      <c r="F24" s="19">
        <f>VLOOKUP($D$21,$C$9:$F$18,4,FALSE)</f>
        <v>0</v>
      </c>
      <c r="I24" s="4">
        <v>9</v>
      </c>
      <c r="J24" s="5">
        <v>11843.28062342474</v>
      </c>
      <c r="K24" s="5">
        <v>10931.803935361211</v>
      </c>
      <c r="L24" s="5">
        <v>23760.785349782636</v>
      </c>
      <c r="M24" s="5">
        <v>13065.820809359835</v>
      </c>
      <c r="N24" s="5">
        <v>20583.564383988036</v>
      </c>
      <c r="O24" s="5">
        <v>24369.28567093279</v>
      </c>
      <c r="P24" s="5">
        <v>22601.57564624758</v>
      </c>
      <c r="Q24" s="5">
        <v>7457.1844090365566</v>
      </c>
      <c r="R24" s="5">
        <v>12116.34255245842</v>
      </c>
    </row>
    <row r="25" spans="1:18">
      <c r="I25" s="4">
        <v>10</v>
      </c>
      <c r="J25" s="5">
        <v>20768.286261788198</v>
      </c>
      <c r="K25" s="5">
        <v>11403.533194020869</v>
      </c>
      <c r="L25" s="5">
        <v>14344.859750762502</v>
      </c>
      <c r="M25" s="5">
        <v>23515.935489506261</v>
      </c>
      <c r="N25" s="5">
        <v>25424.029865101274</v>
      </c>
      <c r="O25" s="5">
        <v>27068.054847826614</v>
      </c>
      <c r="P25" s="5">
        <v>8662.4232458952465</v>
      </c>
      <c r="Q25" s="5">
        <v>28797.29222718185</v>
      </c>
      <c r="R25" s="5">
        <v>33290.909836056817</v>
      </c>
    </row>
    <row r="26" spans="1:18">
      <c r="B26" t="s">
        <v>43</v>
      </c>
      <c r="C26" s="15">
        <v>1</v>
      </c>
      <c r="I26" s="4">
        <v>11</v>
      </c>
      <c r="J26" s="5">
        <v>26634.853073396614</v>
      </c>
      <c r="K26" s="5">
        <v>22732.797143159998</v>
      </c>
      <c r="L26" s="5">
        <v>23561.450544884348</v>
      </c>
      <c r="M26" s="5">
        <v>10451.914120098167</v>
      </c>
      <c r="N26" s="5">
        <v>13511.694619545402</v>
      </c>
      <c r="O26" s="5">
        <v>9869.5889207969612</v>
      </c>
      <c r="P26" s="5">
        <v>3017.2887813579896</v>
      </c>
      <c r="Q26" s="5">
        <v>9652.8114206999071</v>
      </c>
      <c r="R26" s="5">
        <v>2180.6148629084787</v>
      </c>
    </row>
    <row r="27" spans="1:18">
      <c r="B27" t="s">
        <v>44</v>
      </c>
      <c r="I27" s="4">
        <v>12</v>
      </c>
      <c r="J27" s="5">
        <v>16710.807721801892</v>
      </c>
      <c r="K27" s="5">
        <v>11149.572204897504</v>
      </c>
      <c r="L27" s="5">
        <v>15759.954187048656</v>
      </c>
      <c r="M27" s="5">
        <v>13642.678686731051</v>
      </c>
      <c r="N27" s="5">
        <v>45581.602064432409</v>
      </c>
      <c r="O27" s="5">
        <v>10676.618215263648</v>
      </c>
      <c r="P27" s="5">
        <v>22601.57564624758</v>
      </c>
      <c r="Q27" s="5">
        <v>11928.872068442162</v>
      </c>
      <c r="R27" s="5">
        <v>6681.1887184356683</v>
      </c>
    </row>
    <row r="28" spans="1:18">
      <c r="D28" s="2" t="s">
        <v>7</v>
      </c>
      <c r="E28" s="2"/>
      <c r="F28" s="2"/>
      <c r="I28" s="4">
        <v>13</v>
      </c>
      <c r="J28" s="5">
        <v>12452.764985867625</v>
      </c>
      <c r="K28" s="5">
        <v>11857.447519815871</v>
      </c>
      <c r="L28" s="5">
        <v>15746.942257105531</v>
      </c>
      <c r="M28" s="5">
        <v>21072.983263501868</v>
      </c>
      <c r="N28" s="5">
        <v>59876.136849941562</v>
      </c>
      <c r="O28" s="5">
        <v>30608.431994348266</v>
      </c>
      <c r="P28" s="5">
        <v>32155.527541400057</v>
      </c>
      <c r="Q28" s="5">
        <v>22895.455950885695</v>
      </c>
      <c r="R28" s="5">
        <v>89167.415757270224</v>
      </c>
    </row>
    <row r="29" spans="1:18">
      <c r="A29" s="2" t="s">
        <v>0</v>
      </c>
      <c r="B29" s="2" t="s">
        <v>5</v>
      </c>
      <c r="C29" s="2" t="s">
        <v>6</v>
      </c>
      <c r="D29" s="2" t="s">
        <v>2</v>
      </c>
      <c r="E29" s="2" t="s">
        <v>18</v>
      </c>
      <c r="F29" s="2" t="s">
        <v>3</v>
      </c>
      <c r="G29" s="2" t="s">
        <v>8</v>
      </c>
      <c r="I29" s="4">
        <v>14</v>
      </c>
      <c r="J29" s="5">
        <v>15623.733864199699</v>
      </c>
      <c r="K29" s="5">
        <v>29672.680843304515</v>
      </c>
      <c r="L29" s="5">
        <v>18602.881797624486</v>
      </c>
      <c r="M29" s="5">
        <v>16881.579299055</v>
      </c>
      <c r="N29" s="5">
        <v>15786.177386596903</v>
      </c>
      <c r="O29" s="5">
        <v>4231.3144655921506</v>
      </c>
      <c r="P29" s="5">
        <v>54292.749740228588</v>
      </c>
      <c r="Q29" s="5">
        <v>31902.904306425251</v>
      </c>
      <c r="R29" s="5">
        <v>7394.6358885760465</v>
      </c>
    </row>
    <row r="30" spans="1:18">
      <c r="A30">
        <v>1</v>
      </c>
      <c r="B30" s="6">
        <f>$D$5+$D$7</f>
        <v>2200</v>
      </c>
      <c r="C30" s="43">
        <f ca="1">RANDBETWEEN(1928,2015)</f>
        <v>1972</v>
      </c>
      <c r="D30" s="1">
        <f ca="1">IF($C$26=0,HLOOKUP($D$29,'Historical returns'!$F$2:$H$3,2,FALSE),VLOOKUP($C$30,'Historical returns'!$A$2:$D$90,2)+1)</f>
        <v>1.1875536291507491</v>
      </c>
      <c r="E30" s="1">
        <f ca="1">IF($C$26=0,HLOOKUP($E$29,'Historical returns'!$F$2:$H$3,2,FALSE),VLOOKUP($C$30,'Historical returns'!$A$2:$D$90,3)+1)</f>
        <v>1.039525</v>
      </c>
      <c r="F30" s="1">
        <f ca="1">IF($C$26=0,HLOOKUP($F$29,'Historical returns'!$F$2:$H$3,2,FALSE),VLOOKUP($C$30,'Historical returns'!$A$2:$D$90,4)+1)</f>
        <v>1.0281844905044497</v>
      </c>
      <c r="G30" s="44">
        <f ca="1">($D$24*D30+$E$24*E30+$F$24*F30)*B30</f>
        <v>2612.617984131648</v>
      </c>
      <c r="H30" s="11"/>
      <c r="I30" s="4">
        <v>15</v>
      </c>
      <c r="J30" s="5">
        <v>15873.12561080002</v>
      </c>
      <c r="K30" s="5">
        <v>10931.803935361211</v>
      </c>
      <c r="L30" s="5">
        <v>13358.459356674217</v>
      </c>
      <c r="M30" s="5">
        <v>13139.022167648376</v>
      </c>
      <c r="N30" s="5">
        <v>39406.658185292261</v>
      </c>
      <c r="O30" s="5">
        <v>20930.098352661731</v>
      </c>
      <c r="P30" s="5">
        <v>18862.487147419793</v>
      </c>
      <c r="Q30" s="5">
        <v>53055.59182561023</v>
      </c>
      <c r="R30" s="5">
        <v>76851.431017396084</v>
      </c>
    </row>
    <row r="31" spans="1:18">
      <c r="A31">
        <v>2</v>
      </c>
      <c r="B31" s="44">
        <f ca="1">G30+$D$7</f>
        <v>3812.617984131648</v>
      </c>
      <c r="C31" s="43">
        <f t="shared" ref="C31:C39" ca="1" si="0">RANDBETWEEN(1928,2015)</f>
        <v>1942</v>
      </c>
      <c r="D31" s="1">
        <f ca="1">IF($C$26=0,HLOOKUP($D$29,'Historical returns'!$F$2:$H$3,2,FALSE),VLOOKUP($C$30,'Historical returns'!$A$2:$D$90,2)+1)</f>
        <v>1.1875536291507491</v>
      </c>
      <c r="E31" s="1">
        <f ca="1">IF($C$26=0,HLOOKUP($E$29,'Historical returns'!$F$2:$H$3,2,FALSE),VLOOKUP($C$30,'Historical returns'!$A$2:$D$90,3)+1)</f>
        <v>1.039525</v>
      </c>
      <c r="F31" s="1">
        <f ca="1">IF($C$26=0,HLOOKUP($F$29,'Historical returns'!$F$2:$H$3,2,FALSE),VLOOKUP($C$30,'Historical returns'!$A$2:$D$90,4)+1)</f>
        <v>1.0281844905044497</v>
      </c>
      <c r="G31" s="44">
        <f ca="1">($D$24*D31+$E$24*E31+$F$24*F31)*B31</f>
        <v>4527.6883236209515</v>
      </c>
      <c r="I31" s="4">
        <v>16</v>
      </c>
      <c r="J31" s="5">
        <v>17679.321624063952</v>
      </c>
      <c r="K31" s="5">
        <v>14674.169276244838</v>
      </c>
      <c r="L31" s="5">
        <v>14364.472927446199</v>
      </c>
      <c r="M31" s="5">
        <v>20229.919588372999</v>
      </c>
      <c r="N31" s="5">
        <v>24020.875410266352</v>
      </c>
      <c r="O31" s="5">
        <v>83458.030763693328</v>
      </c>
      <c r="P31" s="5">
        <v>3930.0915591834291</v>
      </c>
      <c r="Q31" s="5">
        <v>19541.409060825732</v>
      </c>
      <c r="R31" s="5">
        <v>33290.909836056817</v>
      </c>
    </row>
    <row r="32" spans="1:18">
      <c r="A32">
        <v>3</v>
      </c>
      <c r="B32" s="44">
        <f t="shared" ref="B32:B39" ca="1" si="1">G31+$D$7</f>
        <v>5727.6883236209515</v>
      </c>
      <c r="C32" s="43">
        <f t="shared" ca="1" si="0"/>
        <v>1948</v>
      </c>
      <c r="D32" s="1">
        <f ca="1">IF($C$26=0,HLOOKUP($D$29,'Historical returns'!$F$2:$H$3,2,FALSE),VLOOKUP($C$30,'Historical returns'!$A$2:$D$90,2)+1)</f>
        <v>1.1875536291507491</v>
      </c>
      <c r="E32" s="1">
        <f ca="1">IF($C$26=0,HLOOKUP($E$29,'Historical returns'!$F$2:$H$3,2,FALSE),VLOOKUP($C$30,'Historical returns'!$A$2:$D$90,3)+1)</f>
        <v>1.039525</v>
      </c>
      <c r="F32" s="1">
        <f ca="1">IF($C$26=0,HLOOKUP($F$29,'Historical returns'!$F$2:$H$3,2,FALSE),VLOOKUP($C$30,'Historical returns'!$A$2:$D$90,4)+1)</f>
        <v>1.0281844905044497</v>
      </c>
      <c r="G32" s="44">
        <f t="shared" ref="G32:G39" ca="1" si="2">($D$24*D32+$E$24*E32+$F$24*F32)*B32</f>
        <v>6801.9370553604313</v>
      </c>
      <c r="I32" s="4">
        <v>17</v>
      </c>
      <c r="J32" s="5">
        <v>12452.764985867625</v>
      </c>
      <c r="K32" s="5">
        <v>15631.937142257386</v>
      </c>
      <c r="L32" s="5">
        <v>13417.453622029931</v>
      </c>
      <c r="M32" s="5">
        <v>16001.653036457456</v>
      </c>
      <c r="N32" s="5">
        <v>21009.255892677338</v>
      </c>
      <c r="O32" s="5">
        <v>36759.655306288936</v>
      </c>
      <c r="P32" s="5">
        <v>34814.458119125498</v>
      </c>
      <c r="Q32" s="5">
        <v>19541.409060825732</v>
      </c>
      <c r="R32" s="5">
        <v>18720.450716365784</v>
      </c>
    </row>
    <row r="33" spans="1:18">
      <c r="A33">
        <v>4</v>
      </c>
      <c r="B33" s="44">
        <f t="shared" ca="1" si="1"/>
        <v>8001.9370553604313</v>
      </c>
      <c r="C33" s="43">
        <f t="shared" ca="1" si="0"/>
        <v>2009</v>
      </c>
      <c r="D33" s="1">
        <f ca="1">IF($C$26=0,HLOOKUP($D$29,'Historical returns'!$F$2:$H$3,2,FALSE),VLOOKUP($C$30,'Historical returns'!$A$2:$D$90,2)+1)</f>
        <v>1.1875536291507491</v>
      </c>
      <c r="E33" s="1">
        <f ca="1">IF($C$26=0,HLOOKUP($E$29,'Historical returns'!$F$2:$H$3,2,FALSE),VLOOKUP($C$30,'Historical returns'!$A$2:$D$90,3)+1)</f>
        <v>1.039525</v>
      </c>
      <c r="F33" s="1">
        <f ca="1">IF($C$26=0,HLOOKUP($F$29,'Historical returns'!$F$2:$H$3,2,FALSE),VLOOKUP($C$30,'Historical returns'!$A$2:$D$90,4)+1)</f>
        <v>1.0281844905044497</v>
      </c>
      <c r="G33" s="44">
        <f t="shared" ca="1" si="2"/>
        <v>9502.7293903291393</v>
      </c>
      <c r="I33" s="4">
        <v>18</v>
      </c>
      <c r="J33" s="5">
        <v>20768.286261788198</v>
      </c>
      <c r="K33" s="5">
        <v>14674.169276244838</v>
      </c>
      <c r="L33" s="5">
        <v>14175.160754078657</v>
      </c>
      <c r="M33" s="5">
        <v>13642.678686731051</v>
      </c>
      <c r="N33" s="5">
        <v>23008.246229813707</v>
      </c>
      <c r="O33" s="5">
        <v>83458.030763693328</v>
      </c>
      <c r="P33" s="5">
        <v>33500.490132682797</v>
      </c>
      <c r="Q33" s="5">
        <v>22145.301831504508</v>
      </c>
      <c r="R33" s="5">
        <v>35232.418639121184</v>
      </c>
    </row>
    <row r="34" spans="1:18">
      <c r="A34">
        <v>5</v>
      </c>
      <c r="B34" s="44">
        <f t="shared" ca="1" si="1"/>
        <v>10702.729390329139</v>
      </c>
      <c r="C34" s="43">
        <f t="shared" ca="1" si="0"/>
        <v>1951</v>
      </c>
      <c r="D34" s="1">
        <f ca="1">IF($C$26=0,HLOOKUP($D$29,'Historical returns'!$F$2:$H$3,2,FALSE),VLOOKUP($C$30,'Historical returns'!$A$2:$D$90,2)+1)</f>
        <v>1.1875536291507491</v>
      </c>
      <c r="E34" s="1">
        <f ca="1">IF($C$26=0,HLOOKUP($E$29,'Historical returns'!$F$2:$H$3,2,FALSE),VLOOKUP($C$30,'Historical returns'!$A$2:$D$90,3)+1)</f>
        <v>1.039525</v>
      </c>
      <c r="F34" s="1">
        <f ca="1">IF($C$26=0,HLOOKUP($F$29,'Historical returns'!$F$2:$H$3,2,FALSE),VLOOKUP($C$30,'Historical returns'!$A$2:$D$90,4)+1)</f>
        <v>1.0281844905044497</v>
      </c>
      <c r="G34" s="44">
        <f t="shared" ca="1" si="2"/>
        <v>12710.065129303754</v>
      </c>
      <c r="I34" s="4">
        <v>19</v>
      </c>
      <c r="J34" s="5">
        <v>19121.054099180623</v>
      </c>
      <c r="K34" s="5">
        <v>61827.107730316675</v>
      </c>
      <c r="L34" s="5">
        <v>18475.258050488967</v>
      </c>
      <c r="M34" s="5">
        <v>37411.178129764201</v>
      </c>
      <c r="N34" s="5">
        <v>4770.4216775830728</v>
      </c>
      <c r="O34" s="5">
        <v>31172.963108652857</v>
      </c>
      <c r="P34" s="5">
        <v>6275.8915673055426</v>
      </c>
      <c r="Q34" s="5">
        <v>8832.660767995616</v>
      </c>
      <c r="R34" s="5">
        <v>7118.1729476780347</v>
      </c>
    </row>
    <row r="35" spans="1:18">
      <c r="A35">
        <v>6</v>
      </c>
      <c r="B35" s="44">
        <f t="shared" ca="1" si="1"/>
        <v>13910.065129303754</v>
      </c>
      <c r="C35" s="43">
        <f t="shared" ca="1" si="0"/>
        <v>1956</v>
      </c>
      <c r="D35" s="1">
        <f ca="1">IF($C$26=0,HLOOKUP($D$29,'Historical returns'!$F$2:$H$3,2,FALSE),VLOOKUP($C$30,'Historical returns'!$A$2:$D$90,2)+1)</f>
        <v>1.1875536291507491</v>
      </c>
      <c r="E35" s="1">
        <f ca="1">IF($C$26=0,HLOOKUP($E$29,'Historical returns'!$F$2:$H$3,2,FALSE),VLOOKUP($C$30,'Historical returns'!$A$2:$D$90,3)+1)</f>
        <v>1.039525</v>
      </c>
      <c r="F35" s="1">
        <f ca="1">IF($C$26=0,HLOOKUP($F$29,'Historical returns'!$F$2:$H$3,2,FALSE),VLOOKUP($C$30,'Historical returns'!$A$2:$D$90,4)+1)</f>
        <v>1.0281844905044497</v>
      </c>
      <c r="G35" s="44">
        <f t="shared" ca="1" si="2"/>
        <v>16518.948326027956</v>
      </c>
      <c r="I35" s="4">
        <v>20</v>
      </c>
      <c r="J35" s="5">
        <v>14749.343145806102</v>
      </c>
      <c r="K35" s="5">
        <v>23934.551191616061</v>
      </c>
      <c r="L35" s="5">
        <v>34748.877779456467</v>
      </c>
      <c r="M35" s="5">
        <v>18043.539897080744</v>
      </c>
      <c r="N35" s="5">
        <v>20718.434293991453</v>
      </c>
      <c r="O35" s="5">
        <v>27503.656957929088</v>
      </c>
      <c r="P35" s="5">
        <v>10966.822219855034</v>
      </c>
      <c r="Q35" s="5">
        <v>8832.660767995616</v>
      </c>
      <c r="R35" s="5">
        <v>33863.04333215439</v>
      </c>
    </row>
    <row r="36" spans="1:18">
      <c r="A36">
        <v>7</v>
      </c>
      <c r="B36" s="44">
        <f t="shared" ca="1" si="1"/>
        <v>17718.948326027956</v>
      </c>
      <c r="C36" s="43">
        <f t="shared" ca="1" si="0"/>
        <v>1955</v>
      </c>
      <c r="D36" s="1">
        <f ca="1">IF($C$26=0,HLOOKUP($D$29,'Historical returns'!$F$2:$H$3,2,FALSE),VLOOKUP($C$30,'Historical returns'!$A$2:$D$90,2)+1)</f>
        <v>1.1875536291507491</v>
      </c>
      <c r="E36" s="1">
        <f ca="1">IF($C$26=0,HLOOKUP($E$29,'Historical returns'!$F$2:$H$3,2,FALSE),VLOOKUP($C$30,'Historical returns'!$A$2:$D$90,3)+1)</f>
        <v>1.039525</v>
      </c>
      <c r="F36" s="1">
        <f ca="1">IF($C$26=0,HLOOKUP($F$29,'Historical returns'!$F$2:$H$3,2,FALSE),VLOOKUP($C$30,'Historical returns'!$A$2:$D$90,4)+1)</f>
        <v>1.0281844905044497</v>
      </c>
      <c r="G36" s="44">
        <f t="shared" ca="1" si="2"/>
        <v>21042.201389309092</v>
      </c>
      <c r="I36" s="4">
        <v>21</v>
      </c>
      <c r="J36" s="5">
        <v>34933.039312618188</v>
      </c>
      <c r="K36" s="5">
        <v>21958.925144875713</v>
      </c>
      <c r="L36" s="5">
        <v>19224.583269019437</v>
      </c>
      <c r="M36" s="5">
        <v>7334.8610818348589</v>
      </c>
      <c r="N36" s="5">
        <v>13745.376566850549</v>
      </c>
      <c r="O36" s="5">
        <v>9320.7026593487881</v>
      </c>
      <c r="P36" s="5">
        <v>38024.168395914428</v>
      </c>
      <c r="Q36" s="5">
        <v>129470.11441833655</v>
      </c>
      <c r="R36" s="5">
        <v>54594.567438884274</v>
      </c>
    </row>
    <row r="37" spans="1:18">
      <c r="A37">
        <v>8</v>
      </c>
      <c r="B37" s="44">
        <f t="shared" ca="1" si="1"/>
        <v>22242.201389309092</v>
      </c>
      <c r="C37" s="43">
        <f t="shared" ca="1" si="0"/>
        <v>2013</v>
      </c>
      <c r="D37" s="1">
        <f ca="1">IF($C$26=0,HLOOKUP($D$29,'Historical returns'!$F$2:$H$3,2,FALSE),VLOOKUP($C$30,'Historical returns'!$A$2:$D$90,2)+1)</f>
        <v>1.1875536291507491</v>
      </c>
      <c r="E37" s="1">
        <f ca="1">IF($C$26=0,HLOOKUP($E$29,'Historical returns'!$F$2:$H$3,2,FALSE),VLOOKUP($C$30,'Historical returns'!$A$2:$D$90,3)+1)</f>
        <v>1.039525</v>
      </c>
      <c r="F37" s="1">
        <f ca="1">IF($C$26=0,HLOOKUP($F$29,'Historical returns'!$F$2:$H$3,2,FALSE),VLOOKUP($C$30,'Historical returns'!$A$2:$D$90,4)+1)</f>
        <v>1.0281844905044497</v>
      </c>
      <c r="G37" s="44">
        <f t="shared" ca="1" si="2"/>
        <v>26413.806980175847</v>
      </c>
      <c r="I37" s="4">
        <v>22</v>
      </c>
      <c r="J37" s="5">
        <v>31053.540961463306</v>
      </c>
      <c r="K37" s="5">
        <v>56656.842992470461</v>
      </c>
      <c r="L37" s="5">
        <v>15225.811035017256</v>
      </c>
      <c r="M37" s="5">
        <v>33862.836621974391</v>
      </c>
      <c r="N37" s="5">
        <v>57711.498171893618</v>
      </c>
      <c r="O37" s="5">
        <v>11282.178219986479</v>
      </c>
      <c r="P37" s="5">
        <v>33500.490132682797</v>
      </c>
      <c r="Q37" s="5">
        <v>70295.978314632754</v>
      </c>
      <c r="R37" s="5">
        <v>2071.5141323269809</v>
      </c>
    </row>
    <row r="38" spans="1:18" ht="16" thickBot="1">
      <c r="A38">
        <v>9</v>
      </c>
      <c r="B38" s="44">
        <f t="shared" ca="1" si="1"/>
        <v>27613.806980175847</v>
      </c>
      <c r="C38" s="43">
        <f t="shared" ca="1" si="0"/>
        <v>2004</v>
      </c>
      <c r="D38" s="1">
        <f ca="1">IF($C$26=0,HLOOKUP($D$29,'Historical returns'!$F$2:$H$3,2,FALSE),VLOOKUP($C$30,'Historical returns'!$A$2:$D$90,2)+1)</f>
        <v>1.1875536291507491</v>
      </c>
      <c r="E38" s="1">
        <f ca="1">IF($C$26=0,HLOOKUP($E$29,'Historical returns'!$F$2:$H$3,2,FALSE),VLOOKUP($C$30,'Historical returns'!$A$2:$D$90,3)+1)</f>
        <v>1.039525</v>
      </c>
      <c r="F38" s="1">
        <f ca="1">IF($C$26=0,HLOOKUP($F$29,'Historical returns'!$F$2:$H$3,2,FALSE),VLOOKUP($C$30,'Historical returns'!$A$2:$D$90,4)+1)</f>
        <v>1.0281844905044497</v>
      </c>
      <c r="G38" s="44">
        <f t="shared" ca="1" si="2"/>
        <v>32792.876693976112</v>
      </c>
      <c r="I38" s="4">
        <v>23</v>
      </c>
      <c r="J38" s="5">
        <v>45301.532027110363</v>
      </c>
      <c r="K38" s="5">
        <v>29672.680843304515</v>
      </c>
      <c r="L38" s="5">
        <v>22018.381599979773</v>
      </c>
      <c r="M38" s="5">
        <v>21072.983263501868</v>
      </c>
      <c r="N38" s="5">
        <v>29468.83360104046</v>
      </c>
      <c r="O38" s="5">
        <v>11282.178219986479</v>
      </c>
      <c r="P38" s="5">
        <v>49519.098753410741</v>
      </c>
      <c r="Q38" s="5">
        <v>12451.066014448154</v>
      </c>
      <c r="R38" s="5">
        <v>31715.273557891396</v>
      </c>
    </row>
    <row r="39" spans="1:18" ht="18" thickTop="1" thickBot="1">
      <c r="A39">
        <v>10</v>
      </c>
      <c r="B39" s="44">
        <f t="shared" ca="1" si="1"/>
        <v>33992.876693976112</v>
      </c>
      <c r="C39" s="43">
        <f t="shared" ca="1" si="0"/>
        <v>1962</v>
      </c>
      <c r="D39" s="1">
        <f ca="1">IF($C$26=0,HLOOKUP($D$29,'Historical returns'!$F$2:$H$3,2,FALSE),VLOOKUP($C$30,'Historical returns'!$A$2:$D$90,2)+1)</f>
        <v>1.1875536291507491</v>
      </c>
      <c r="E39" s="1">
        <f ca="1">IF($C$26=0,HLOOKUP($E$29,'Historical returns'!$F$2:$H$3,2,FALSE),VLOOKUP($C$30,'Historical returns'!$A$2:$D$90,3)+1)</f>
        <v>1.039525</v>
      </c>
      <c r="F39" s="1">
        <f ca="1">IF($C$26=0,HLOOKUP($F$29,'Historical returns'!$F$2:$H$3,2,FALSE),VLOOKUP($C$30,'Historical returns'!$A$2:$D$90,4)+1)</f>
        <v>1.0281844905044497</v>
      </c>
      <c r="G39" s="48">
        <f t="shared" ca="1" si="2"/>
        <v>40368.364083205248</v>
      </c>
      <c r="I39" s="4">
        <v>24</v>
      </c>
      <c r="J39" s="5">
        <v>29760.443016608337</v>
      </c>
      <c r="K39" s="5">
        <v>18218.584572172625</v>
      </c>
      <c r="L39" s="5">
        <v>21725.131459372977</v>
      </c>
      <c r="M39" s="5">
        <v>20185.026038758231</v>
      </c>
      <c r="N39" s="5">
        <v>48565.498233359976</v>
      </c>
      <c r="O39" s="5">
        <v>16505.600261180331</v>
      </c>
      <c r="P39" s="5">
        <v>27452.975716953504</v>
      </c>
      <c r="Q39" s="5">
        <v>15663.43865741136</v>
      </c>
      <c r="R39" s="5">
        <v>6681.1887184356683</v>
      </c>
    </row>
    <row r="40" spans="1:18" ht="16" thickTop="1">
      <c r="I40" s="4">
        <v>25</v>
      </c>
      <c r="J40" s="5">
        <v>45301.532027110363</v>
      </c>
      <c r="K40" s="5">
        <v>26110.948843472826</v>
      </c>
      <c r="L40" s="5">
        <v>27144.958215276103</v>
      </c>
      <c r="M40" s="5">
        <v>20229.919588372999</v>
      </c>
      <c r="N40" s="5">
        <v>27833.630848857778</v>
      </c>
      <c r="O40" s="5">
        <v>27068.054847826614</v>
      </c>
      <c r="P40" s="5">
        <v>40377.463755170742</v>
      </c>
      <c r="Q40" s="5">
        <v>9138.5169630896526</v>
      </c>
      <c r="R40" s="5">
        <v>182942.88598316166</v>
      </c>
    </row>
    <row r="41" spans="1:18">
      <c r="C41" s="6"/>
      <c r="I41" s="4">
        <v>26</v>
      </c>
      <c r="J41" s="5">
        <v>12888.204629170894</v>
      </c>
      <c r="K41" s="5">
        <v>16665.1498926479</v>
      </c>
      <c r="L41" s="5">
        <v>15225.811035017256</v>
      </c>
      <c r="M41" s="5">
        <v>16500.222621933419</v>
      </c>
      <c r="N41" s="5">
        <v>28426.778914975595</v>
      </c>
      <c r="O41" s="5">
        <v>3171.3006415671193</v>
      </c>
      <c r="P41" s="5">
        <v>17996.895987204196</v>
      </c>
      <c r="Q41" s="5">
        <v>20987.925664394581</v>
      </c>
      <c r="R41" s="5">
        <v>17687.533637716911</v>
      </c>
    </row>
    <row r="42" spans="1:18">
      <c r="I42" s="4">
        <v>27</v>
      </c>
      <c r="J42" s="5">
        <v>16788.081681455456</v>
      </c>
      <c r="K42" s="5">
        <v>14854.898507619706</v>
      </c>
      <c r="L42" s="5">
        <v>15161.007794371622</v>
      </c>
      <c r="M42" s="5">
        <v>21072.983263501868</v>
      </c>
      <c r="N42" s="5">
        <v>20583.564383988036</v>
      </c>
      <c r="O42" s="5">
        <v>51330.340277512776</v>
      </c>
      <c r="P42" s="5">
        <v>26541.896041444568</v>
      </c>
      <c r="Q42" s="5">
        <v>27018.509959127641</v>
      </c>
      <c r="R42" s="5">
        <v>12194.45251033065</v>
      </c>
    </row>
    <row r="43" spans="1:18">
      <c r="I43" s="4">
        <v>28</v>
      </c>
      <c r="J43" s="5">
        <v>22812.564910649318</v>
      </c>
      <c r="K43" s="5">
        <v>15391.837334808681</v>
      </c>
      <c r="L43" s="5">
        <v>17693.864646288712</v>
      </c>
      <c r="M43" s="5">
        <v>10111.451009425113</v>
      </c>
      <c r="N43" s="5">
        <v>37309.151967087455</v>
      </c>
      <c r="O43" s="5">
        <v>20991.103410982985</v>
      </c>
      <c r="P43" s="5">
        <v>31127.87225845682</v>
      </c>
      <c r="Q43" s="5">
        <v>15663.43865741136</v>
      </c>
      <c r="R43" s="5">
        <v>18230.645544621442</v>
      </c>
    </row>
    <row r="44" spans="1:18">
      <c r="I44" s="4">
        <v>29</v>
      </c>
      <c r="J44" s="5">
        <v>16088.430030489333</v>
      </c>
      <c r="K44" s="5">
        <v>18086.448513145526</v>
      </c>
      <c r="L44" s="5">
        <v>16955.349467865559</v>
      </c>
      <c r="M44" s="5">
        <v>10111.451009425113</v>
      </c>
      <c r="N44" s="5">
        <v>23283.854578052265</v>
      </c>
      <c r="O44" s="5">
        <v>28431.436490368542</v>
      </c>
      <c r="P44" s="5">
        <v>16650.229067545235</v>
      </c>
      <c r="Q44" s="5">
        <v>9652.8114206999071</v>
      </c>
      <c r="R44" s="5">
        <v>7394.6358885760465</v>
      </c>
    </row>
    <row r="45" spans="1:18">
      <c r="I45" s="4">
        <v>30</v>
      </c>
      <c r="J45" s="5">
        <v>45301.532027110363</v>
      </c>
      <c r="K45" s="5">
        <v>61827.107730316675</v>
      </c>
      <c r="L45" s="5">
        <v>17683.765335572589</v>
      </c>
      <c r="M45" s="5">
        <v>15202.972920708273</v>
      </c>
      <c r="N45" s="5">
        <v>11684.605182472778</v>
      </c>
      <c r="O45" s="5">
        <v>26268.613803794757</v>
      </c>
      <c r="P45" s="5">
        <v>63015.124693769802</v>
      </c>
      <c r="Q45" s="5">
        <v>10151.908492905288</v>
      </c>
      <c r="R45" s="5">
        <v>39263.770877572199</v>
      </c>
    </row>
    <row r="46" spans="1:18">
      <c r="I46" s="4">
        <v>31</v>
      </c>
      <c r="J46" s="5">
        <v>12056.41843703942</v>
      </c>
      <c r="K46" s="5">
        <v>32294.121255311245</v>
      </c>
      <c r="L46" s="5">
        <v>20698.842353987733</v>
      </c>
      <c r="M46" s="5">
        <v>21072.983263501868</v>
      </c>
      <c r="N46" s="5">
        <v>24853.247795632611</v>
      </c>
      <c r="O46" s="5">
        <v>6199.3195463515376</v>
      </c>
      <c r="P46" s="5">
        <v>27373.102585108634</v>
      </c>
      <c r="Q46" s="5">
        <v>56069.347629295014</v>
      </c>
      <c r="R46" s="5">
        <v>2180.6148629084787</v>
      </c>
    </row>
    <row r="47" spans="1:18">
      <c r="I47" s="4">
        <v>32</v>
      </c>
      <c r="J47" s="5">
        <v>21717.214093683677</v>
      </c>
      <c r="K47" s="5">
        <v>12777.667398488715</v>
      </c>
      <c r="L47" s="5">
        <v>14264.23790876064</v>
      </c>
      <c r="M47" s="5">
        <v>19042.78605337895</v>
      </c>
      <c r="N47" s="5">
        <v>20583.564383988036</v>
      </c>
      <c r="O47" s="5">
        <v>67717.30633712461</v>
      </c>
      <c r="P47" s="5">
        <v>41657.50350099193</v>
      </c>
      <c r="Q47" s="5">
        <v>43417.41805414496</v>
      </c>
      <c r="R47" s="5">
        <v>6360.7905155660001</v>
      </c>
    </row>
    <row r="48" spans="1:18">
      <c r="I48" s="4">
        <v>33</v>
      </c>
      <c r="J48" s="5">
        <v>13595.404057849493</v>
      </c>
      <c r="K48" s="5">
        <v>15391.837334808681</v>
      </c>
      <c r="L48" s="5">
        <v>34748.877779456467</v>
      </c>
      <c r="M48" s="5">
        <v>16500.222621933419</v>
      </c>
      <c r="N48" s="5">
        <v>32184.535272543482</v>
      </c>
      <c r="O48" s="5">
        <v>55264.438774006347</v>
      </c>
      <c r="P48" s="5">
        <v>17996.895987204196</v>
      </c>
      <c r="Q48" s="5">
        <v>11928.872068442162</v>
      </c>
      <c r="R48" s="5">
        <v>23583.884732956092</v>
      </c>
    </row>
    <row r="49" spans="9:18">
      <c r="I49" s="4">
        <v>34</v>
      </c>
      <c r="J49" s="5">
        <v>15417.870921574262</v>
      </c>
      <c r="K49" s="5">
        <v>35705.595198125673</v>
      </c>
      <c r="L49" s="5">
        <v>17920.486090689363</v>
      </c>
      <c r="M49" s="5">
        <v>22961.931350882205</v>
      </c>
      <c r="N49" s="5">
        <v>24020.875410266352</v>
      </c>
      <c r="O49" s="5">
        <v>20827.029306810669</v>
      </c>
      <c r="P49" s="5">
        <v>10532.667493814919</v>
      </c>
      <c r="Q49" s="5">
        <v>37073.980790337926</v>
      </c>
      <c r="R49" s="5">
        <v>55012.315589742022</v>
      </c>
    </row>
    <row r="50" spans="9:18">
      <c r="I50" s="4">
        <v>35</v>
      </c>
      <c r="J50" s="5">
        <v>11036.461796239426</v>
      </c>
      <c r="K50" s="5">
        <v>14611.618478071941</v>
      </c>
      <c r="L50" s="5">
        <v>25389.332759288587</v>
      </c>
      <c r="M50" s="5">
        <v>13011.820191946215</v>
      </c>
      <c r="N50" s="5">
        <v>23043.345403059295</v>
      </c>
      <c r="O50" s="5">
        <v>10369.402667058452</v>
      </c>
      <c r="P50" s="5">
        <v>54100.778483493887</v>
      </c>
      <c r="Q50" s="5">
        <v>37101.531383212743</v>
      </c>
      <c r="R50" s="5">
        <v>51141.799458534304</v>
      </c>
    </row>
    <row r="51" spans="9:18">
      <c r="I51" s="4">
        <v>36</v>
      </c>
      <c r="J51" s="5">
        <v>15554.996700302558</v>
      </c>
      <c r="K51" s="5">
        <v>14587.813833513306</v>
      </c>
      <c r="L51" s="5">
        <v>15923.549351835489</v>
      </c>
      <c r="M51" s="5">
        <v>31554.722481137964</v>
      </c>
      <c r="N51" s="5">
        <v>42744.618431291936</v>
      </c>
      <c r="O51" s="5">
        <v>41653.890350944224</v>
      </c>
      <c r="P51" s="5">
        <v>74840.036182179319</v>
      </c>
      <c r="Q51" s="5">
        <v>129470.11441833655</v>
      </c>
      <c r="R51" s="5">
        <v>17687.533637716911</v>
      </c>
    </row>
    <row r="52" spans="9:18">
      <c r="I52" s="4">
        <v>37</v>
      </c>
      <c r="J52" s="5">
        <v>14741.240040396578</v>
      </c>
      <c r="K52" s="5">
        <v>15428.770955406064</v>
      </c>
      <c r="L52" s="5">
        <v>18634.523182776735</v>
      </c>
      <c r="M52" s="5">
        <v>20550.782384061673</v>
      </c>
      <c r="N52" s="5">
        <v>24314.043643333731</v>
      </c>
      <c r="O52" s="5">
        <v>16572.483389649329</v>
      </c>
      <c r="P52" s="5">
        <v>29283.825979394511</v>
      </c>
      <c r="Q52" s="5">
        <v>129470.11441833655</v>
      </c>
      <c r="R52" s="5">
        <v>6360.7905155660001</v>
      </c>
    </row>
    <row r="53" spans="9:18">
      <c r="I53" s="4">
        <v>38</v>
      </c>
      <c r="J53" s="5">
        <v>14076.209333698853</v>
      </c>
      <c r="K53" s="5">
        <v>23934.551191616061</v>
      </c>
      <c r="L53" s="5">
        <v>23561.450544884348</v>
      </c>
      <c r="M53" s="5">
        <v>19042.78605337895</v>
      </c>
      <c r="N53" s="5">
        <v>6130.3882288404347</v>
      </c>
      <c r="O53" s="5">
        <v>26565.882515615398</v>
      </c>
      <c r="P53" s="5">
        <v>14316.965520592317</v>
      </c>
      <c r="Q53" s="5">
        <v>10151.908492905288</v>
      </c>
      <c r="R53" s="5">
        <v>34970.397641695177</v>
      </c>
    </row>
    <row r="54" spans="9:18">
      <c r="I54" s="4">
        <v>39</v>
      </c>
      <c r="J54" s="5">
        <v>31053.540961463306</v>
      </c>
      <c r="K54" s="5">
        <v>16605.655749562578</v>
      </c>
      <c r="L54" s="5">
        <v>21725.131459372977</v>
      </c>
      <c r="M54" s="5">
        <v>22961.931350882205</v>
      </c>
      <c r="N54" s="5">
        <v>18410.937863650517</v>
      </c>
      <c r="O54" s="5">
        <v>83458.030763693328</v>
      </c>
      <c r="P54" s="5">
        <v>21813.848941464526</v>
      </c>
      <c r="Q54" s="5">
        <v>64585.328088516922</v>
      </c>
      <c r="R54" s="5">
        <v>17991.870496434763</v>
      </c>
    </row>
    <row r="55" spans="9:18">
      <c r="I55" s="4">
        <v>40</v>
      </c>
      <c r="J55" s="5">
        <v>13918.242013140338</v>
      </c>
      <c r="K55" s="5">
        <v>30552.499930043898</v>
      </c>
      <c r="L55" s="5">
        <v>15764.107424863063</v>
      </c>
      <c r="M55" s="5">
        <v>10142.860128720422</v>
      </c>
      <c r="N55" s="5">
        <v>17811.114014514766</v>
      </c>
      <c r="O55" s="5">
        <v>27062.73412298776</v>
      </c>
      <c r="P55" s="5">
        <v>9633.1652908310007</v>
      </c>
      <c r="Q55" s="5">
        <v>8474.2603471579441</v>
      </c>
      <c r="R55" s="5">
        <v>9913.4206865238284</v>
      </c>
    </row>
    <row r="56" spans="9:18">
      <c r="I56" s="4">
        <v>41</v>
      </c>
      <c r="J56" s="5">
        <v>15648.665245032147</v>
      </c>
      <c r="K56" s="5">
        <v>23934.551191616061</v>
      </c>
      <c r="L56" s="5">
        <v>13622.976145621742</v>
      </c>
      <c r="M56" s="5">
        <v>7334.8610818348589</v>
      </c>
      <c r="N56" s="5">
        <v>34295.124147811541</v>
      </c>
      <c r="O56" s="5">
        <v>35286.662852302201</v>
      </c>
      <c r="P56" s="5">
        <v>34768.042801665702</v>
      </c>
      <c r="Q56" s="5">
        <v>79566.621912742485</v>
      </c>
      <c r="R56" s="5">
        <v>39727.513802035661</v>
      </c>
    </row>
    <row r="57" spans="9:18">
      <c r="I57" s="4">
        <v>42</v>
      </c>
      <c r="J57" s="5">
        <v>11843.28062342474</v>
      </c>
      <c r="K57" s="5">
        <v>8124.7965732661823</v>
      </c>
      <c r="L57" s="5">
        <v>14146.191653372813</v>
      </c>
      <c r="M57" s="5">
        <v>19151.339770278159</v>
      </c>
      <c r="N57" s="5">
        <v>6130.3882288404347</v>
      </c>
      <c r="O57" s="5">
        <v>9320.7026593487881</v>
      </c>
      <c r="P57" s="5">
        <v>40377.463755170742</v>
      </c>
      <c r="Q57" s="5">
        <v>52545.991451361173</v>
      </c>
      <c r="R57" s="5">
        <v>93933.045103013996</v>
      </c>
    </row>
    <row r="58" spans="9:18">
      <c r="I58" s="4">
        <v>43</v>
      </c>
      <c r="J58" s="5">
        <v>27392.038553726634</v>
      </c>
      <c r="K58" s="5">
        <v>16674.541027260992</v>
      </c>
      <c r="L58" s="5">
        <v>15922.087958863045</v>
      </c>
      <c r="M58" s="5">
        <v>10142.860128720422</v>
      </c>
      <c r="N58" s="5">
        <v>21933.097106966918</v>
      </c>
      <c r="O58" s="5">
        <v>8121.6248378263163</v>
      </c>
      <c r="P58" s="5">
        <v>10180.109839011631</v>
      </c>
      <c r="Q58" s="5">
        <v>54060.5331097772</v>
      </c>
      <c r="R58" s="5">
        <v>27349.63499959607</v>
      </c>
    </row>
    <row r="59" spans="9:18">
      <c r="I59" s="4">
        <v>44</v>
      </c>
      <c r="J59" s="5">
        <v>14594.990625703947</v>
      </c>
      <c r="K59" s="5">
        <v>17003.901855709089</v>
      </c>
      <c r="L59" s="5">
        <v>18475.258050488967</v>
      </c>
      <c r="M59" s="5">
        <v>30785.663999045999</v>
      </c>
      <c r="N59" s="5">
        <v>57711.498171893618</v>
      </c>
      <c r="O59" s="5">
        <v>79848.944504816522</v>
      </c>
      <c r="P59" s="5">
        <v>44816.412248582856</v>
      </c>
      <c r="Q59" s="5">
        <v>21421.044775857536</v>
      </c>
      <c r="R59" s="5">
        <v>8130.5639219412278</v>
      </c>
    </row>
    <row r="60" spans="9:18">
      <c r="I60" s="4">
        <v>45</v>
      </c>
      <c r="J60" s="5">
        <v>15064.079707240266</v>
      </c>
      <c r="K60" s="5">
        <v>11149.572204897504</v>
      </c>
      <c r="L60" s="5">
        <v>16071.478531535273</v>
      </c>
      <c r="M60" s="5">
        <v>19097.39635881727</v>
      </c>
      <c r="N60" s="5">
        <v>11788.341482962171</v>
      </c>
      <c r="O60" s="5">
        <v>36759.655306288936</v>
      </c>
      <c r="P60" s="5">
        <v>16072.735485912413</v>
      </c>
      <c r="Q60" s="5">
        <v>13099.063525342741</v>
      </c>
      <c r="R60" s="5">
        <v>17687.533637716911</v>
      </c>
    </row>
    <row r="61" spans="9:18">
      <c r="I61" s="4">
        <v>46</v>
      </c>
      <c r="J61" s="5">
        <v>8580.4413740966302</v>
      </c>
      <c r="K61" s="5">
        <v>14017.262946034314</v>
      </c>
      <c r="L61" s="5">
        <v>15359.132481533357</v>
      </c>
      <c r="M61" s="5">
        <v>30785.663999045999</v>
      </c>
      <c r="N61" s="5">
        <v>24769.339976495565</v>
      </c>
      <c r="O61" s="5">
        <v>18637.945795127704</v>
      </c>
      <c r="P61" s="5">
        <v>27708.613526855763</v>
      </c>
      <c r="Q61" s="5">
        <v>28078.365156847896</v>
      </c>
      <c r="R61" s="5">
        <v>261393.32711858812</v>
      </c>
    </row>
    <row r="62" spans="9:18">
      <c r="I62" s="4">
        <v>47</v>
      </c>
      <c r="J62" s="5">
        <v>18650.249281571734</v>
      </c>
      <c r="K62" s="5">
        <v>14674.169276244838</v>
      </c>
      <c r="L62" s="5">
        <v>15764.107424863063</v>
      </c>
      <c r="M62" s="5">
        <v>15202.972920708273</v>
      </c>
      <c r="N62" s="5">
        <v>23008.246229813707</v>
      </c>
      <c r="O62" s="5">
        <v>13519.384207850644</v>
      </c>
      <c r="P62" s="5">
        <v>17974.179326980211</v>
      </c>
      <c r="Q62" s="5">
        <v>8502.450657922871</v>
      </c>
      <c r="R62" s="5">
        <v>7879.038918914337</v>
      </c>
    </row>
    <row r="63" spans="9:18">
      <c r="I63" s="4">
        <v>48</v>
      </c>
      <c r="J63" s="5">
        <v>21717.214093683677</v>
      </c>
      <c r="K63" s="5">
        <v>13331.01856102917</v>
      </c>
      <c r="L63" s="5">
        <v>15651.346103181355</v>
      </c>
      <c r="M63" s="5">
        <v>20788.503422877813</v>
      </c>
      <c r="N63" s="5">
        <v>15130.853682762778</v>
      </c>
      <c r="O63" s="5">
        <v>20930.098352661731</v>
      </c>
      <c r="P63" s="5">
        <v>20403.656304140692</v>
      </c>
      <c r="Q63" s="5">
        <v>79566.621912742485</v>
      </c>
      <c r="R63" s="5">
        <v>2071.5141323269809</v>
      </c>
    </row>
    <row r="64" spans="9:18">
      <c r="I64" s="4">
        <v>49</v>
      </c>
      <c r="J64" s="5">
        <v>15873.12561080002</v>
      </c>
      <c r="K64" s="5">
        <v>61827.107730316675</v>
      </c>
      <c r="L64" s="5">
        <v>15060.431658965737</v>
      </c>
      <c r="M64" s="5">
        <v>13139.022167648376</v>
      </c>
      <c r="N64" s="5">
        <v>12297.015342318469</v>
      </c>
      <c r="O64" s="5">
        <v>4231.3144655921506</v>
      </c>
      <c r="P64" s="5">
        <v>14316.965520592317</v>
      </c>
      <c r="Q64" s="5">
        <v>52421.574537857021</v>
      </c>
      <c r="R64" s="5">
        <v>24831.679362998926</v>
      </c>
    </row>
    <row r="65" spans="9:18">
      <c r="I65" s="4">
        <v>50</v>
      </c>
      <c r="J65" s="5">
        <v>18650.249281571734</v>
      </c>
      <c r="K65" s="5">
        <v>61827.107730316675</v>
      </c>
      <c r="L65" s="5">
        <v>15161.007794371622</v>
      </c>
      <c r="M65" s="5">
        <v>15202.972920708273</v>
      </c>
      <c r="N65" s="5">
        <v>21931.347680292267</v>
      </c>
      <c r="O65" s="5">
        <v>66253.993323243907</v>
      </c>
      <c r="P65" s="5">
        <v>49519.098753410741</v>
      </c>
      <c r="Q65" s="5">
        <v>7349.2234634219121</v>
      </c>
      <c r="R65" s="5">
        <v>20303.08745527079</v>
      </c>
    </row>
    <row r="66" spans="9:18">
      <c r="I66" s="4">
        <v>51</v>
      </c>
      <c r="J66" s="5">
        <v>22812.564910649318</v>
      </c>
      <c r="K66" s="5">
        <v>16674.541027260992</v>
      </c>
      <c r="L66" s="5">
        <v>13023.361770761438</v>
      </c>
      <c r="M66" s="5">
        <v>12934.591863415189</v>
      </c>
      <c r="N66" s="5">
        <v>11251.634703629026</v>
      </c>
      <c r="O66" s="5">
        <v>21930.527973988665</v>
      </c>
      <c r="P66" s="5">
        <v>44816.412248582856</v>
      </c>
      <c r="Q66" s="5">
        <v>15663.43865741136</v>
      </c>
      <c r="R66" s="5">
        <v>6681.1887184356683</v>
      </c>
    </row>
    <row r="67" spans="9:18">
      <c r="I67" s="4">
        <v>52</v>
      </c>
      <c r="J67" s="5">
        <v>16166.107684907736</v>
      </c>
      <c r="K67" s="5">
        <v>21187.174639714212</v>
      </c>
      <c r="L67" s="5">
        <v>14175.160754078657</v>
      </c>
      <c r="M67" s="5">
        <v>17116.951435661951</v>
      </c>
      <c r="N67" s="5">
        <v>9563.1256545330361</v>
      </c>
      <c r="O67" s="5">
        <v>40942.522561879181</v>
      </c>
      <c r="P67" s="5">
        <v>38024.168395914428</v>
      </c>
      <c r="Q67" s="5">
        <v>37497.234505125656</v>
      </c>
      <c r="R67" s="5">
        <v>7952.6989268572033</v>
      </c>
    </row>
    <row r="68" spans="9:18">
      <c r="I68" s="4">
        <v>53</v>
      </c>
      <c r="J68" s="5">
        <v>15352.465904292809</v>
      </c>
      <c r="K68" s="5">
        <v>15631.937142257386</v>
      </c>
      <c r="L68" s="5">
        <v>23561.450544884348</v>
      </c>
      <c r="M68" s="5">
        <v>13139.022167648376</v>
      </c>
      <c r="N68" s="5">
        <v>23283.854578052265</v>
      </c>
      <c r="O68" s="5">
        <v>20721.57544042755</v>
      </c>
      <c r="P68" s="5">
        <v>12992.105410393709</v>
      </c>
      <c r="Q68" s="5">
        <v>37101.531383212743</v>
      </c>
      <c r="R68" s="5">
        <v>7394.6358885760465</v>
      </c>
    </row>
    <row r="69" spans="9:18">
      <c r="I69" s="4">
        <v>54</v>
      </c>
      <c r="J69" s="5">
        <v>28169.050633834027</v>
      </c>
      <c r="K69" s="5">
        <v>24728.095385476983</v>
      </c>
      <c r="L69" s="5">
        <v>18215.751370765771</v>
      </c>
      <c r="M69" s="5">
        <v>12619.198742021435</v>
      </c>
      <c r="N69" s="5">
        <v>16418.492928415813</v>
      </c>
      <c r="O69" s="5">
        <v>12110.196126281628</v>
      </c>
      <c r="P69" s="5">
        <v>14376.883105731285</v>
      </c>
      <c r="Q69" s="5">
        <v>15623.622662102793</v>
      </c>
      <c r="R69" s="5">
        <v>12116.34255245842</v>
      </c>
    </row>
    <row r="70" spans="9:18">
      <c r="I70" s="4">
        <v>55</v>
      </c>
      <c r="J70" s="5">
        <v>15786.811016780619</v>
      </c>
      <c r="K70" s="5">
        <v>14579.232378315752</v>
      </c>
      <c r="L70" s="5">
        <v>17578.712723867691</v>
      </c>
      <c r="M70" s="5">
        <v>24981.974172352908</v>
      </c>
      <c r="N70" s="5">
        <v>20558.672182394013</v>
      </c>
      <c r="O70" s="5">
        <v>20827.029306810669</v>
      </c>
      <c r="P70" s="5">
        <v>33500.490132682797</v>
      </c>
      <c r="Q70" s="5">
        <v>28776.080424849053</v>
      </c>
      <c r="R70" s="5">
        <v>33290.909836056817</v>
      </c>
    </row>
    <row r="71" spans="9:18">
      <c r="I71" s="4">
        <v>56</v>
      </c>
      <c r="J71" s="5">
        <v>15623.733864199699</v>
      </c>
      <c r="K71" s="5">
        <v>16934.093371663999</v>
      </c>
      <c r="L71" s="5">
        <v>21954.536591034263</v>
      </c>
      <c r="M71" s="5">
        <v>13616.35938654862</v>
      </c>
      <c r="N71" s="5">
        <v>16418.492928415813</v>
      </c>
      <c r="O71" s="5">
        <v>13550.031670770122</v>
      </c>
      <c r="P71" s="5">
        <v>54100.778483493887</v>
      </c>
      <c r="Q71" s="5">
        <v>17153.530968450712</v>
      </c>
      <c r="R71" s="5">
        <v>38898.713625068609</v>
      </c>
    </row>
    <row r="72" spans="9:18">
      <c r="I72" s="4">
        <v>57</v>
      </c>
      <c r="J72" s="5">
        <v>13447.638004246244</v>
      </c>
      <c r="K72" s="5">
        <v>11206.053243692098</v>
      </c>
      <c r="L72" s="5">
        <v>21954.536591034263</v>
      </c>
      <c r="M72" s="5">
        <v>31460.745851561904</v>
      </c>
      <c r="N72" s="5">
        <v>42744.618431291936</v>
      </c>
      <c r="O72" s="5">
        <v>13519.384207850644</v>
      </c>
      <c r="P72" s="5">
        <v>32167.874670939738</v>
      </c>
      <c r="Q72" s="5">
        <v>31974.553851773013</v>
      </c>
      <c r="R72" s="5">
        <v>26783.439354489365</v>
      </c>
    </row>
    <row r="73" spans="9:18">
      <c r="I73" s="4">
        <v>58</v>
      </c>
      <c r="J73" s="5">
        <v>28214.771032351968</v>
      </c>
      <c r="K73" s="5">
        <v>16674.541027260992</v>
      </c>
      <c r="L73" s="5">
        <v>15126.980926457318</v>
      </c>
      <c r="M73" s="5">
        <v>16842.379179328669</v>
      </c>
      <c r="N73" s="5">
        <v>15786.177386596903</v>
      </c>
      <c r="O73" s="5">
        <v>53007.660727727191</v>
      </c>
      <c r="P73" s="5">
        <v>38771.994792132391</v>
      </c>
      <c r="Q73" s="5">
        <v>47365.380972950254</v>
      </c>
      <c r="R73" s="5">
        <v>6681.1887184356683</v>
      </c>
    </row>
    <row r="74" spans="9:18">
      <c r="I74" s="4">
        <v>59</v>
      </c>
      <c r="J74" s="5">
        <v>19121.054099180623</v>
      </c>
      <c r="K74" s="5">
        <v>37822.375317881044</v>
      </c>
      <c r="L74" s="5">
        <v>14344.859750762502</v>
      </c>
      <c r="M74" s="5">
        <v>21072.983263501868</v>
      </c>
      <c r="N74" s="5">
        <v>15658.063692994532</v>
      </c>
      <c r="O74" s="5">
        <v>32474.063027682765</v>
      </c>
      <c r="P74" s="5">
        <v>13452.921824087563</v>
      </c>
      <c r="Q74" s="5">
        <v>42044.890065817184</v>
      </c>
      <c r="R74" s="5">
        <v>33863.04333215439</v>
      </c>
    </row>
    <row r="75" spans="9:18">
      <c r="I75" s="4">
        <v>60</v>
      </c>
      <c r="J75" s="5">
        <v>20002.201347927807</v>
      </c>
      <c r="K75" s="5">
        <v>24728.095385476983</v>
      </c>
      <c r="L75" s="5">
        <v>24256.352541181568</v>
      </c>
      <c r="M75" s="5">
        <v>18691.941789825862</v>
      </c>
      <c r="N75" s="5">
        <v>23043.345403059295</v>
      </c>
      <c r="O75" s="5">
        <v>28431.436490368542</v>
      </c>
      <c r="P75" s="5">
        <v>14327.191387816954</v>
      </c>
      <c r="Q75" s="5">
        <v>35525.432376048877</v>
      </c>
      <c r="R75" s="5">
        <v>6360.7905155660001</v>
      </c>
    </row>
    <row r="76" spans="9:18">
      <c r="I76" s="4">
        <v>61</v>
      </c>
      <c r="J76" s="5">
        <v>16416.142496463777</v>
      </c>
      <c r="K76" s="5">
        <v>15487.124352801369</v>
      </c>
      <c r="L76" s="5">
        <v>14175.160754078657</v>
      </c>
      <c r="M76" s="5">
        <v>24981.974172352908</v>
      </c>
      <c r="N76" s="5">
        <v>34295.124147811541</v>
      </c>
      <c r="O76" s="5">
        <v>30876.675913171162</v>
      </c>
      <c r="P76" s="5">
        <v>44816.412248582856</v>
      </c>
      <c r="Q76" s="5">
        <v>29432.473148002948</v>
      </c>
      <c r="R76" s="5">
        <v>123773.40402252052</v>
      </c>
    </row>
    <row r="77" spans="9:18">
      <c r="I77" s="4">
        <v>62</v>
      </c>
      <c r="J77" s="5">
        <v>13045.114546182727</v>
      </c>
      <c r="K77" s="5">
        <v>11857.447519815871</v>
      </c>
      <c r="L77" s="5">
        <v>15664.99858445921</v>
      </c>
      <c r="M77" s="5">
        <v>18177.175180585615</v>
      </c>
      <c r="N77" s="5">
        <v>35826.921212852278</v>
      </c>
      <c r="O77" s="5">
        <v>15936.062371781712</v>
      </c>
      <c r="P77" s="5">
        <v>9965.8330787532959</v>
      </c>
      <c r="Q77" s="5">
        <v>37073.980790337926</v>
      </c>
      <c r="R77" s="5">
        <v>14051.647494499957</v>
      </c>
    </row>
    <row r="78" spans="9:18">
      <c r="I78" s="4">
        <v>63</v>
      </c>
      <c r="J78" s="5">
        <v>27392.038553726634</v>
      </c>
      <c r="K78" s="5">
        <v>95171.967522309933</v>
      </c>
      <c r="L78" s="5">
        <v>16577.562442697115</v>
      </c>
      <c r="M78" s="5">
        <v>19890.009981657669</v>
      </c>
      <c r="N78" s="5">
        <v>41563.89847100406</v>
      </c>
      <c r="O78" s="5">
        <v>53028.643350899503</v>
      </c>
      <c r="P78" s="5">
        <v>27373.102585108634</v>
      </c>
      <c r="Q78" s="5">
        <v>30266.563414010914</v>
      </c>
      <c r="R78" s="5">
        <v>9913.4206865238284</v>
      </c>
    </row>
    <row r="79" spans="9:18">
      <c r="I79" s="4">
        <v>64</v>
      </c>
      <c r="J79" s="5">
        <v>16710.807721801892</v>
      </c>
      <c r="K79" s="5">
        <v>21187.174639714212</v>
      </c>
      <c r="L79" s="5">
        <v>17683.765335572589</v>
      </c>
      <c r="M79" s="5">
        <v>32751.734100446065</v>
      </c>
      <c r="N79" s="5">
        <v>26115.05281128412</v>
      </c>
      <c r="O79" s="5">
        <v>32474.063027682765</v>
      </c>
      <c r="P79" s="5">
        <v>27373.102585108634</v>
      </c>
      <c r="Q79" s="5">
        <v>14064.158297039334</v>
      </c>
      <c r="R79" s="5">
        <v>3433.6677391851467</v>
      </c>
    </row>
    <row r="80" spans="9:18">
      <c r="I80" s="4">
        <v>65</v>
      </c>
      <c r="J80" s="5">
        <v>22370.105711697011</v>
      </c>
      <c r="K80" s="5">
        <v>53937.689698015136</v>
      </c>
      <c r="L80" s="5">
        <v>17683.765335572589</v>
      </c>
      <c r="M80" s="5">
        <v>19430.369425783585</v>
      </c>
      <c r="N80" s="5">
        <v>4770.4216775830728</v>
      </c>
      <c r="O80" s="5">
        <v>24258.192244316608</v>
      </c>
      <c r="P80" s="5">
        <v>8069.5385577067918</v>
      </c>
      <c r="Q80" s="5">
        <v>19541.409060825732</v>
      </c>
      <c r="R80" s="5">
        <v>86510.608303273053</v>
      </c>
    </row>
    <row r="81" spans="9:18">
      <c r="I81" s="4">
        <v>66</v>
      </c>
      <c r="J81" s="5">
        <v>12452.764985867625</v>
      </c>
      <c r="K81" s="5">
        <v>18086.448513145526</v>
      </c>
      <c r="L81" s="5">
        <v>14146.191653372813</v>
      </c>
      <c r="M81" s="5">
        <v>16510.442870615672</v>
      </c>
      <c r="N81" s="5">
        <v>24020.875410266352</v>
      </c>
      <c r="O81" s="5">
        <v>27195.510785031525</v>
      </c>
      <c r="P81" s="5">
        <v>32167.874670939738</v>
      </c>
      <c r="Q81" s="5">
        <v>59134.059519022907</v>
      </c>
      <c r="R81" s="5">
        <v>17991.870496434763</v>
      </c>
    </row>
    <row r="82" spans="9:18">
      <c r="I82" s="4">
        <v>67</v>
      </c>
      <c r="J82" s="5">
        <v>16788.081681455456</v>
      </c>
      <c r="K82" s="5">
        <v>14497.035717129334</v>
      </c>
      <c r="L82" s="5">
        <v>15060.431658965737</v>
      </c>
      <c r="M82" s="5">
        <v>13065.820809359835</v>
      </c>
      <c r="N82" s="5">
        <v>11635.644856128632</v>
      </c>
      <c r="O82" s="5">
        <v>36759.655306288936</v>
      </c>
      <c r="P82" s="5">
        <v>26126.807131356076</v>
      </c>
      <c r="Q82" s="5">
        <v>42044.890065817184</v>
      </c>
      <c r="R82" s="5">
        <v>1535.701520095213</v>
      </c>
    </row>
    <row r="83" spans="9:18">
      <c r="I83" s="4">
        <v>68</v>
      </c>
      <c r="J83" s="5">
        <v>16511.332839561353</v>
      </c>
      <c r="K83" s="5">
        <v>15768.312122029349</v>
      </c>
      <c r="L83" s="5">
        <v>15832.5469007027</v>
      </c>
      <c r="M83" s="5">
        <v>12735.841453044006</v>
      </c>
      <c r="N83" s="5">
        <v>27841.916587595573</v>
      </c>
      <c r="O83" s="5">
        <v>13840.304699955392</v>
      </c>
      <c r="P83" s="5">
        <v>36724.352187786957</v>
      </c>
      <c r="Q83" s="5">
        <v>14064.158297039334</v>
      </c>
      <c r="R83" s="5">
        <v>91403.228438796665</v>
      </c>
    </row>
    <row r="84" spans="9:18">
      <c r="I84" s="4">
        <v>69</v>
      </c>
      <c r="J84" s="5">
        <v>12701.339251949787</v>
      </c>
      <c r="K84" s="5">
        <v>23934.551191616061</v>
      </c>
      <c r="L84" s="5">
        <v>15300.182042823812</v>
      </c>
      <c r="M84" s="5">
        <v>29041.83725675238</v>
      </c>
      <c r="N84" s="5">
        <v>11635.644856128632</v>
      </c>
      <c r="O84" s="5">
        <v>8801.3667015774663</v>
      </c>
      <c r="P84" s="5">
        <v>5836.7810663002319</v>
      </c>
      <c r="Q84" s="5">
        <v>96632.959478514502</v>
      </c>
      <c r="R84" s="5">
        <v>89167.415757270224</v>
      </c>
    </row>
    <row r="85" spans="9:18">
      <c r="I85" s="4">
        <v>70</v>
      </c>
      <c r="J85" s="5">
        <v>14749.343145806102</v>
      </c>
      <c r="K85" s="5">
        <v>15391.837334808681</v>
      </c>
      <c r="L85" s="5">
        <v>21954.536591034263</v>
      </c>
      <c r="M85" s="5">
        <v>23515.935489506261</v>
      </c>
      <c r="N85" s="5">
        <v>10882.757905166785</v>
      </c>
      <c r="O85" s="5">
        <v>13966.178986479143</v>
      </c>
      <c r="P85" s="5">
        <v>63015.124693769802</v>
      </c>
      <c r="Q85" s="5">
        <v>27789.973552634947</v>
      </c>
      <c r="R85" s="5">
        <v>62674.060343500474</v>
      </c>
    </row>
    <row r="86" spans="9:18">
      <c r="I86" s="4">
        <v>71</v>
      </c>
      <c r="J86" s="5">
        <v>27392.038553726634</v>
      </c>
      <c r="K86" s="5">
        <v>37822.375317881044</v>
      </c>
      <c r="L86" s="5">
        <v>14649.721476864312</v>
      </c>
      <c r="M86" s="5">
        <v>23515.935489506261</v>
      </c>
      <c r="N86" s="5">
        <v>4770.4216775830728</v>
      </c>
      <c r="O86" s="5">
        <v>27068.054847826614</v>
      </c>
      <c r="P86" s="5">
        <v>23769.190223735484</v>
      </c>
      <c r="Q86" s="5">
        <v>37101.531383212743</v>
      </c>
      <c r="R86" s="5">
        <v>24722.972470599001</v>
      </c>
    </row>
    <row r="87" spans="9:18">
      <c r="I87" s="4">
        <v>72</v>
      </c>
      <c r="J87" s="5">
        <v>28085.9245102444</v>
      </c>
      <c r="K87" s="5">
        <v>95171.967522309933</v>
      </c>
      <c r="L87" s="5">
        <v>14042.41908879921</v>
      </c>
      <c r="M87" s="5">
        <v>13065.820809359835</v>
      </c>
      <c r="N87" s="5">
        <v>35826.921212852278</v>
      </c>
      <c r="O87" s="5">
        <v>33720.545907536376</v>
      </c>
      <c r="P87" s="5">
        <v>44816.412248582856</v>
      </c>
      <c r="Q87" s="5">
        <v>10151.908492905288</v>
      </c>
      <c r="R87" s="5">
        <v>2180.6148629084787</v>
      </c>
    </row>
    <row r="88" spans="9:18">
      <c r="I88" s="4">
        <v>73</v>
      </c>
      <c r="J88" s="5">
        <v>7855.2948890116513</v>
      </c>
      <c r="K88" s="5">
        <v>29672.680843304515</v>
      </c>
      <c r="L88" s="5">
        <v>13358.459356674217</v>
      </c>
      <c r="M88" s="5">
        <v>24981.974172352908</v>
      </c>
      <c r="N88" s="5">
        <v>15786.177386596903</v>
      </c>
      <c r="O88" s="5">
        <v>24258.192244316608</v>
      </c>
      <c r="P88" s="5">
        <v>28537.545734403488</v>
      </c>
      <c r="Q88" s="5">
        <v>22145.301831504508</v>
      </c>
      <c r="R88" s="5">
        <v>13258.538726001538</v>
      </c>
    </row>
    <row r="89" spans="9:18">
      <c r="I89" s="4">
        <v>74</v>
      </c>
      <c r="J89" s="5">
        <v>14017.326487344162</v>
      </c>
      <c r="K89" s="5">
        <v>13652.224205833634</v>
      </c>
      <c r="L89" s="5">
        <v>19078.910217042379</v>
      </c>
      <c r="M89" s="5">
        <v>6367.5407465007311</v>
      </c>
      <c r="N89" s="5">
        <v>23283.854578052265</v>
      </c>
      <c r="O89" s="5">
        <v>27195.510785031525</v>
      </c>
      <c r="P89" s="5">
        <v>33715.790977629549</v>
      </c>
      <c r="Q89" s="5">
        <v>17234.335939857254</v>
      </c>
      <c r="R89" s="5">
        <v>39263.770877572199</v>
      </c>
    </row>
    <row r="90" spans="9:18">
      <c r="I90" s="4">
        <v>75</v>
      </c>
      <c r="J90" s="5">
        <v>14076.209333698853</v>
      </c>
      <c r="K90" s="5">
        <v>14611.618478071941</v>
      </c>
      <c r="L90" s="5">
        <v>25007.552172398639</v>
      </c>
      <c r="M90" s="5">
        <v>23067.94260629595</v>
      </c>
      <c r="N90" s="5">
        <v>45581.602064432409</v>
      </c>
      <c r="O90" s="5">
        <v>9869.5889207969612</v>
      </c>
      <c r="P90" s="5">
        <v>40377.463755170742</v>
      </c>
      <c r="Q90" s="5">
        <v>59134.059519022907</v>
      </c>
      <c r="R90" s="5">
        <v>122304.95880137496</v>
      </c>
    </row>
    <row r="91" spans="9:18">
      <c r="I91" s="4">
        <v>76</v>
      </c>
      <c r="J91" s="5">
        <v>27392.038553726634</v>
      </c>
      <c r="K91" s="5">
        <v>11558.357574452555</v>
      </c>
      <c r="L91" s="5">
        <v>13867.07093008449</v>
      </c>
      <c r="M91" s="5">
        <v>22815.60259636537</v>
      </c>
      <c r="N91" s="5">
        <v>22511.351424689696</v>
      </c>
      <c r="O91" s="5">
        <v>32474.063027682765</v>
      </c>
      <c r="P91" s="5">
        <v>3831.1492650071077</v>
      </c>
      <c r="Q91" s="5">
        <v>13214.632802255031</v>
      </c>
      <c r="R91" s="5">
        <v>30571.564004538617</v>
      </c>
    </row>
    <row r="92" spans="9:18">
      <c r="I92" s="4">
        <v>77</v>
      </c>
      <c r="J92" s="5">
        <v>22188.291830993156</v>
      </c>
      <c r="K92" s="5">
        <v>15428.770955406064</v>
      </c>
      <c r="L92" s="5">
        <v>13023.361770761438</v>
      </c>
      <c r="M92" s="5">
        <v>31554.722481137964</v>
      </c>
      <c r="N92" s="5">
        <v>8104.6265149430556</v>
      </c>
      <c r="O92" s="5">
        <v>20489.622805425737</v>
      </c>
      <c r="P92" s="5">
        <v>38771.994792132391</v>
      </c>
      <c r="Q92" s="5">
        <v>7457.1844090365566</v>
      </c>
      <c r="R92" s="5">
        <v>8720.6503563381029</v>
      </c>
    </row>
    <row r="93" spans="9:18">
      <c r="I93" s="4">
        <v>78</v>
      </c>
      <c r="J93" s="5">
        <v>12452.764985867625</v>
      </c>
      <c r="K93" s="5">
        <v>17003.901855709089</v>
      </c>
      <c r="L93" s="5">
        <v>15651.346103181355</v>
      </c>
      <c r="M93" s="5">
        <v>21833.004790208965</v>
      </c>
      <c r="N93" s="5">
        <v>26115.05281128412</v>
      </c>
      <c r="O93" s="5">
        <v>16826.763259351828</v>
      </c>
      <c r="P93" s="5">
        <v>27820.721938889761</v>
      </c>
      <c r="Q93" s="5">
        <v>15623.622662102793</v>
      </c>
      <c r="R93" s="5">
        <v>87776.138236389699</v>
      </c>
    </row>
    <row r="94" spans="9:18">
      <c r="I94" s="4">
        <v>79</v>
      </c>
      <c r="J94" s="5">
        <v>15648.665245032147</v>
      </c>
      <c r="K94" s="5">
        <v>16665.1498926479</v>
      </c>
      <c r="L94" s="5">
        <v>29265.217478369766</v>
      </c>
      <c r="M94" s="5">
        <v>14432.283063351901</v>
      </c>
      <c r="N94" s="5">
        <v>23008.246229813707</v>
      </c>
      <c r="O94" s="5">
        <v>25802.481365323994</v>
      </c>
      <c r="P94" s="5">
        <v>41657.50350099193</v>
      </c>
      <c r="Q94" s="5">
        <v>27018.509959127641</v>
      </c>
      <c r="R94" s="5">
        <v>12116.34255245842</v>
      </c>
    </row>
    <row r="95" spans="9:18">
      <c r="I95" s="4">
        <v>80</v>
      </c>
      <c r="J95" s="5">
        <v>13595.404057849493</v>
      </c>
      <c r="K95" s="5">
        <v>32073.547537933715</v>
      </c>
      <c r="L95" s="5">
        <v>21725.131459372977</v>
      </c>
      <c r="M95" s="5">
        <v>19042.78605337895</v>
      </c>
      <c r="N95" s="5">
        <v>20583.564383988036</v>
      </c>
      <c r="O95" s="5">
        <v>20721.57544042755</v>
      </c>
      <c r="P95" s="5">
        <v>27820.721938889761</v>
      </c>
      <c r="Q95" s="5">
        <v>37497.234505125656</v>
      </c>
      <c r="R95" s="5">
        <v>122304.95880137496</v>
      </c>
    </row>
    <row r="96" spans="9:18">
      <c r="I96" s="4">
        <v>81</v>
      </c>
      <c r="J96" s="5">
        <v>14344.692898101612</v>
      </c>
      <c r="K96" s="5">
        <v>11206.053243692098</v>
      </c>
      <c r="L96" s="5">
        <v>27289.607394458035</v>
      </c>
      <c r="M96" s="5">
        <v>10111.451009425113</v>
      </c>
      <c r="N96" s="5">
        <v>32184.535272543482</v>
      </c>
      <c r="O96" s="5">
        <v>24422.445067017139</v>
      </c>
      <c r="P96" s="5">
        <v>17643.087208586294</v>
      </c>
      <c r="Q96" s="5">
        <v>129470.11441833655</v>
      </c>
      <c r="R96" s="5">
        <v>6360.7905155660001</v>
      </c>
    </row>
    <row r="97" spans="9:18">
      <c r="I97" s="4">
        <v>82</v>
      </c>
      <c r="J97" s="5">
        <v>16788.081681455456</v>
      </c>
      <c r="K97" s="5">
        <v>16934.093371663999</v>
      </c>
      <c r="L97" s="5">
        <v>25389.332759288587</v>
      </c>
      <c r="M97" s="5">
        <v>15346.383801976139</v>
      </c>
      <c r="N97" s="5">
        <v>24769.339976495565</v>
      </c>
      <c r="O97" s="5">
        <v>25604.597681740845</v>
      </c>
      <c r="P97" s="5">
        <v>40377.463755170742</v>
      </c>
      <c r="Q97" s="5">
        <v>27789.973552634947</v>
      </c>
      <c r="R97" s="5">
        <v>51358.6267760993</v>
      </c>
    </row>
    <row r="98" spans="9:18">
      <c r="I98" s="4">
        <v>83</v>
      </c>
      <c r="J98" s="5">
        <v>21150.169973104224</v>
      </c>
      <c r="K98" s="5">
        <v>95171.967522309933</v>
      </c>
      <c r="L98" s="5">
        <v>22162.138529251199</v>
      </c>
      <c r="M98" s="5">
        <v>37411.178129764201</v>
      </c>
      <c r="N98" s="5">
        <v>15786.177386596903</v>
      </c>
      <c r="O98" s="5">
        <v>20827.029306810669</v>
      </c>
      <c r="P98" s="5">
        <v>17643.087208586294</v>
      </c>
      <c r="Q98" s="5">
        <v>35525.432376048877</v>
      </c>
      <c r="R98" s="5">
        <v>41056.152565483346</v>
      </c>
    </row>
    <row r="99" spans="9:18">
      <c r="I99" s="4">
        <v>84</v>
      </c>
      <c r="J99" s="5">
        <v>16544.73779470181</v>
      </c>
      <c r="K99" s="5">
        <v>61827.107730316675</v>
      </c>
      <c r="L99" s="5">
        <v>14175.160754078657</v>
      </c>
      <c r="M99" s="5">
        <v>20788.503422877813</v>
      </c>
      <c r="N99" s="5">
        <v>25549.748582175915</v>
      </c>
      <c r="O99" s="5">
        <v>49114.195066822271</v>
      </c>
      <c r="P99" s="5">
        <v>21933.779100635442</v>
      </c>
      <c r="Q99" s="5">
        <v>96632.959478514502</v>
      </c>
      <c r="R99" s="5">
        <v>93933.045103013996</v>
      </c>
    </row>
    <row r="100" spans="9:18">
      <c r="I100" s="4">
        <v>85</v>
      </c>
      <c r="J100" s="5">
        <v>9405.362381917912</v>
      </c>
      <c r="K100" s="5">
        <v>16132.555399908759</v>
      </c>
      <c r="L100" s="5">
        <v>17243.440968229323</v>
      </c>
      <c r="M100" s="5">
        <v>23067.94260629595</v>
      </c>
      <c r="N100" s="5">
        <v>32184.535272543482</v>
      </c>
      <c r="O100" s="5">
        <v>20489.622805425737</v>
      </c>
      <c r="P100" s="5">
        <v>36724.352187786957</v>
      </c>
      <c r="Q100" s="5">
        <v>28797.29222718185</v>
      </c>
      <c r="R100" s="5">
        <v>34970.397641695177</v>
      </c>
    </row>
    <row r="101" spans="9:18">
      <c r="I101" s="4">
        <v>86</v>
      </c>
      <c r="J101" s="5">
        <v>22812.564910649318</v>
      </c>
      <c r="K101" s="5">
        <v>14579.232378315752</v>
      </c>
      <c r="L101" s="5">
        <v>16071.260291253868</v>
      </c>
      <c r="M101" s="5">
        <v>30785.663999045999</v>
      </c>
      <c r="N101" s="5">
        <v>22735.120948269971</v>
      </c>
      <c r="O101" s="5">
        <v>28431.436490368542</v>
      </c>
      <c r="P101" s="5">
        <v>40377.463755170742</v>
      </c>
      <c r="Q101" s="5">
        <v>48866.209623168346</v>
      </c>
      <c r="R101" s="5">
        <v>51358.6267760993</v>
      </c>
    </row>
    <row r="102" spans="9:18">
      <c r="I102" s="4">
        <v>87</v>
      </c>
      <c r="J102" s="5">
        <v>45301.532027110363</v>
      </c>
      <c r="K102" s="5">
        <v>32073.547537933715</v>
      </c>
      <c r="L102" s="5">
        <v>27289.607394458035</v>
      </c>
      <c r="M102" s="5">
        <v>22815.60259636537</v>
      </c>
      <c r="N102" s="5">
        <v>26115.05281128412</v>
      </c>
      <c r="O102" s="5">
        <v>13550.031670770122</v>
      </c>
      <c r="P102" s="5">
        <v>9047.5556949992188</v>
      </c>
      <c r="Q102" s="5">
        <v>28078.365156847896</v>
      </c>
      <c r="R102" s="5">
        <v>12194.45251033065</v>
      </c>
    </row>
    <row r="103" spans="9:18">
      <c r="I103" s="4">
        <v>88</v>
      </c>
      <c r="J103" s="5">
        <v>16166.107684907736</v>
      </c>
      <c r="K103" s="5">
        <v>21527.93129974293</v>
      </c>
      <c r="L103" s="5">
        <v>17920.486090689363</v>
      </c>
      <c r="M103" s="5">
        <v>12735.841453044006</v>
      </c>
      <c r="N103" s="5">
        <v>11604.12831603515</v>
      </c>
      <c r="O103" s="5">
        <v>83458.030763693328</v>
      </c>
      <c r="P103" s="5">
        <v>12790.85158217316</v>
      </c>
      <c r="Q103" s="5">
        <v>31902.904306425251</v>
      </c>
      <c r="R103" s="5">
        <v>35232.418639121184</v>
      </c>
    </row>
    <row r="104" spans="9:18">
      <c r="I104" s="4">
        <v>89</v>
      </c>
      <c r="J104" s="5">
        <v>28214.771032351968</v>
      </c>
      <c r="K104" s="5">
        <v>17003.901855709089</v>
      </c>
      <c r="L104" s="5">
        <v>18810.091753970282</v>
      </c>
      <c r="M104" s="5">
        <v>19262.243095117232</v>
      </c>
      <c r="N104" s="5">
        <v>10882.757905166785</v>
      </c>
      <c r="O104" s="5">
        <v>41800.463215706819</v>
      </c>
      <c r="P104" s="5">
        <v>27708.613526855763</v>
      </c>
      <c r="Q104" s="5">
        <v>7349.2234634219121</v>
      </c>
      <c r="R104" s="5">
        <v>93933.045103013996</v>
      </c>
    </row>
    <row r="105" spans="9:18">
      <c r="I105" s="4">
        <v>90</v>
      </c>
      <c r="J105" s="5">
        <v>73074.062486361407</v>
      </c>
      <c r="K105" s="5">
        <v>31910.762633549082</v>
      </c>
      <c r="L105" s="5">
        <v>10752.183901283248</v>
      </c>
      <c r="M105" s="5">
        <v>23515.935489506261</v>
      </c>
      <c r="N105" s="5">
        <v>16148.901635865295</v>
      </c>
      <c r="O105" s="5">
        <v>26268.613803794757</v>
      </c>
      <c r="P105" s="5">
        <v>48123.003747643132</v>
      </c>
      <c r="Q105" s="5">
        <v>9138.5169630896526</v>
      </c>
      <c r="R105" s="5">
        <v>81423.874800517297</v>
      </c>
    </row>
    <row r="106" spans="9:18">
      <c r="I106" s="4">
        <v>91</v>
      </c>
      <c r="J106" s="5">
        <v>14017.326487344162</v>
      </c>
      <c r="K106" s="5">
        <v>12026.500118162745</v>
      </c>
      <c r="L106" s="5">
        <v>16955.349467865559</v>
      </c>
      <c r="M106" s="5">
        <v>21913.431401527439</v>
      </c>
      <c r="N106" s="5">
        <v>59876.136849941562</v>
      </c>
      <c r="O106" s="5">
        <v>25644.588869829797</v>
      </c>
      <c r="P106" s="5">
        <v>24349.301972630979</v>
      </c>
      <c r="Q106" s="5">
        <v>3272.4685014937832</v>
      </c>
      <c r="R106" s="5">
        <v>181970.23111012415</v>
      </c>
    </row>
    <row r="107" spans="9:18">
      <c r="I107" s="4">
        <v>92</v>
      </c>
      <c r="J107" s="5">
        <v>13918.242013140338</v>
      </c>
      <c r="K107" s="5">
        <v>16665.1498926479</v>
      </c>
      <c r="L107" s="5">
        <v>18475.258050488967</v>
      </c>
      <c r="M107" s="5">
        <v>21833.004790208965</v>
      </c>
      <c r="N107" s="5">
        <v>9989.086510768735</v>
      </c>
      <c r="O107" s="5">
        <v>10676.618215263648</v>
      </c>
      <c r="P107" s="5">
        <v>27452.975716953504</v>
      </c>
      <c r="Q107" s="5">
        <v>19541.409060825732</v>
      </c>
      <c r="R107" s="5">
        <v>7394.6358885760465</v>
      </c>
    </row>
    <row r="108" spans="9:18">
      <c r="I108" s="4">
        <v>93</v>
      </c>
      <c r="J108" s="5">
        <v>19048.674633640545</v>
      </c>
      <c r="K108" s="5">
        <v>16199.334613834633</v>
      </c>
      <c r="L108" s="5">
        <v>14691.846656953887</v>
      </c>
      <c r="M108" s="5">
        <v>15202.972920708273</v>
      </c>
      <c r="N108" s="5">
        <v>40377.252444397986</v>
      </c>
      <c r="O108" s="5">
        <v>4231.3144655921506</v>
      </c>
      <c r="P108" s="5">
        <v>66904.018529955298</v>
      </c>
      <c r="Q108" s="5">
        <v>16803.875627203233</v>
      </c>
      <c r="R108" s="5">
        <v>54594.567438884274</v>
      </c>
    </row>
    <row r="109" spans="9:18">
      <c r="I109" s="4">
        <v>94</v>
      </c>
      <c r="J109" s="5">
        <v>28169.050633834027</v>
      </c>
      <c r="K109" s="5">
        <v>18218.584572172625</v>
      </c>
      <c r="L109" s="5">
        <v>25007.552172398639</v>
      </c>
      <c r="M109" s="5">
        <v>11860.862376247747</v>
      </c>
      <c r="N109" s="5">
        <v>14240.123545764454</v>
      </c>
      <c r="O109" s="5">
        <v>26565.882515615398</v>
      </c>
      <c r="P109" s="5">
        <v>25258.981945036445</v>
      </c>
      <c r="Q109" s="5">
        <v>20883.852062640355</v>
      </c>
      <c r="R109" s="5">
        <v>33863.04333215439</v>
      </c>
    </row>
    <row r="110" spans="9:18">
      <c r="I110" s="4">
        <v>95</v>
      </c>
      <c r="J110" s="5">
        <v>20768.286261788198</v>
      </c>
      <c r="K110" s="5">
        <v>23543.914024953676</v>
      </c>
      <c r="L110" s="5">
        <v>14364.472927446199</v>
      </c>
      <c r="M110" s="5">
        <v>7334.8610818348589</v>
      </c>
      <c r="N110" s="5">
        <v>39406.658185292261</v>
      </c>
      <c r="O110" s="5">
        <v>19430.912633256889</v>
      </c>
      <c r="P110" s="5">
        <v>17737.38315098183</v>
      </c>
      <c r="Q110" s="5">
        <v>28078.365156847896</v>
      </c>
      <c r="R110" s="5">
        <v>12130.167062525341</v>
      </c>
    </row>
    <row r="111" spans="9:18">
      <c r="I111" s="4">
        <v>96</v>
      </c>
      <c r="J111" s="5">
        <v>11843.28062342474</v>
      </c>
      <c r="K111" s="5">
        <v>11558.357574452555</v>
      </c>
      <c r="L111" s="5">
        <v>15359.132481533357</v>
      </c>
      <c r="M111" s="5">
        <v>19042.78605337895</v>
      </c>
      <c r="N111" s="5">
        <v>24769.339976495565</v>
      </c>
      <c r="O111" s="5">
        <v>40304.23053285561</v>
      </c>
      <c r="P111" s="5">
        <v>63015.124693769802</v>
      </c>
      <c r="Q111" s="5">
        <v>96632.959478514502</v>
      </c>
      <c r="R111" s="5">
        <v>3433.6677391851467</v>
      </c>
    </row>
    <row r="112" spans="9:18">
      <c r="I112" s="4">
        <v>97</v>
      </c>
      <c r="J112" s="5">
        <v>49463.324094345015</v>
      </c>
      <c r="K112" s="5">
        <v>29672.680843304515</v>
      </c>
      <c r="L112" s="5">
        <v>16014.071850041886</v>
      </c>
      <c r="M112" s="5">
        <v>24981.974172352908</v>
      </c>
      <c r="N112" s="5">
        <v>10882.757905166785</v>
      </c>
      <c r="O112" s="5">
        <v>13550.031670770122</v>
      </c>
      <c r="P112" s="5">
        <v>63015.124693769802</v>
      </c>
      <c r="Q112" s="5">
        <v>16591.881190929333</v>
      </c>
      <c r="R112" s="5">
        <v>18230.645544621442</v>
      </c>
    </row>
    <row r="113" spans="9:18">
      <c r="I113" s="4">
        <v>98</v>
      </c>
      <c r="J113" s="5">
        <v>12452.764985867625</v>
      </c>
      <c r="K113" s="5">
        <v>6949.5708823216592</v>
      </c>
      <c r="L113" s="5">
        <v>16017.890956041876</v>
      </c>
      <c r="M113" s="5">
        <v>13642.678686731051</v>
      </c>
      <c r="N113" s="5">
        <v>11952.903761138405</v>
      </c>
      <c r="O113" s="5">
        <v>32474.063027682765</v>
      </c>
      <c r="P113" s="5">
        <v>55119.366528283317</v>
      </c>
      <c r="Q113" s="5">
        <v>22895.455950885695</v>
      </c>
      <c r="R113" s="5">
        <v>7118.1729476780347</v>
      </c>
    </row>
    <row r="114" spans="9:18">
      <c r="I114" s="4">
        <v>99</v>
      </c>
      <c r="J114" s="5">
        <v>18650.249281571734</v>
      </c>
      <c r="K114" s="5">
        <v>15768.312122029349</v>
      </c>
      <c r="L114" s="5">
        <v>27289.607394458035</v>
      </c>
      <c r="M114" s="5">
        <v>18043.539897080744</v>
      </c>
      <c r="N114" s="5">
        <v>51261.622558090799</v>
      </c>
      <c r="O114" s="5">
        <v>16524.769946939996</v>
      </c>
      <c r="P114" s="5">
        <v>29283.825979394511</v>
      </c>
      <c r="Q114" s="5">
        <v>31618.396253255491</v>
      </c>
      <c r="R114" s="5">
        <v>90296.353221228885</v>
      </c>
    </row>
    <row r="115" spans="9:18">
      <c r="I115" s="4">
        <v>100</v>
      </c>
      <c r="J115" s="5">
        <v>12035.382213755307</v>
      </c>
      <c r="K115" s="5">
        <v>15428.770955406064</v>
      </c>
      <c r="L115" s="5">
        <v>19189.275558866306</v>
      </c>
      <c r="M115" s="5">
        <v>13414.385151739983</v>
      </c>
      <c r="N115" s="5">
        <v>16418.492928415813</v>
      </c>
      <c r="O115" s="5">
        <v>8024.6340027919978</v>
      </c>
      <c r="P115" s="5">
        <v>8662.4232458952465</v>
      </c>
      <c r="Q115" s="5">
        <v>19541.409060825732</v>
      </c>
      <c r="R115" s="5">
        <v>50287.76786557267</v>
      </c>
    </row>
    <row r="116" spans="9:18">
      <c r="I116" s="4">
        <v>101</v>
      </c>
      <c r="J116" s="5">
        <v>14344.692898101612</v>
      </c>
      <c r="K116" s="5">
        <v>14579.232378315752</v>
      </c>
      <c r="L116" s="5">
        <v>16106.634875163341</v>
      </c>
      <c r="M116" s="5">
        <v>19890.009981657669</v>
      </c>
      <c r="N116" s="5">
        <v>29468.83360104046</v>
      </c>
      <c r="O116" s="5">
        <v>79848.944504816522</v>
      </c>
      <c r="P116" s="5">
        <v>49519.098753410741</v>
      </c>
      <c r="Q116" s="5">
        <v>96632.959478514502</v>
      </c>
      <c r="R116" s="5">
        <v>3989.7956692889929</v>
      </c>
    </row>
    <row r="117" spans="9:18">
      <c r="I117" s="4">
        <v>102</v>
      </c>
      <c r="J117" s="5">
        <v>27392.038553726634</v>
      </c>
      <c r="K117" s="5">
        <v>29672.680843304515</v>
      </c>
      <c r="L117" s="5">
        <v>14344.859750762502</v>
      </c>
      <c r="M117" s="5">
        <v>30830.81083227017</v>
      </c>
      <c r="N117" s="5">
        <v>40377.252444397986</v>
      </c>
      <c r="O117" s="5">
        <v>27508.313315384185</v>
      </c>
      <c r="P117" s="5">
        <v>45161.732159568586</v>
      </c>
      <c r="Q117" s="5">
        <v>16591.881190929333</v>
      </c>
      <c r="R117" s="5">
        <v>17991.870496434763</v>
      </c>
    </row>
    <row r="118" spans="9:18">
      <c r="I118" s="4">
        <v>103</v>
      </c>
      <c r="J118" s="5">
        <v>9405.362381917912</v>
      </c>
      <c r="K118" s="5">
        <v>14021.934268028277</v>
      </c>
      <c r="L118" s="5">
        <v>25389.332759288587</v>
      </c>
      <c r="M118" s="5">
        <v>12987.517521908694</v>
      </c>
      <c r="N118" s="5">
        <v>15786.177386596903</v>
      </c>
      <c r="O118" s="5">
        <v>31172.963108652857</v>
      </c>
      <c r="P118" s="5">
        <v>25258.981945036445</v>
      </c>
      <c r="Q118" s="5">
        <v>29432.473148002948</v>
      </c>
      <c r="R118" s="5">
        <v>18349.337771428582</v>
      </c>
    </row>
    <row r="119" spans="9:18">
      <c r="I119" s="4">
        <v>104</v>
      </c>
      <c r="J119" s="5">
        <v>14538.277247583976</v>
      </c>
      <c r="K119" s="5">
        <v>24728.095385476983</v>
      </c>
      <c r="L119" s="5">
        <v>18634.523182776735</v>
      </c>
      <c r="M119" s="5">
        <v>13414.385151739983</v>
      </c>
      <c r="N119" s="5">
        <v>15786.177386596903</v>
      </c>
      <c r="O119" s="5">
        <v>20827.029306810669</v>
      </c>
      <c r="P119" s="5">
        <v>33715.790977629549</v>
      </c>
      <c r="Q119" s="5">
        <v>96632.959478514502</v>
      </c>
      <c r="R119" s="5">
        <v>44707.053087992797</v>
      </c>
    </row>
    <row r="120" spans="9:18">
      <c r="I120" s="4">
        <v>105</v>
      </c>
      <c r="J120" s="5">
        <v>17679.321624063952</v>
      </c>
      <c r="K120" s="5">
        <v>12423.491400404893</v>
      </c>
      <c r="L120" s="5">
        <v>18634.523182776735</v>
      </c>
      <c r="M120" s="5">
        <v>22326.253555179093</v>
      </c>
      <c r="N120" s="5">
        <v>12523.573732460784</v>
      </c>
      <c r="O120" s="5">
        <v>53028.643350899503</v>
      </c>
      <c r="P120" s="5">
        <v>9811.9720599964548</v>
      </c>
      <c r="Q120" s="5">
        <v>9652.8114206999071</v>
      </c>
      <c r="R120" s="5">
        <v>51141.799458534304</v>
      </c>
    </row>
    <row r="121" spans="9:18">
      <c r="I121" s="4">
        <v>106</v>
      </c>
      <c r="J121" s="5">
        <v>19048.674633640545</v>
      </c>
      <c r="K121" s="5">
        <v>11507.182177474708</v>
      </c>
      <c r="L121" s="5">
        <v>14175.160754078657</v>
      </c>
      <c r="M121" s="5">
        <v>32497.510405113037</v>
      </c>
      <c r="N121" s="5">
        <v>23008.246229813707</v>
      </c>
      <c r="O121" s="5">
        <v>59207.798737851255</v>
      </c>
      <c r="P121" s="5">
        <v>38024.168395914428</v>
      </c>
      <c r="Q121" s="5">
        <v>35525.432376048877</v>
      </c>
      <c r="R121" s="5">
        <v>3311.4906988006405</v>
      </c>
    </row>
    <row r="122" spans="9:18">
      <c r="I122" s="4">
        <v>107</v>
      </c>
      <c r="J122" s="5">
        <v>11036.461796239426</v>
      </c>
      <c r="K122" s="5">
        <v>13719.930466819731</v>
      </c>
      <c r="L122" s="5">
        <v>22162.138529251199</v>
      </c>
      <c r="M122" s="5">
        <v>21332.072353846772</v>
      </c>
      <c r="N122" s="5">
        <v>18410.937863650517</v>
      </c>
      <c r="O122" s="5">
        <v>20827.029306810669</v>
      </c>
      <c r="P122" s="5">
        <v>10966.822219855034</v>
      </c>
      <c r="Q122" s="5">
        <v>64585.328088516922</v>
      </c>
      <c r="R122" s="5">
        <v>39788.288251916689</v>
      </c>
    </row>
    <row r="123" spans="9:18">
      <c r="I123" s="4">
        <v>108</v>
      </c>
      <c r="J123" s="5">
        <v>31559.699247539775</v>
      </c>
      <c r="K123" s="5">
        <v>31910.762633549082</v>
      </c>
      <c r="L123" s="5">
        <v>10752.183901283248</v>
      </c>
      <c r="M123" s="5">
        <v>42282.977640783138</v>
      </c>
      <c r="N123" s="5">
        <v>40377.252444397986</v>
      </c>
      <c r="O123" s="5">
        <v>27084.483614751469</v>
      </c>
      <c r="P123" s="5">
        <v>24349.301972630979</v>
      </c>
      <c r="Q123" s="5">
        <v>20987.925664394581</v>
      </c>
      <c r="R123" s="5">
        <v>7879.038918914337</v>
      </c>
    </row>
    <row r="124" spans="9:18">
      <c r="I124" s="4">
        <v>109</v>
      </c>
      <c r="J124" s="5">
        <v>28214.771032351968</v>
      </c>
      <c r="K124" s="5">
        <v>16132.555399908759</v>
      </c>
      <c r="L124" s="5">
        <v>18379.634651549037</v>
      </c>
      <c r="M124" s="5">
        <v>12735.841453044006</v>
      </c>
      <c r="N124" s="5">
        <v>9563.1256545330361</v>
      </c>
      <c r="O124" s="5">
        <v>33720.545907536376</v>
      </c>
      <c r="P124" s="5">
        <v>39054.462981000084</v>
      </c>
      <c r="Q124" s="5">
        <v>47365.380972950254</v>
      </c>
      <c r="R124" s="5">
        <v>302760.11878714536</v>
      </c>
    </row>
    <row r="125" spans="9:18">
      <c r="I125" s="4">
        <v>110</v>
      </c>
      <c r="J125" s="5">
        <v>19048.674633640545</v>
      </c>
      <c r="K125" s="5">
        <v>17495.743706488822</v>
      </c>
      <c r="L125" s="5">
        <v>16777.996633299583</v>
      </c>
      <c r="M125" s="5">
        <v>20229.919588372999</v>
      </c>
      <c r="N125" s="5">
        <v>11635.644856128632</v>
      </c>
      <c r="O125" s="5">
        <v>16572.483389649329</v>
      </c>
      <c r="P125" s="5">
        <v>20403.656304140692</v>
      </c>
      <c r="Q125" s="5">
        <v>52421.574537857021</v>
      </c>
      <c r="R125" s="5">
        <v>122304.95880137496</v>
      </c>
    </row>
    <row r="126" spans="9:18">
      <c r="I126" s="4">
        <v>111</v>
      </c>
      <c r="J126" s="5">
        <v>11936.262457073821</v>
      </c>
      <c r="K126" s="5">
        <v>16132.555399908759</v>
      </c>
      <c r="L126" s="5">
        <v>15922.087958863045</v>
      </c>
      <c r="M126" s="5">
        <v>25580.243606220469</v>
      </c>
      <c r="N126" s="5">
        <v>48565.498233359976</v>
      </c>
      <c r="O126" s="5">
        <v>16572.483389649329</v>
      </c>
      <c r="P126" s="5">
        <v>8662.4232458952465</v>
      </c>
      <c r="Q126" s="5">
        <v>31902.904306425251</v>
      </c>
      <c r="R126" s="5">
        <v>30571.564004538617</v>
      </c>
    </row>
    <row r="127" spans="9:18">
      <c r="I127" s="4">
        <v>112</v>
      </c>
      <c r="J127" s="5">
        <v>13045.114546182727</v>
      </c>
      <c r="K127" s="5">
        <v>11558.357574452555</v>
      </c>
      <c r="L127" s="5">
        <v>14610.165745300763</v>
      </c>
      <c r="M127" s="5">
        <v>17542.15972125496</v>
      </c>
      <c r="N127" s="5">
        <v>39672.376281023731</v>
      </c>
      <c r="O127" s="5">
        <v>20721.57544042755</v>
      </c>
      <c r="P127" s="5">
        <v>66904.018529955298</v>
      </c>
      <c r="Q127" s="5">
        <v>17493.456269945855</v>
      </c>
      <c r="R127" s="5">
        <v>17991.870496434763</v>
      </c>
    </row>
    <row r="128" spans="9:18">
      <c r="I128" s="4">
        <v>113</v>
      </c>
      <c r="J128" s="5">
        <v>13447.638004246244</v>
      </c>
      <c r="K128" s="5">
        <v>18086.448513145526</v>
      </c>
      <c r="L128" s="5">
        <v>15060.431658965737</v>
      </c>
      <c r="M128" s="5">
        <v>31554.722481137964</v>
      </c>
      <c r="N128" s="5">
        <v>4770.4216775830728</v>
      </c>
      <c r="O128" s="5">
        <v>9869.5889207969612</v>
      </c>
      <c r="P128" s="5">
        <v>17974.179326980211</v>
      </c>
      <c r="Q128" s="5">
        <v>59134.059519022907</v>
      </c>
      <c r="R128" s="5">
        <v>6360.7905155660001</v>
      </c>
    </row>
    <row r="129" spans="9:18">
      <c r="I129" s="4">
        <v>114</v>
      </c>
      <c r="J129" s="5">
        <v>16511.332839561353</v>
      </c>
      <c r="K129" s="5">
        <v>29672.680843304515</v>
      </c>
      <c r="L129" s="5">
        <v>13867.07093008449</v>
      </c>
      <c r="M129" s="5">
        <v>18177.175180585615</v>
      </c>
      <c r="N129" s="5">
        <v>27833.630848857778</v>
      </c>
      <c r="O129" s="5">
        <v>10738.305003664611</v>
      </c>
      <c r="P129" s="5">
        <v>5735.6883097179207</v>
      </c>
      <c r="Q129" s="5">
        <v>27018.509959127641</v>
      </c>
      <c r="R129" s="5">
        <v>12130.167062525341</v>
      </c>
    </row>
    <row r="130" spans="9:18">
      <c r="I130" s="4">
        <v>115</v>
      </c>
      <c r="J130" s="5">
        <v>16710.807721801892</v>
      </c>
      <c r="K130" s="5">
        <v>16199.334613834633</v>
      </c>
      <c r="L130" s="5">
        <v>15746.942257105531</v>
      </c>
      <c r="M130" s="5">
        <v>11529.920007560097</v>
      </c>
      <c r="N130" s="5">
        <v>23043.345403059295</v>
      </c>
      <c r="O130" s="5">
        <v>16462.170789592048</v>
      </c>
      <c r="P130" s="5">
        <v>20403.656304140692</v>
      </c>
      <c r="Q130" s="5">
        <v>64585.328088516922</v>
      </c>
      <c r="R130" s="5">
        <v>261393.32711858812</v>
      </c>
    </row>
    <row r="131" spans="9:18">
      <c r="I131" s="4">
        <v>116</v>
      </c>
      <c r="J131" s="5">
        <v>13663.281817546009</v>
      </c>
      <c r="K131" s="5">
        <v>13520.836427679104</v>
      </c>
      <c r="L131" s="5">
        <v>18634.523182776735</v>
      </c>
      <c r="M131" s="5">
        <v>41403.687663920646</v>
      </c>
      <c r="N131" s="5">
        <v>59876.136849941562</v>
      </c>
      <c r="O131" s="5">
        <v>24247.516962783076</v>
      </c>
      <c r="P131" s="5">
        <v>5836.7810663002319</v>
      </c>
      <c r="Q131" s="5">
        <v>4631.7430487757983</v>
      </c>
      <c r="R131" s="5">
        <v>1535.701520095213</v>
      </c>
    </row>
    <row r="132" spans="9:18">
      <c r="I132" s="4">
        <v>117</v>
      </c>
      <c r="J132" s="5">
        <v>11854.381651026555</v>
      </c>
      <c r="K132" s="5">
        <v>14136.873097602549</v>
      </c>
      <c r="L132" s="5">
        <v>15746.942257105531</v>
      </c>
      <c r="M132" s="5">
        <v>15586.009710351766</v>
      </c>
      <c r="N132" s="5">
        <v>24020.875410266352</v>
      </c>
      <c r="O132" s="5">
        <v>20930.098352661731</v>
      </c>
      <c r="P132" s="5">
        <v>21813.848941464526</v>
      </c>
      <c r="Q132" s="5">
        <v>29432.473148002948</v>
      </c>
      <c r="R132" s="5">
        <v>123773.40402252052</v>
      </c>
    </row>
    <row r="133" spans="9:18">
      <c r="I133" s="4">
        <v>118</v>
      </c>
      <c r="J133" s="5">
        <v>22188.291830993156</v>
      </c>
      <c r="K133" s="5">
        <v>13331.01856102917</v>
      </c>
      <c r="L133" s="5">
        <v>16017.890956041876</v>
      </c>
      <c r="M133" s="5">
        <v>23454.775510296178</v>
      </c>
      <c r="N133" s="5">
        <v>59876.136849941562</v>
      </c>
      <c r="O133" s="5">
        <v>26565.882515615398</v>
      </c>
      <c r="P133" s="5">
        <v>10733.318076105543</v>
      </c>
      <c r="Q133" s="5">
        <v>16591.881190929333</v>
      </c>
      <c r="R133" s="5">
        <v>7879.038918914337</v>
      </c>
    </row>
    <row r="134" spans="9:18">
      <c r="I134" s="4">
        <v>119</v>
      </c>
      <c r="J134" s="5">
        <v>12701.339251949787</v>
      </c>
      <c r="K134" s="5">
        <v>24728.095385476983</v>
      </c>
      <c r="L134" s="5">
        <v>14344.859750762502</v>
      </c>
      <c r="M134" s="5">
        <v>10451.914120098167</v>
      </c>
      <c r="N134" s="5">
        <v>19125.360074567652</v>
      </c>
      <c r="O134" s="5">
        <v>41653.890350944224</v>
      </c>
      <c r="P134" s="5">
        <v>6275.8915673055426</v>
      </c>
      <c r="Q134" s="5">
        <v>4924.9171270300558</v>
      </c>
      <c r="R134" s="5">
        <v>302760.11878714536</v>
      </c>
    </row>
    <row r="135" spans="9:18">
      <c r="I135" s="4">
        <v>120</v>
      </c>
      <c r="J135" s="5">
        <v>43272.831879770602</v>
      </c>
      <c r="K135" s="5">
        <v>61827.107730316675</v>
      </c>
      <c r="L135" s="5">
        <v>16777.996633299583</v>
      </c>
      <c r="M135" s="5">
        <v>20550.782384061673</v>
      </c>
      <c r="N135" s="5">
        <v>17811.114014514766</v>
      </c>
      <c r="O135" s="5">
        <v>19430.912633256889</v>
      </c>
      <c r="P135" s="5">
        <v>77603.711720266961</v>
      </c>
      <c r="Q135" s="5">
        <v>7349.2234634219121</v>
      </c>
      <c r="R135" s="5">
        <v>33290.909836056817</v>
      </c>
    </row>
    <row r="136" spans="9:18">
      <c r="I136" s="4">
        <v>121</v>
      </c>
      <c r="J136" s="5">
        <v>15623.733864199699</v>
      </c>
      <c r="K136" s="5">
        <v>56656.842992470461</v>
      </c>
      <c r="L136" s="5">
        <v>22018.381599979773</v>
      </c>
      <c r="M136" s="5">
        <v>13139.022167648376</v>
      </c>
      <c r="N136" s="5">
        <v>18367.429489032103</v>
      </c>
      <c r="O136" s="5">
        <v>13519.384207850644</v>
      </c>
      <c r="P136" s="5">
        <v>36724.352187786957</v>
      </c>
      <c r="Q136" s="5">
        <v>96632.959478514502</v>
      </c>
      <c r="R136" s="5">
        <v>65420.116221752483</v>
      </c>
    </row>
    <row r="137" spans="9:18">
      <c r="I137" s="4">
        <v>122</v>
      </c>
      <c r="J137" s="5">
        <v>20768.286261788198</v>
      </c>
      <c r="K137" s="5">
        <v>13652.224205833634</v>
      </c>
      <c r="L137" s="5">
        <v>16014.071850041886</v>
      </c>
      <c r="M137" s="5">
        <v>23515.935489506261</v>
      </c>
      <c r="N137" s="5">
        <v>12592.300437162297</v>
      </c>
      <c r="O137" s="5">
        <v>55264.438774006347</v>
      </c>
      <c r="P137" s="5">
        <v>3017.2887813579896</v>
      </c>
      <c r="Q137" s="5">
        <v>22895.455950885695</v>
      </c>
      <c r="R137" s="5">
        <v>87776.138236389699</v>
      </c>
    </row>
    <row r="138" spans="9:18">
      <c r="I138" s="4">
        <v>123</v>
      </c>
      <c r="J138" s="5">
        <v>16710.807721801892</v>
      </c>
      <c r="K138" s="5">
        <v>16081.362509465702</v>
      </c>
      <c r="L138" s="5">
        <v>15746.942257105531</v>
      </c>
      <c r="M138" s="5">
        <v>19151.339770278159</v>
      </c>
      <c r="N138" s="5">
        <v>15658.063692994532</v>
      </c>
      <c r="O138" s="5">
        <v>19430.912633256889</v>
      </c>
      <c r="P138" s="5">
        <v>3930.0915591834291</v>
      </c>
      <c r="Q138" s="5">
        <v>31902.904306425251</v>
      </c>
      <c r="R138" s="5">
        <v>7394.6358885760465</v>
      </c>
    </row>
    <row r="139" spans="9:18">
      <c r="I139" s="4">
        <v>124</v>
      </c>
      <c r="J139" s="5">
        <v>15130.594750069789</v>
      </c>
      <c r="K139" s="5">
        <v>14611.618478071941</v>
      </c>
      <c r="L139" s="5">
        <v>13358.459356674217</v>
      </c>
      <c r="M139" s="5">
        <v>21072.983263501868</v>
      </c>
      <c r="N139" s="5">
        <v>19125.360074567652</v>
      </c>
      <c r="O139" s="5">
        <v>33720.545907536376</v>
      </c>
      <c r="P139" s="5">
        <v>16650.229067545235</v>
      </c>
      <c r="Q139" s="5">
        <v>31902.904306425251</v>
      </c>
      <c r="R139" s="5">
        <v>33863.04333215439</v>
      </c>
    </row>
    <row r="140" spans="9:18">
      <c r="I140" s="4">
        <v>125</v>
      </c>
      <c r="J140" s="5">
        <v>13045.114546182727</v>
      </c>
      <c r="K140" s="5">
        <v>43843.85059185313</v>
      </c>
      <c r="L140" s="5">
        <v>16616.161224349555</v>
      </c>
      <c r="M140" s="5">
        <v>14432.283063351901</v>
      </c>
      <c r="N140" s="5">
        <v>41563.89847100406</v>
      </c>
      <c r="O140" s="5">
        <v>10746.295275180995</v>
      </c>
      <c r="P140" s="5">
        <v>20391.123772341358</v>
      </c>
      <c r="Q140" s="5">
        <v>52421.574537857021</v>
      </c>
      <c r="R140" s="5">
        <v>29295.938844292672</v>
      </c>
    </row>
    <row r="141" spans="9:18">
      <c r="I141" s="4">
        <v>126</v>
      </c>
      <c r="J141" s="5">
        <v>11116.191595722205</v>
      </c>
      <c r="K141" s="5">
        <v>18086.448513145526</v>
      </c>
      <c r="L141" s="5">
        <v>16071.478531535273</v>
      </c>
      <c r="M141" s="5">
        <v>18816.787977140237</v>
      </c>
      <c r="N141" s="5">
        <v>15804.474686449519</v>
      </c>
      <c r="O141" s="5">
        <v>94068.324736096256</v>
      </c>
      <c r="P141" s="5">
        <v>13452.921824087563</v>
      </c>
      <c r="Q141" s="5">
        <v>73941.636731325911</v>
      </c>
      <c r="R141" s="5">
        <v>72561.496699005787</v>
      </c>
    </row>
    <row r="142" spans="9:18">
      <c r="I142" s="4">
        <v>127</v>
      </c>
      <c r="J142" s="5">
        <v>19467.17453557903</v>
      </c>
      <c r="K142" s="5">
        <v>12777.667398488715</v>
      </c>
      <c r="L142" s="5">
        <v>17482.478480142941</v>
      </c>
      <c r="M142" s="5">
        <v>41403.687663920646</v>
      </c>
      <c r="N142" s="5">
        <v>18367.429489032103</v>
      </c>
      <c r="O142" s="5">
        <v>42492.261063288854</v>
      </c>
      <c r="P142" s="5">
        <v>10532.667493814919</v>
      </c>
      <c r="Q142" s="5">
        <v>22145.301831504508</v>
      </c>
      <c r="R142" s="5">
        <v>2071.5141323269809</v>
      </c>
    </row>
    <row r="143" spans="9:18">
      <c r="I143" s="4">
        <v>128</v>
      </c>
      <c r="J143" s="5">
        <v>19048.674633640545</v>
      </c>
      <c r="K143" s="5">
        <v>16081.362509465702</v>
      </c>
      <c r="L143" s="5">
        <v>19359.475411188432</v>
      </c>
      <c r="M143" s="5">
        <v>19262.243095117232</v>
      </c>
      <c r="N143" s="5">
        <v>26115.05281128412</v>
      </c>
      <c r="O143" s="5">
        <v>18637.945795127704</v>
      </c>
      <c r="P143" s="5">
        <v>74840.036182179319</v>
      </c>
      <c r="Q143" s="5">
        <v>4631.7430487757983</v>
      </c>
      <c r="R143" s="5">
        <v>8105.1944146993656</v>
      </c>
    </row>
    <row r="144" spans="9:18">
      <c r="I144" s="4">
        <v>129</v>
      </c>
      <c r="J144" s="5">
        <v>14344.692898101612</v>
      </c>
      <c r="K144" s="5">
        <v>14497.035717129334</v>
      </c>
      <c r="L144" s="5">
        <v>13417.453622029931</v>
      </c>
      <c r="M144" s="5">
        <v>12987.517521908694</v>
      </c>
      <c r="N144" s="5">
        <v>11684.605182472778</v>
      </c>
      <c r="O144" s="5">
        <v>32474.063027682765</v>
      </c>
      <c r="P144" s="5">
        <v>38771.994792132391</v>
      </c>
      <c r="Q144" s="5">
        <v>37073.980790337926</v>
      </c>
      <c r="R144" s="5">
        <v>7118.1729476780347</v>
      </c>
    </row>
    <row r="145" spans="9:18">
      <c r="I145" s="4">
        <v>130</v>
      </c>
      <c r="J145" s="5">
        <v>21888.821432026474</v>
      </c>
      <c r="K145" s="5">
        <v>15782.544184844044</v>
      </c>
      <c r="L145" s="5">
        <v>13358.459356674217</v>
      </c>
      <c r="M145" s="5">
        <v>25580.243606220469</v>
      </c>
      <c r="N145" s="5">
        <v>22010.718648995869</v>
      </c>
      <c r="O145" s="5">
        <v>79848.944504816522</v>
      </c>
      <c r="P145" s="5">
        <v>21039.927746191301</v>
      </c>
      <c r="Q145" s="5">
        <v>20883.852062640355</v>
      </c>
      <c r="R145" s="5">
        <v>8720.6503563381029</v>
      </c>
    </row>
    <row r="146" spans="9:18">
      <c r="I146" s="4">
        <v>131</v>
      </c>
      <c r="J146" s="5">
        <v>15081.728672246438</v>
      </c>
      <c r="K146" s="5">
        <v>13331.01856102917</v>
      </c>
      <c r="L146" s="5">
        <v>18634.523182776735</v>
      </c>
      <c r="M146" s="5">
        <v>29058.117767351498</v>
      </c>
      <c r="N146" s="5">
        <v>41563.89847100406</v>
      </c>
      <c r="O146" s="5">
        <v>20489.622805425737</v>
      </c>
      <c r="P146" s="5">
        <v>16072.735485912413</v>
      </c>
      <c r="Q146" s="5">
        <v>28797.29222718185</v>
      </c>
      <c r="R146" s="5">
        <v>16039.216896723072</v>
      </c>
    </row>
    <row r="147" spans="9:18">
      <c r="I147" s="4">
        <v>132</v>
      </c>
      <c r="J147" s="5">
        <v>20768.286261788198</v>
      </c>
      <c r="K147" s="5">
        <v>13288.692555879701</v>
      </c>
      <c r="L147" s="5">
        <v>18215.751370765771</v>
      </c>
      <c r="M147" s="5">
        <v>11529.920007560097</v>
      </c>
      <c r="N147" s="5">
        <v>15804.474686449519</v>
      </c>
      <c r="O147" s="5">
        <v>40942.522561879181</v>
      </c>
      <c r="P147" s="5">
        <v>23769.190223735484</v>
      </c>
      <c r="Q147" s="5">
        <v>92068.726035424203</v>
      </c>
      <c r="R147" s="5">
        <v>18349.337771428582</v>
      </c>
    </row>
    <row r="148" spans="9:18">
      <c r="I148" s="4">
        <v>133</v>
      </c>
      <c r="J148" s="5">
        <v>14960.076233580705</v>
      </c>
      <c r="K148" s="5">
        <v>15782.544184844044</v>
      </c>
      <c r="L148" s="5">
        <v>22162.138529251199</v>
      </c>
      <c r="M148" s="5">
        <v>42282.977640783138</v>
      </c>
      <c r="N148" s="5">
        <v>46248.895746171031</v>
      </c>
      <c r="O148" s="5">
        <v>40942.522561879181</v>
      </c>
      <c r="P148" s="5">
        <v>54100.778483493887</v>
      </c>
      <c r="Q148" s="5">
        <v>22483.395143121877</v>
      </c>
      <c r="R148" s="5">
        <v>65420.116221752483</v>
      </c>
    </row>
    <row r="149" spans="9:18">
      <c r="I149" s="4">
        <v>134</v>
      </c>
      <c r="J149" s="5">
        <v>16733.020222212988</v>
      </c>
      <c r="K149" s="5">
        <v>13331.01856102917</v>
      </c>
      <c r="L149" s="5">
        <v>24256.352541181568</v>
      </c>
      <c r="M149" s="5">
        <v>19430.369425783585</v>
      </c>
      <c r="N149" s="5">
        <v>51261.622558090799</v>
      </c>
      <c r="O149" s="5">
        <v>33720.545907536376</v>
      </c>
      <c r="P149" s="5">
        <v>8662.4232458952465</v>
      </c>
      <c r="Q149" s="5">
        <v>4631.7430487757983</v>
      </c>
      <c r="R149" s="5">
        <v>20303.08745527079</v>
      </c>
    </row>
    <row r="150" spans="9:18">
      <c r="I150" s="4">
        <v>135</v>
      </c>
      <c r="J150" s="5">
        <v>27392.038553726634</v>
      </c>
      <c r="K150" s="5">
        <v>15768.312122029349</v>
      </c>
      <c r="L150" s="5">
        <v>15471.738323660695</v>
      </c>
      <c r="M150" s="5">
        <v>18879.640760542785</v>
      </c>
      <c r="N150" s="5">
        <v>12592.300437162297</v>
      </c>
      <c r="O150" s="5">
        <v>16572.483389649329</v>
      </c>
      <c r="P150" s="5">
        <v>39054.462981000084</v>
      </c>
      <c r="Q150" s="5">
        <v>17234.335939857254</v>
      </c>
      <c r="R150" s="5">
        <v>84289.422255274636</v>
      </c>
    </row>
    <row r="151" spans="9:18">
      <c r="I151" s="4">
        <v>136</v>
      </c>
      <c r="J151" s="5">
        <v>16710.807721801892</v>
      </c>
      <c r="K151" s="5">
        <v>18218.584572172625</v>
      </c>
      <c r="L151" s="5">
        <v>10752.183901283248</v>
      </c>
      <c r="M151" s="5">
        <v>6367.5407465007311</v>
      </c>
      <c r="N151" s="5">
        <v>6130.3882288404347</v>
      </c>
      <c r="O151" s="5">
        <v>27195.510785031525</v>
      </c>
      <c r="P151" s="5">
        <v>35213.322626437533</v>
      </c>
      <c r="Q151" s="5">
        <v>11173.074396969254</v>
      </c>
      <c r="R151" s="5">
        <v>41418.225609677866</v>
      </c>
    </row>
    <row r="152" spans="9:18">
      <c r="I152" s="4">
        <v>137</v>
      </c>
      <c r="J152" s="5">
        <v>15648.665245032147</v>
      </c>
      <c r="K152" s="5">
        <v>29672.680843304515</v>
      </c>
      <c r="L152" s="5">
        <v>18634.523182776735</v>
      </c>
      <c r="M152" s="5">
        <v>10111.451009425113</v>
      </c>
      <c r="N152" s="5">
        <v>24020.875410266352</v>
      </c>
      <c r="O152" s="5">
        <v>19430.912633256889</v>
      </c>
      <c r="P152" s="5">
        <v>10180.109839011631</v>
      </c>
      <c r="Q152" s="5">
        <v>13865.641566869812</v>
      </c>
      <c r="R152" s="5">
        <v>8130.5639219412278</v>
      </c>
    </row>
    <row r="153" spans="9:18">
      <c r="I153" s="4">
        <v>138</v>
      </c>
      <c r="J153" s="5">
        <v>43272.831879770602</v>
      </c>
      <c r="K153" s="5">
        <v>14587.813833513306</v>
      </c>
      <c r="L153" s="5">
        <v>34748.877779456467</v>
      </c>
      <c r="M153" s="5">
        <v>19795.661011456152</v>
      </c>
      <c r="N153" s="5">
        <v>10882.757905166785</v>
      </c>
      <c r="O153" s="5">
        <v>9708.4497800977806</v>
      </c>
      <c r="P153" s="5">
        <v>10180.109839011631</v>
      </c>
      <c r="Q153" s="5">
        <v>15623.622662102793</v>
      </c>
      <c r="R153" s="5">
        <v>44707.053087992797</v>
      </c>
    </row>
    <row r="154" spans="9:18">
      <c r="I154" s="4">
        <v>139</v>
      </c>
      <c r="J154" s="5">
        <v>16145.071869702888</v>
      </c>
      <c r="K154" s="5">
        <v>23327.217259521742</v>
      </c>
      <c r="L154" s="5">
        <v>15487.970507365942</v>
      </c>
      <c r="M154" s="5">
        <v>26477.996319655329</v>
      </c>
      <c r="N154" s="5">
        <v>20583.564383988036</v>
      </c>
      <c r="O154" s="5">
        <v>5444.7598502623823</v>
      </c>
      <c r="P154" s="5">
        <v>39054.462981000084</v>
      </c>
      <c r="Q154" s="5">
        <v>28567.61306643406</v>
      </c>
      <c r="R154" s="5">
        <v>20236.767651156802</v>
      </c>
    </row>
    <row r="155" spans="9:18">
      <c r="I155" s="4">
        <v>140</v>
      </c>
      <c r="J155" s="5">
        <v>26634.853073396614</v>
      </c>
      <c r="K155" s="5">
        <v>18218.584572172625</v>
      </c>
      <c r="L155" s="5">
        <v>13023.361770761438</v>
      </c>
      <c r="M155" s="5">
        <v>17349.963215818931</v>
      </c>
      <c r="N155" s="5">
        <v>59876.136849941562</v>
      </c>
      <c r="O155" s="5">
        <v>15936.062371781712</v>
      </c>
      <c r="P155" s="5">
        <v>77603.711720266961</v>
      </c>
      <c r="Q155" s="5">
        <v>129470.11441833655</v>
      </c>
      <c r="R155" s="5">
        <v>84289.422255274636</v>
      </c>
    </row>
    <row r="156" spans="9:18">
      <c r="I156" s="4">
        <v>141</v>
      </c>
      <c r="J156" s="5">
        <v>17592.832480262863</v>
      </c>
      <c r="K156" s="5">
        <v>21527.93129974293</v>
      </c>
      <c r="L156" s="5">
        <v>10896.494237357269</v>
      </c>
      <c r="M156" s="5">
        <v>13139.022167648376</v>
      </c>
      <c r="N156" s="5">
        <v>48565.498233359976</v>
      </c>
      <c r="O156" s="5">
        <v>13613.378495715853</v>
      </c>
      <c r="P156" s="5">
        <v>8877.9712092977989</v>
      </c>
      <c r="Q156" s="5">
        <v>31019.493883163672</v>
      </c>
      <c r="R156" s="5">
        <v>39263.770877572199</v>
      </c>
    </row>
    <row r="157" spans="9:18">
      <c r="I157" s="4">
        <v>142</v>
      </c>
      <c r="J157" s="5">
        <v>26634.853073396614</v>
      </c>
      <c r="K157" s="5">
        <v>26110.948843472826</v>
      </c>
      <c r="L157" s="5">
        <v>13867.07093008449</v>
      </c>
      <c r="M157" s="5">
        <v>20788.503422877813</v>
      </c>
      <c r="N157" s="5">
        <v>63974.903847153939</v>
      </c>
      <c r="O157" s="5">
        <v>42492.261063288854</v>
      </c>
      <c r="P157" s="5">
        <v>32167.874670939738</v>
      </c>
      <c r="Q157" s="5">
        <v>9645.8788061228515</v>
      </c>
      <c r="R157" s="5">
        <v>81423.874800517297</v>
      </c>
    </row>
    <row r="158" spans="9:18">
      <c r="I158" s="4">
        <v>143</v>
      </c>
      <c r="J158" s="5">
        <v>19048.674633640545</v>
      </c>
      <c r="K158" s="5">
        <v>15428.770955406064</v>
      </c>
      <c r="L158" s="5">
        <v>15923.549351835489</v>
      </c>
      <c r="M158" s="5">
        <v>16881.579299055</v>
      </c>
      <c r="N158" s="5">
        <v>24769.339976495565</v>
      </c>
      <c r="O158" s="5">
        <v>25604.597681740845</v>
      </c>
      <c r="P158" s="5">
        <v>10733.318076105543</v>
      </c>
      <c r="Q158" s="5">
        <v>11173.074396969254</v>
      </c>
      <c r="R158" s="5">
        <v>18720.450716365784</v>
      </c>
    </row>
    <row r="159" spans="9:18">
      <c r="I159" s="4">
        <v>144</v>
      </c>
      <c r="J159" s="5">
        <v>13391.049101507895</v>
      </c>
      <c r="K159" s="5">
        <v>14136.873097602549</v>
      </c>
      <c r="L159" s="5">
        <v>18379.634651549037</v>
      </c>
      <c r="M159" s="5">
        <v>11860.862376247747</v>
      </c>
      <c r="N159" s="5">
        <v>46248.895746171031</v>
      </c>
      <c r="O159" s="5">
        <v>27068.054847826614</v>
      </c>
      <c r="P159" s="5">
        <v>63015.124693769802</v>
      </c>
      <c r="Q159" s="5">
        <v>64585.328088516922</v>
      </c>
      <c r="R159" s="5">
        <v>96845.299789249824</v>
      </c>
    </row>
    <row r="160" spans="9:18">
      <c r="I160" s="4">
        <v>145</v>
      </c>
      <c r="J160" s="5">
        <v>12888.204629170894</v>
      </c>
      <c r="K160" s="5">
        <v>13331.01856102917</v>
      </c>
      <c r="L160" s="5">
        <v>18475.258050488967</v>
      </c>
      <c r="M160" s="5">
        <v>18816.787977140237</v>
      </c>
      <c r="N160" s="5">
        <v>24853.247795632611</v>
      </c>
      <c r="O160" s="5">
        <v>79848.944504816522</v>
      </c>
      <c r="P160" s="5">
        <v>44646.134934589521</v>
      </c>
      <c r="Q160" s="5">
        <v>9454.5906023793759</v>
      </c>
      <c r="R160" s="5">
        <v>90296.353221228885</v>
      </c>
    </row>
    <row r="161" spans="9:18">
      <c r="I161" s="4">
        <v>146</v>
      </c>
      <c r="J161" s="5">
        <v>33627.941293959229</v>
      </c>
      <c r="K161" s="5">
        <v>17003.901855709089</v>
      </c>
      <c r="L161" s="5">
        <v>21954.536591034263</v>
      </c>
      <c r="M161" s="5">
        <v>17370.588707072598</v>
      </c>
      <c r="N161" s="5">
        <v>21933.097106966918</v>
      </c>
      <c r="O161" s="5">
        <v>9320.7026593487881</v>
      </c>
      <c r="P161" s="5">
        <v>9633.1652908310007</v>
      </c>
      <c r="Q161" s="5">
        <v>56069.347629295014</v>
      </c>
      <c r="R161" s="5">
        <v>59414.886464347241</v>
      </c>
    </row>
    <row r="162" spans="9:18">
      <c r="I162" s="4">
        <v>147</v>
      </c>
      <c r="J162" s="5">
        <v>15786.811016780619</v>
      </c>
      <c r="K162" s="5">
        <v>24728.095385476983</v>
      </c>
      <c r="L162" s="5">
        <v>15225.811035017256</v>
      </c>
      <c r="M162" s="5">
        <v>24981.974172352908</v>
      </c>
      <c r="N162" s="5">
        <v>16581.915858379376</v>
      </c>
      <c r="O162" s="5">
        <v>8024.6340027919978</v>
      </c>
      <c r="P162" s="5">
        <v>13452.921824087563</v>
      </c>
      <c r="Q162" s="5">
        <v>15663.43865741136</v>
      </c>
      <c r="R162" s="5">
        <v>20236.767651156802</v>
      </c>
    </row>
    <row r="163" spans="9:18">
      <c r="I163" s="4">
        <v>148</v>
      </c>
      <c r="J163" s="5">
        <v>73074.062486361407</v>
      </c>
      <c r="K163" s="5">
        <v>18218.584572172625</v>
      </c>
      <c r="L163" s="5">
        <v>14042.41908879921</v>
      </c>
      <c r="M163" s="5">
        <v>18816.787977140237</v>
      </c>
      <c r="N163" s="5">
        <v>20718.434293991453</v>
      </c>
      <c r="O163" s="5">
        <v>4231.3144655921506</v>
      </c>
      <c r="P163" s="5">
        <v>54923.423457863879</v>
      </c>
      <c r="Q163" s="5">
        <v>19315.033835554255</v>
      </c>
      <c r="R163" s="5">
        <v>7394.6358885760465</v>
      </c>
    </row>
    <row r="164" spans="9:18">
      <c r="I164" s="4">
        <v>149</v>
      </c>
      <c r="J164" s="5">
        <v>16305.770155972396</v>
      </c>
      <c r="K164" s="5">
        <v>21527.93129974293</v>
      </c>
      <c r="L164" s="5">
        <v>25007.552172398639</v>
      </c>
      <c r="M164" s="5">
        <v>21272.00214469912</v>
      </c>
      <c r="N164" s="5">
        <v>17891.96347244953</v>
      </c>
      <c r="O164" s="5">
        <v>18637.945795127704</v>
      </c>
      <c r="P164" s="5">
        <v>28537.545734403488</v>
      </c>
      <c r="Q164" s="5">
        <v>13099.063525342741</v>
      </c>
      <c r="R164" s="5">
        <v>62674.060343500474</v>
      </c>
    </row>
    <row r="165" spans="9:18">
      <c r="I165" s="4">
        <v>150</v>
      </c>
      <c r="J165" s="5">
        <v>17592.832480262863</v>
      </c>
      <c r="K165" s="5">
        <v>13719.930466819731</v>
      </c>
      <c r="L165" s="5">
        <v>19224.583269019437</v>
      </c>
      <c r="M165" s="5">
        <v>10111.451009425113</v>
      </c>
      <c r="N165" s="5">
        <v>26152.705108198839</v>
      </c>
      <c r="O165" s="5">
        <v>15936.062371781712</v>
      </c>
      <c r="P165" s="5">
        <v>22601.57564624758</v>
      </c>
      <c r="Q165" s="5">
        <v>116445.46783345108</v>
      </c>
      <c r="R165" s="5">
        <v>27349.63499959607</v>
      </c>
    </row>
    <row r="166" spans="9:18">
      <c r="I166" s="4">
        <v>151</v>
      </c>
      <c r="J166" s="5">
        <v>16166.107684907736</v>
      </c>
      <c r="K166" s="5">
        <v>18821.113178054162</v>
      </c>
      <c r="L166" s="5">
        <v>17845.207337527903</v>
      </c>
      <c r="M166" s="5">
        <v>22961.931350882205</v>
      </c>
      <c r="N166" s="5">
        <v>21617.945168312468</v>
      </c>
      <c r="O166" s="5">
        <v>16505.600261180331</v>
      </c>
      <c r="P166" s="5">
        <v>8877.9712092977989</v>
      </c>
      <c r="Q166" s="5">
        <v>13214.632802255031</v>
      </c>
      <c r="R166" s="5">
        <v>34970.397641695177</v>
      </c>
    </row>
    <row r="167" spans="9:18">
      <c r="I167" s="4">
        <v>152</v>
      </c>
      <c r="J167" s="5">
        <v>17679.321624063952</v>
      </c>
      <c r="K167" s="5">
        <v>12026.500118162745</v>
      </c>
      <c r="L167" s="5">
        <v>14042.41908879921</v>
      </c>
      <c r="M167" s="5">
        <v>36301.422888051464</v>
      </c>
      <c r="N167" s="5">
        <v>12592.300437162297</v>
      </c>
      <c r="O167" s="5">
        <v>10369.402667058452</v>
      </c>
      <c r="P167" s="5">
        <v>17643.087208586294</v>
      </c>
      <c r="Q167" s="5">
        <v>44911.749632594299</v>
      </c>
      <c r="R167" s="5">
        <v>2071.5141323269809</v>
      </c>
    </row>
    <row r="168" spans="9:18">
      <c r="I168" s="4">
        <v>153</v>
      </c>
      <c r="J168" s="5">
        <v>16788.081681455456</v>
      </c>
      <c r="K168" s="5">
        <v>15347.101709242541</v>
      </c>
      <c r="L168" s="5">
        <v>18634.523182776735</v>
      </c>
      <c r="M168" s="5">
        <v>21913.431401527439</v>
      </c>
      <c r="N168" s="5">
        <v>9209.4418830788036</v>
      </c>
      <c r="O168" s="5">
        <v>13550.031670770122</v>
      </c>
      <c r="P168" s="5">
        <v>38024.168395914428</v>
      </c>
      <c r="Q168" s="5">
        <v>59134.059519022907</v>
      </c>
      <c r="R168" s="5">
        <v>7201.7586694681067</v>
      </c>
    </row>
    <row r="169" spans="9:18">
      <c r="I169" s="4">
        <v>154</v>
      </c>
      <c r="J169" s="5">
        <v>15786.811016780619</v>
      </c>
      <c r="K169" s="5">
        <v>8223.1266007477425</v>
      </c>
      <c r="L169" s="5">
        <v>16293.265064857471</v>
      </c>
      <c r="M169" s="5">
        <v>37411.178129764201</v>
      </c>
      <c r="N169" s="5">
        <v>24769.339976495565</v>
      </c>
      <c r="O169" s="5">
        <v>10676.618215263648</v>
      </c>
      <c r="P169" s="5">
        <v>9633.1652908310007</v>
      </c>
      <c r="Q169" s="5">
        <v>42044.890065817184</v>
      </c>
      <c r="R169" s="5">
        <v>31715.273557891396</v>
      </c>
    </row>
    <row r="170" spans="9:18">
      <c r="I170" s="4">
        <v>155</v>
      </c>
      <c r="J170" s="5">
        <v>16416.142496463777</v>
      </c>
      <c r="K170" s="5">
        <v>14497.035717129334</v>
      </c>
      <c r="L170" s="5">
        <v>34748.877779456467</v>
      </c>
      <c r="M170" s="5">
        <v>25580.243606220469</v>
      </c>
      <c r="N170" s="5">
        <v>25424.029865101274</v>
      </c>
      <c r="O170" s="5">
        <v>24258.192244316608</v>
      </c>
      <c r="P170" s="5">
        <v>20403.656304140692</v>
      </c>
      <c r="Q170" s="5">
        <v>14064.158297039334</v>
      </c>
      <c r="R170" s="5">
        <v>96845.299789249824</v>
      </c>
    </row>
    <row r="171" spans="9:18">
      <c r="I171" s="4">
        <v>156</v>
      </c>
      <c r="J171" s="5">
        <v>8580.4413740966302</v>
      </c>
      <c r="K171" s="5">
        <v>18086.448513145526</v>
      </c>
      <c r="L171" s="5">
        <v>19078.910217042379</v>
      </c>
      <c r="M171" s="5">
        <v>12619.198742021435</v>
      </c>
      <c r="N171" s="5">
        <v>14921.795973817481</v>
      </c>
      <c r="O171" s="5">
        <v>20930.098352661731</v>
      </c>
      <c r="P171" s="5">
        <v>55119.366528283317</v>
      </c>
      <c r="Q171" s="5">
        <v>37277.391668005912</v>
      </c>
      <c r="R171" s="5">
        <v>50287.76786557267</v>
      </c>
    </row>
    <row r="172" spans="9:18">
      <c r="I172" s="4">
        <v>157</v>
      </c>
      <c r="J172" s="5">
        <v>19467.17453557903</v>
      </c>
      <c r="K172" s="5">
        <v>13559.080695844099</v>
      </c>
      <c r="L172" s="5">
        <v>17073.17760523731</v>
      </c>
      <c r="M172" s="5">
        <v>26477.996319655329</v>
      </c>
      <c r="N172" s="5">
        <v>17811.114014514766</v>
      </c>
      <c r="O172" s="5">
        <v>8024.6340027919978</v>
      </c>
      <c r="P172" s="5">
        <v>26126.807131356076</v>
      </c>
      <c r="Q172" s="5">
        <v>14064.158297039334</v>
      </c>
      <c r="R172" s="5">
        <v>302760.11878714536</v>
      </c>
    </row>
    <row r="173" spans="9:18">
      <c r="I173" s="4">
        <v>158</v>
      </c>
      <c r="J173" s="5">
        <v>31053.540961463306</v>
      </c>
      <c r="K173" s="5">
        <v>12026.500118162745</v>
      </c>
      <c r="L173" s="5">
        <v>17311.244744664215</v>
      </c>
      <c r="M173" s="5">
        <v>25580.243606220469</v>
      </c>
      <c r="N173" s="5">
        <v>29468.83360104046</v>
      </c>
      <c r="O173" s="5">
        <v>26565.882515615398</v>
      </c>
      <c r="P173" s="5">
        <v>41657.50350099193</v>
      </c>
      <c r="Q173" s="5">
        <v>52545.991451361173</v>
      </c>
      <c r="R173" s="5">
        <v>39727.513802035661</v>
      </c>
    </row>
    <row r="174" spans="9:18">
      <c r="I174" s="4">
        <v>159</v>
      </c>
      <c r="J174" s="5">
        <v>26634.853073396614</v>
      </c>
      <c r="K174" s="5">
        <v>16081.362509465702</v>
      </c>
      <c r="L174" s="5">
        <v>16451.333928028147</v>
      </c>
      <c r="M174" s="5">
        <v>42282.977640783138</v>
      </c>
      <c r="N174" s="5">
        <v>23283.854578052265</v>
      </c>
      <c r="O174" s="5">
        <v>9956.4031238965053</v>
      </c>
      <c r="P174" s="5">
        <v>32167.874670939738</v>
      </c>
      <c r="Q174" s="5">
        <v>116445.46783345108</v>
      </c>
      <c r="R174" s="5">
        <v>30571.564004538617</v>
      </c>
    </row>
    <row r="175" spans="9:18">
      <c r="I175" s="4">
        <v>160</v>
      </c>
      <c r="J175" s="5">
        <v>13447.638004246244</v>
      </c>
      <c r="K175" s="5">
        <v>13520.836427679104</v>
      </c>
      <c r="L175" s="5">
        <v>14796.875457021113</v>
      </c>
      <c r="M175" s="5">
        <v>10451.914120098167</v>
      </c>
      <c r="N175" s="5">
        <v>6130.3882288404347</v>
      </c>
      <c r="O175" s="5">
        <v>30876.675913171162</v>
      </c>
      <c r="P175" s="5">
        <v>45161.732159568586</v>
      </c>
      <c r="Q175" s="5">
        <v>13099.063525342741</v>
      </c>
      <c r="R175" s="5">
        <v>24831.679362998926</v>
      </c>
    </row>
    <row r="176" spans="9:18">
      <c r="I176" s="4">
        <v>161</v>
      </c>
      <c r="J176" s="5">
        <v>14344.692898101612</v>
      </c>
      <c r="K176" s="5">
        <v>30552.499930043898</v>
      </c>
      <c r="L176" s="5">
        <v>16071.260291253868</v>
      </c>
      <c r="M176" s="5">
        <v>19795.661011456152</v>
      </c>
      <c r="N176" s="5">
        <v>11635.644856128632</v>
      </c>
      <c r="O176" s="5">
        <v>40304.23053285561</v>
      </c>
      <c r="P176" s="5">
        <v>48123.003747643132</v>
      </c>
      <c r="Q176" s="5">
        <v>13099.063525342741</v>
      </c>
      <c r="R176" s="5">
        <v>8720.6503563381029</v>
      </c>
    </row>
    <row r="177" spans="9:18">
      <c r="I177" s="4">
        <v>162</v>
      </c>
      <c r="J177" s="5">
        <v>16088.430030489333</v>
      </c>
      <c r="K177" s="5">
        <v>9739.7813029644258</v>
      </c>
      <c r="L177" s="5">
        <v>15832.5469007027</v>
      </c>
      <c r="M177" s="5">
        <v>19430.369425783585</v>
      </c>
      <c r="N177" s="5">
        <v>48565.498233359976</v>
      </c>
      <c r="O177" s="5">
        <v>40942.522561879181</v>
      </c>
      <c r="P177" s="5">
        <v>44646.134934589521</v>
      </c>
      <c r="Q177" s="5">
        <v>15663.43865741136</v>
      </c>
      <c r="R177" s="5">
        <v>3433.6677391851467</v>
      </c>
    </row>
    <row r="178" spans="9:18">
      <c r="I178" s="4">
        <v>163</v>
      </c>
      <c r="J178" s="5">
        <v>14749.343145806102</v>
      </c>
      <c r="K178" s="5">
        <v>9769.3659785458403</v>
      </c>
      <c r="L178" s="5">
        <v>14691.846656953887</v>
      </c>
      <c r="M178" s="5">
        <v>7334.8610818348589</v>
      </c>
      <c r="N178" s="5">
        <v>23008.246229813707</v>
      </c>
      <c r="O178" s="5">
        <v>13613.378495715853</v>
      </c>
      <c r="P178" s="5">
        <v>41657.50350099193</v>
      </c>
      <c r="Q178" s="5">
        <v>28567.61306643406</v>
      </c>
      <c r="R178" s="5">
        <v>216919.53009911609</v>
      </c>
    </row>
    <row r="179" spans="9:18">
      <c r="I179" s="4">
        <v>164</v>
      </c>
      <c r="J179" s="5">
        <v>14538.277247583976</v>
      </c>
      <c r="K179" s="5">
        <v>32073.547537933715</v>
      </c>
      <c r="L179" s="5">
        <v>14146.191653372813</v>
      </c>
      <c r="M179" s="5">
        <v>13022.686998540772</v>
      </c>
      <c r="N179" s="5">
        <v>27833.630848857778</v>
      </c>
      <c r="O179" s="5">
        <v>16826.763259351828</v>
      </c>
      <c r="P179" s="5">
        <v>49519.098753410741</v>
      </c>
      <c r="Q179" s="5">
        <v>16591.881190929333</v>
      </c>
      <c r="R179" s="5">
        <v>7952.6989268572033</v>
      </c>
    </row>
    <row r="180" spans="9:18">
      <c r="I180" s="4">
        <v>165</v>
      </c>
      <c r="J180" s="5">
        <v>22188.291830993156</v>
      </c>
      <c r="K180" s="5">
        <v>61827.107730316675</v>
      </c>
      <c r="L180" s="5">
        <v>16071.260291253868</v>
      </c>
      <c r="M180" s="5">
        <v>19151.339770278159</v>
      </c>
      <c r="N180" s="5">
        <v>22868.569282757788</v>
      </c>
      <c r="O180" s="5">
        <v>25802.481365323994</v>
      </c>
      <c r="P180" s="5">
        <v>16072.735485912413</v>
      </c>
      <c r="Q180" s="5">
        <v>28776.080424849053</v>
      </c>
      <c r="R180" s="5">
        <v>13258.538726001538</v>
      </c>
    </row>
    <row r="181" spans="9:18">
      <c r="I181" s="4">
        <v>166</v>
      </c>
      <c r="J181" s="5">
        <v>33627.941293959229</v>
      </c>
      <c r="K181" s="5">
        <v>23543.914024953676</v>
      </c>
      <c r="L181" s="5">
        <v>23760.785349782636</v>
      </c>
      <c r="M181" s="5">
        <v>12934.591863415189</v>
      </c>
      <c r="N181" s="5">
        <v>15658.063692994532</v>
      </c>
      <c r="O181" s="5">
        <v>53504.725169095313</v>
      </c>
      <c r="P181" s="5">
        <v>44646.134934589521</v>
      </c>
      <c r="Q181" s="5">
        <v>6386.5227360487288</v>
      </c>
      <c r="R181" s="5">
        <v>31715.273557891396</v>
      </c>
    </row>
    <row r="182" spans="9:18">
      <c r="I182" s="4">
        <v>167</v>
      </c>
      <c r="J182" s="5">
        <v>28169.050633834027</v>
      </c>
      <c r="K182" s="5">
        <v>20887.307279900142</v>
      </c>
      <c r="L182" s="5">
        <v>16616.161224349555</v>
      </c>
      <c r="M182" s="5">
        <v>15346.383801976139</v>
      </c>
      <c r="N182" s="5">
        <v>23746.795665493762</v>
      </c>
      <c r="O182" s="5">
        <v>16572.483389649329</v>
      </c>
      <c r="P182" s="5">
        <v>44646.134934589521</v>
      </c>
      <c r="Q182" s="5">
        <v>13865.641566869812</v>
      </c>
      <c r="R182" s="5">
        <v>17991.870496434763</v>
      </c>
    </row>
    <row r="183" spans="9:18">
      <c r="I183" s="4">
        <v>168</v>
      </c>
      <c r="J183" s="5">
        <v>20768.286261788198</v>
      </c>
      <c r="K183" s="5">
        <v>37822.375317881044</v>
      </c>
      <c r="L183" s="5">
        <v>15300.182042823812</v>
      </c>
      <c r="M183" s="5">
        <v>13011.820191946215</v>
      </c>
      <c r="N183" s="5">
        <v>13909.728487455486</v>
      </c>
      <c r="O183" s="5">
        <v>42492.261063288854</v>
      </c>
      <c r="P183" s="5">
        <v>63015.124693769802</v>
      </c>
      <c r="Q183" s="5">
        <v>11173.074396969254</v>
      </c>
      <c r="R183" s="5">
        <v>8105.1944146993656</v>
      </c>
    </row>
    <row r="184" spans="9:18">
      <c r="I184" s="4">
        <v>169</v>
      </c>
      <c r="J184" s="5">
        <v>13841.207384998772</v>
      </c>
      <c r="K184" s="5">
        <v>23543.914024953676</v>
      </c>
      <c r="L184" s="5">
        <v>14815.394001212817</v>
      </c>
      <c r="M184" s="5">
        <v>12934.591863415189</v>
      </c>
      <c r="N184" s="5">
        <v>11604.12831603515</v>
      </c>
      <c r="O184" s="5">
        <v>79848.944504816522</v>
      </c>
      <c r="P184" s="5">
        <v>22601.57564624758</v>
      </c>
      <c r="Q184" s="5">
        <v>48866.209623168346</v>
      </c>
      <c r="R184" s="5">
        <v>23583.884732956092</v>
      </c>
    </row>
    <row r="185" spans="9:18">
      <c r="I185" s="4">
        <v>170</v>
      </c>
      <c r="J185" s="5">
        <v>13595.404057849493</v>
      </c>
      <c r="K185" s="5">
        <v>17003.901855709089</v>
      </c>
      <c r="L185" s="5">
        <v>18379.634651549037</v>
      </c>
      <c r="M185" s="5">
        <v>12934.591863415189</v>
      </c>
      <c r="N185" s="5">
        <v>46248.895746171031</v>
      </c>
      <c r="O185" s="5">
        <v>24247.516962783076</v>
      </c>
      <c r="P185" s="5">
        <v>33715.790977629549</v>
      </c>
      <c r="Q185" s="5">
        <v>37073.980790337926</v>
      </c>
      <c r="R185" s="5">
        <v>182942.88598316166</v>
      </c>
    </row>
    <row r="186" spans="9:18">
      <c r="I186" s="4">
        <v>171</v>
      </c>
      <c r="J186" s="5">
        <v>16156.372629961115</v>
      </c>
      <c r="K186" s="5">
        <v>23934.551191616061</v>
      </c>
      <c r="L186" s="5">
        <v>14042.41908879921</v>
      </c>
      <c r="M186" s="5">
        <v>21712.71007234112</v>
      </c>
      <c r="N186" s="5">
        <v>16418.492928415813</v>
      </c>
      <c r="O186" s="5">
        <v>27508.313315384185</v>
      </c>
      <c r="P186" s="5">
        <v>9965.8330787532959</v>
      </c>
      <c r="Q186" s="5">
        <v>92068.726035424203</v>
      </c>
      <c r="R186" s="5">
        <v>7201.7586694681067</v>
      </c>
    </row>
    <row r="187" spans="9:18">
      <c r="I187" s="4">
        <v>172</v>
      </c>
      <c r="J187" s="5">
        <v>7855.2948890116513</v>
      </c>
      <c r="K187" s="5">
        <v>17903.387243834499</v>
      </c>
      <c r="L187" s="5">
        <v>11827.803406885578</v>
      </c>
      <c r="M187" s="5">
        <v>37411.178129764201</v>
      </c>
      <c r="N187" s="5">
        <v>21617.945168312468</v>
      </c>
      <c r="O187" s="5">
        <v>28431.436490368542</v>
      </c>
      <c r="P187" s="5">
        <v>54923.423457863879</v>
      </c>
      <c r="Q187" s="5">
        <v>43417.41805414496</v>
      </c>
      <c r="R187" s="5">
        <v>59414.886464347241</v>
      </c>
    </row>
    <row r="188" spans="9:18">
      <c r="I188" s="4">
        <v>173</v>
      </c>
      <c r="J188" s="5">
        <v>13391.049101507895</v>
      </c>
      <c r="K188" s="5">
        <v>11507.182177474708</v>
      </c>
      <c r="L188" s="5">
        <v>17073.17760523731</v>
      </c>
      <c r="M188" s="5">
        <v>20550.782384061673</v>
      </c>
      <c r="N188" s="5">
        <v>21909.120225822895</v>
      </c>
      <c r="O188" s="5">
        <v>53028.643350899503</v>
      </c>
      <c r="P188" s="5">
        <v>9965.8330787532959</v>
      </c>
      <c r="Q188" s="5">
        <v>96632.959478514502</v>
      </c>
      <c r="R188" s="5">
        <v>33290.909836056817</v>
      </c>
    </row>
    <row r="189" spans="9:18">
      <c r="I189" s="4">
        <v>174</v>
      </c>
      <c r="J189" s="5">
        <v>14017.326487344162</v>
      </c>
      <c r="K189" s="5">
        <v>17495.743706488822</v>
      </c>
      <c r="L189" s="5">
        <v>16451.333928028147</v>
      </c>
      <c r="M189" s="5">
        <v>13065.820809359835</v>
      </c>
      <c r="N189" s="5">
        <v>14240.123545764454</v>
      </c>
      <c r="O189" s="5">
        <v>16826.763259351828</v>
      </c>
      <c r="P189" s="5">
        <v>27452.975716953504</v>
      </c>
      <c r="Q189" s="5">
        <v>20987.925664394581</v>
      </c>
      <c r="R189" s="5">
        <v>34970.397641695177</v>
      </c>
    </row>
    <row r="190" spans="9:18">
      <c r="I190" s="4">
        <v>175</v>
      </c>
      <c r="J190" s="5">
        <v>43272.831879770602</v>
      </c>
      <c r="K190" s="5">
        <v>15129.619337591721</v>
      </c>
      <c r="L190" s="5">
        <v>16451.333928028147</v>
      </c>
      <c r="M190" s="5">
        <v>12934.591863415189</v>
      </c>
      <c r="N190" s="5">
        <v>10882.757905166785</v>
      </c>
      <c r="O190" s="5">
        <v>8801.3667015774663</v>
      </c>
      <c r="P190" s="5">
        <v>8069.5385577067918</v>
      </c>
      <c r="Q190" s="5">
        <v>37802.358878968138</v>
      </c>
      <c r="R190" s="5">
        <v>96845.299789249824</v>
      </c>
    </row>
    <row r="191" spans="9:18">
      <c r="I191" s="4">
        <v>176</v>
      </c>
      <c r="J191" s="5">
        <v>16416.142496463777</v>
      </c>
      <c r="K191" s="5">
        <v>16081.362509465702</v>
      </c>
      <c r="L191" s="5">
        <v>15922.087958863045</v>
      </c>
      <c r="M191" s="5">
        <v>14217.48832834715</v>
      </c>
      <c r="N191" s="5">
        <v>48565.498233359976</v>
      </c>
      <c r="O191" s="5">
        <v>20930.098352661731</v>
      </c>
      <c r="P191" s="5">
        <v>39054.462981000084</v>
      </c>
      <c r="Q191" s="5">
        <v>2356.8990887111336</v>
      </c>
      <c r="R191" s="5">
        <v>216919.53009911609</v>
      </c>
    </row>
    <row r="192" spans="9:18">
      <c r="I192" s="4">
        <v>177</v>
      </c>
      <c r="J192" s="5">
        <v>27392.038553726634</v>
      </c>
      <c r="K192" s="5">
        <v>14136.873097602549</v>
      </c>
      <c r="L192" s="5">
        <v>16017.890956041876</v>
      </c>
      <c r="M192" s="5">
        <v>19433.64679949253</v>
      </c>
      <c r="N192" s="5">
        <v>19125.360074567652</v>
      </c>
      <c r="O192" s="5">
        <v>36759.655306288936</v>
      </c>
      <c r="P192" s="5">
        <v>38771.994792132391</v>
      </c>
      <c r="Q192" s="5">
        <v>9645.8788061228515</v>
      </c>
      <c r="R192" s="5">
        <v>9913.4206865238284</v>
      </c>
    </row>
    <row r="193" spans="9:18">
      <c r="I193" s="4">
        <v>178</v>
      </c>
      <c r="J193" s="5">
        <v>34933.039312618188</v>
      </c>
      <c r="K193" s="5">
        <v>16605.655749562578</v>
      </c>
      <c r="L193" s="5">
        <v>22412.045018675239</v>
      </c>
      <c r="M193" s="5">
        <v>20788.503422877813</v>
      </c>
      <c r="N193" s="5">
        <v>39406.658185292261</v>
      </c>
      <c r="O193" s="5">
        <v>55264.438774006347</v>
      </c>
      <c r="P193" s="5">
        <v>21813.848941464526</v>
      </c>
      <c r="Q193" s="5">
        <v>73941.636731325911</v>
      </c>
      <c r="R193" s="5">
        <v>59414.886464347241</v>
      </c>
    </row>
    <row r="194" spans="9:18">
      <c r="I194" s="4">
        <v>179</v>
      </c>
      <c r="J194" s="5">
        <v>12035.382213755307</v>
      </c>
      <c r="K194" s="5">
        <v>15428.770955406064</v>
      </c>
      <c r="L194" s="5">
        <v>14042.41908879921</v>
      </c>
      <c r="M194" s="5">
        <v>6367.5407465007311</v>
      </c>
      <c r="N194" s="5">
        <v>11788.341482962171</v>
      </c>
      <c r="O194" s="5">
        <v>30608.431994348266</v>
      </c>
      <c r="P194" s="5">
        <v>25258.981945036445</v>
      </c>
      <c r="Q194" s="5">
        <v>13099.063525342741</v>
      </c>
      <c r="R194" s="5">
        <v>6360.7905155660001</v>
      </c>
    </row>
    <row r="195" spans="9:18">
      <c r="I195" s="4">
        <v>180</v>
      </c>
      <c r="J195" s="5">
        <v>15554.996700302558</v>
      </c>
      <c r="K195" s="5">
        <v>34164.842952759042</v>
      </c>
      <c r="L195" s="5">
        <v>25389.332759288587</v>
      </c>
      <c r="M195" s="5">
        <v>13642.678686731051</v>
      </c>
      <c r="N195" s="5">
        <v>13909.728487455486</v>
      </c>
      <c r="O195" s="5">
        <v>16572.483389649329</v>
      </c>
      <c r="P195" s="5">
        <v>83536.241167211992</v>
      </c>
      <c r="Q195" s="5">
        <v>27018.509959127641</v>
      </c>
      <c r="R195" s="5">
        <v>41418.225609677866</v>
      </c>
    </row>
    <row r="196" spans="9:18">
      <c r="I196" s="4">
        <v>181</v>
      </c>
      <c r="J196" s="5">
        <v>43272.831879770602</v>
      </c>
      <c r="K196" s="5">
        <v>16273.14570113692</v>
      </c>
      <c r="L196" s="5">
        <v>17311.244744664215</v>
      </c>
      <c r="M196" s="5">
        <v>16500.222621933419</v>
      </c>
      <c r="N196" s="5">
        <v>11635.644856128632</v>
      </c>
      <c r="O196" s="5">
        <v>13840.304699955392</v>
      </c>
      <c r="P196" s="5">
        <v>49519.098753410741</v>
      </c>
      <c r="Q196" s="5">
        <v>52421.574537857021</v>
      </c>
      <c r="R196" s="5">
        <v>39263.770877572199</v>
      </c>
    </row>
    <row r="197" spans="9:18">
      <c r="I197" s="4">
        <v>182</v>
      </c>
      <c r="J197" s="5">
        <v>49463.324094345015</v>
      </c>
      <c r="K197" s="5">
        <v>61827.107730316675</v>
      </c>
      <c r="L197" s="5">
        <v>14796.875457021113</v>
      </c>
      <c r="M197" s="5">
        <v>37411.178129764201</v>
      </c>
      <c r="N197" s="5">
        <v>23998.040874392525</v>
      </c>
      <c r="O197" s="5">
        <v>67717.30633712461</v>
      </c>
      <c r="P197" s="5">
        <v>49519.098753410741</v>
      </c>
      <c r="Q197" s="5">
        <v>11928.872068442162</v>
      </c>
      <c r="R197" s="5">
        <v>40368.364083205248</v>
      </c>
    </row>
    <row r="198" spans="9:18">
      <c r="I198" s="4">
        <v>183</v>
      </c>
      <c r="J198" s="5">
        <v>14750.660273177687</v>
      </c>
      <c r="K198" s="5">
        <v>15391.837334808681</v>
      </c>
      <c r="L198" s="5">
        <v>17243.440968229323</v>
      </c>
      <c r="M198" s="5">
        <v>16842.379179328669</v>
      </c>
      <c r="N198" s="5">
        <v>21617.945168312468</v>
      </c>
      <c r="O198" s="5">
        <v>24422.445067017139</v>
      </c>
      <c r="P198" s="5">
        <v>22708.601480587709</v>
      </c>
      <c r="Q198" s="5">
        <v>56069.347629295014</v>
      </c>
      <c r="R198" s="5">
        <v>72640.340924600489</v>
      </c>
    </row>
    <row r="199" spans="9:18">
      <c r="I199" s="4">
        <v>184</v>
      </c>
      <c r="J199" s="5">
        <v>26634.853073396614</v>
      </c>
      <c r="K199" s="5">
        <v>29672.680843304515</v>
      </c>
      <c r="L199" s="5">
        <v>16071.260291253868</v>
      </c>
      <c r="M199" s="5">
        <v>25580.243606220469</v>
      </c>
      <c r="N199" s="5">
        <v>34295.124147811541</v>
      </c>
      <c r="O199" s="5">
        <v>41653.890350944224</v>
      </c>
      <c r="P199" s="5">
        <v>26541.896041444568</v>
      </c>
      <c r="Q199" s="5">
        <v>22145.301831504508</v>
      </c>
      <c r="R199" s="5">
        <v>14051.647494499957</v>
      </c>
    </row>
    <row r="200" spans="9:18">
      <c r="I200" s="4">
        <v>185</v>
      </c>
      <c r="J200" s="5">
        <v>14671.176405938595</v>
      </c>
      <c r="K200" s="5">
        <v>11206.053243692098</v>
      </c>
      <c r="L200" s="5">
        <v>15471.738323660695</v>
      </c>
      <c r="M200" s="5">
        <v>22815.60259636537</v>
      </c>
      <c r="N200" s="5">
        <v>39406.658185292261</v>
      </c>
      <c r="O200" s="5">
        <v>27084.483614751469</v>
      </c>
      <c r="P200" s="5">
        <v>46514.467673254068</v>
      </c>
      <c r="Q200" s="5">
        <v>25156.033327562815</v>
      </c>
      <c r="R200" s="5">
        <v>181970.23111012415</v>
      </c>
    </row>
    <row r="201" spans="9:18">
      <c r="I201" s="4">
        <v>186</v>
      </c>
      <c r="J201" s="5">
        <v>18650.249281571734</v>
      </c>
      <c r="K201" s="5">
        <v>13652.224205833634</v>
      </c>
      <c r="L201" s="5">
        <v>19359.475411188432</v>
      </c>
      <c r="M201" s="5">
        <v>42282.977640783138</v>
      </c>
      <c r="N201" s="5">
        <v>57711.498171893618</v>
      </c>
      <c r="O201" s="5">
        <v>6199.3195463515376</v>
      </c>
      <c r="P201" s="5">
        <v>17974.179326980211</v>
      </c>
      <c r="Q201" s="5">
        <v>37277.391668005912</v>
      </c>
      <c r="R201" s="5">
        <v>14706.681111065362</v>
      </c>
    </row>
    <row r="202" spans="9:18">
      <c r="I202" s="4">
        <v>187</v>
      </c>
      <c r="J202" s="5">
        <v>13045.114546182727</v>
      </c>
      <c r="K202" s="5">
        <v>29672.680843304515</v>
      </c>
      <c r="L202" s="5">
        <v>15126.980926457318</v>
      </c>
      <c r="M202" s="5">
        <v>19433.64679949253</v>
      </c>
      <c r="N202" s="5">
        <v>21933.097106966918</v>
      </c>
      <c r="O202" s="5">
        <v>3171.3006415671193</v>
      </c>
      <c r="P202" s="5">
        <v>3017.2887813579896</v>
      </c>
      <c r="Q202" s="5">
        <v>56069.347629295014</v>
      </c>
      <c r="R202" s="5">
        <v>44707.053087992797</v>
      </c>
    </row>
    <row r="203" spans="9:18">
      <c r="I203" s="4">
        <v>188</v>
      </c>
      <c r="J203" s="5">
        <v>20768.286261788198</v>
      </c>
      <c r="K203" s="5">
        <v>16132.555399908759</v>
      </c>
      <c r="L203" s="5">
        <v>16293.265064857471</v>
      </c>
      <c r="M203" s="5">
        <v>11680.747299075838</v>
      </c>
      <c r="N203" s="5">
        <v>20718.434293991453</v>
      </c>
      <c r="O203" s="5">
        <v>19492.655596593511</v>
      </c>
      <c r="P203" s="5">
        <v>13793.886507202402</v>
      </c>
      <c r="Q203" s="5">
        <v>71213.172792303565</v>
      </c>
      <c r="R203" s="5">
        <v>81423.874800517297</v>
      </c>
    </row>
    <row r="204" spans="9:18">
      <c r="I204" s="4">
        <v>189</v>
      </c>
      <c r="J204" s="5">
        <v>14750.660273177687</v>
      </c>
      <c r="K204" s="5">
        <v>16665.1498926479</v>
      </c>
      <c r="L204" s="5">
        <v>21428.663623484812</v>
      </c>
      <c r="M204" s="5">
        <v>23908.621352410395</v>
      </c>
      <c r="N204" s="5">
        <v>27833.630848857778</v>
      </c>
      <c r="O204" s="5">
        <v>5444.7598502623823</v>
      </c>
      <c r="P204" s="5">
        <v>16574.429708560569</v>
      </c>
      <c r="Q204" s="5">
        <v>29432.473148002948</v>
      </c>
      <c r="R204" s="5">
        <v>65420.116221752483</v>
      </c>
    </row>
    <row r="205" spans="9:18">
      <c r="I205" s="4">
        <v>190</v>
      </c>
      <c r="J205" s="5">
        <v>15786.811016780619</v>
      </c>
      <c r="K205" s="5">
        <v>30552.499930043898</v>
      </c>
      <c r="L205" s="5">
        <v>16014.071850041886</v>
      </c>
      <c r="M205" s="5">
        <v>18879.640760542785</v>
      </c>
      <c r="N205" s="5">
        <v>26115.05281128412</v>
      </c>
      <c r="O205" s="5">
        <v>8024.6340027919978</v>
      </c>
      <c r="P205" s="5">
        <v>33500.490132682797</v>
      </c>
      <c r="Q205" s="5">
        <v>48756.323642664109</v>
      </c>
      <c r="R205" s="5">
        <v>17991.870496434763</v>
      </c>
    </row>
    <row r="206" spans="9:18">
      <c r="I206" s="4">
        <v>191</v>
      </c>
      <c r="J206" s="5">
        <v>31559.699247539775</v>
      </c>
      <c r="K206" s="5">
        <v>13559.080695844099</v>
      </c>
      <c r="L206" s="5">
        <v>20698.842353987733</v>
      </c>
      <c r="M206" s="5">
        <v>10111.451009425113</v>
      </c>
      <c r="N206" s="5">
        <v>17214.078970533748</v>
      </c>
      <c r="O206" s="5">
        <v>6199.3195463515376</v>
      </c>
      <c r="P206" s="5">
        <v>14773.185437294762</v>
      </c>
      <c r="Q206" s="5">
        <v>17234.335939857254</v>
      </c>
      <c r="R206" s="5">
        <v>14051.647494499957</v>
      </c>
    </row>
    <row r="207" spans="9:18">
      <c r="I207" s="4">
        <v>192</v>
      </c>
      <c r="J207" s="5">
        <v>14671.176405938595</v>
      </c>
      <c r="K207" s="5">
        <v>31910.762633549082</v>
      </c>
      <c r="L207" s="5">
        <v>15832.5469007027</v>
      </c>
      <c r="M207" s="5">
        <v>12987.517521908694</v>
      </c>
      <c r="N207" s="5">
        <v>35826.921212852278</v>
      </c>
      <c r="O207" s="5">
        <v>40942.522561879181</v>
      </c>
      <c r="P207" s="5">
        <v>13452.921824087563</v>
      </c>
      <c r="Q207" s="5">
        <v>9138.5169630896526</v>
      </c>
      <c r="R207" s="5">
        <v>20236.767651156802</v>
      </c>
    </row>
    <row r="208" spans="9:18">
      <c r="I208" s="4">
        <v>193</v>
      </c>
      <c r="J208" s="5">
        <v>7855.2948890116513</v>
      </c>
      <c r="K208" s="5">
        <v>12026.500118162745</v>
      </c>
      <c r="L208" s="5">
        <v>15161.007794371622</v>
      </c>
      <c r="M208" s="5">
        <v>18043.539897080744</v>
      </c>
      <c r="N208" s="5">
        <v>19125.360074567652</v>
      </c>
      <c r="O208" s="5">
        <v>8121.6248378263163</v>
      </c>
      <c r="P208" s="5">
        <v>36724.352187786957</v>
      </c>
      <c r="Q208" s="5">
        <v>56069.347629295014</v>
      </c>
      <c r="R208" s="5">
        <v>41418.225609677866</v>
      </c>
    </row>
    <row r="209" spans="9:18">
      <c r="I209" s="4">
        <v>194</v>
      </c>
      <c r="J209" s="5">
        <v>14750.660273177687</v>
      </c>
      <c r="K209" s="5">
        <v>29672.680843304515</v>
      </c>
      <c r="L209" s="5">
        <v>10896.494237357269</v>
      </c>
      <c r="M209" s="5">
        <v>31472.019071027709</v>
      </c>
      <c r="N209" s="5">
        <v>59876.136849941562</v>
      </c>
      <c r="O209" s="5">
        <v>27068.054847826614</v>
      </c>
      <c r="P209" s="5">
        <v>14376.883105731285</v>
      </c>
      <c r="Q209" s="5">
        <v>12451.066014448154</v>
      </c>
      <c r="R209" s="5">
        <v>65420.116221752483</v>
      </c>
    </row>
    <row r="210" spans="9:18">
      <c r="I210" s="4">
        <v>195</v>
      </c>
      <c r="J210" s="5">
        <v>33627.941293959229</v>
      </c>
      <c r="K210" s="5">
        <v>14497.035717129334</v>
      </c>
      <c r="L210" s="5">
        <v>15922.087958863045</v>
      </c>
      <c r="M210" s="5">
        <v>12735.841453044006</v>
      </c>
      <c r="N210" s="5">
        <v>24314.043643333731</v>
      </c>
      <c r="O210" s="5">
        <v>20489.622805425737</v>
      </c>
      <c r="P210" s="5">
        <v>8069.5385577067918</v>
      </c>
      <c r="Q210" s="5">
        <v>37802.358878968138</v>
      </c>
      <c r="R210" s="5">
        <v>14079.827908007112</v>
      </c>
    </row>
    <row r="211" spans="9:18">
      <c r="I211" s="4">
        <v>196</v>
      </c>
      <c r="J211" s="5">
        <v>15873.12561080002</v>
      </c>
      <c r="K211" s="5">
        <v>15631.937142257386</v>
      </c>
      <c r="L211" s="5">
        <v>14691.846656953887</v>
      </c>
      <c r="M211" s="5">
        <v>23454.775510296178</v>
      </c>
      <c r="N211" s="5">
        <v>39406.658185292261</v>
      </c>
      <c r="O211" s="5">
        <v>10369.402667058452</v>
      </c>
      <c r="P211" s="5">
        <v>21813.848941464526</v>
      </c>
      <c r="Q211" s="5">
        <v>31902.904306425251</v>
      </c>
      <c r="R211" s="5">
        <v>12116.34255245842</v>
      </c>
    </row>
    <row r="212" spans="9:18">
      <c r="I212" s="4">
        <v>197</v>
      </c>
      <c r="J212" s="5">
        <v>13663.281817546009</v>
      </c>
      <c r="K212" s="5">
        <v>34058.671324159091</v>
      </c>
      <c r="L212" s="5">
        <v>18215.751370765771</v>
      </c>
      <c r="M212" s="5">
        <v>18879.640760542785</v>
      </c>
      <c r="N212" s="5">
        <v>19125.360074567652</v>
      </c>
      <c r="O212" s="5">
        <v>20930.098352661731</v>
      </c>
      <c r="P212" s="5">
        <v>74840.036182179319</v>
      </c>
      <c r="Q212" s="5">
        <v>79566.621912742485</v>
      </c>
      <c r="R212" s="5">
        <v>1535.701520095213</v>
      </c>
    </row>
    <row r="213" spans="9:18">
      <c r="I213" s="4">
        <v>198</v>
      </c>
      <c r="J213" s="5">
        <v>14749.343145806102</v>
      </c>
      <c r="K213" s="5">
        <v>14587.813833513306</v>
      </c>
      <c r="L213" s="5">
        <v>15126.980926457318</v>
      </c>
      <c r="M213" s="5">
        <v>21913.431401527439</v>
      </c>
      <c r="N213" s="5">
        <v>22735.120948269971</v>
      </c>
      <c r="O213" s="5">
        <v>13117.417685535194</v>
      </c>
      <c r="P213" s="5">
        <v>9047.5556949992188</v>
      </c>
      <c r="Q213" s="5">
        <v>31019.493883163672</v>
      </c>
      <c r="R213" s="5">
        <v>14706.681111065362</v>
      </c>
    </row>
    <row r="214" spans="9:18">
      <c r="I214" s="4">
        <v>199</v>
      </c>
      <c r="J214" s="5">
        <v>15873.12561080002</v>
      </c>
      <c r="K214" s="5">
        <v>10931.803935361211</v>
      </c>
      <c r="L214" s="5">
        <v>16071.260291253868</v>
      </c>
      <c r="M214" s="5">
        <v>31460.745851561904</v>
      </c>
      <c r="N214" s="5">
        <v>15251.140047572881</v>
      </c>
      <c r="O214" s="5">
        <v>53504.725169095313</v>
      </c>
      <c r="P214" s="5">
        <v>34768.042801665702</v>
      </c>
      <c r="Q214" s="5">
        <v>7349.2234634219121</v>
      </c>
      <c r="R214" s="5">
        <v>6360.7905155660001</v>
      </c>
    </row>
    <row r="215" spans="9:18">
      <c r="I215" s="4">
        <v>200</v>
      </c>
      <c r="J215" s="5">
        <v>14741.240040396578</v>
      </c>
      <c r="K215" s="5">
        <v>31910.762633549082</v>
      </c>
      <c r="L215" s="5">
        <v>17578.712723867691</v>
      </c>
      <c r="M215" s="5">
        <v>20550.782384061673</v>
      </c>
      <c r="N215" s="5">
        <v>22735.120948269971</v>
      </c>
      <c r="O215" s="5">
        <v>62082.6862081785</v>
      </c>
      <c r="P215" s="5">
        <v>6275.8915673055426</v>
      </c>
      <c r="Q215" s="5">
        <v>7349.2234634219121</v>
      </c>
      <c r="R215" s="5">
        <v>2071.5141323269809</v>
      </c>
    </row>
    <row r="216" spans="9:18">
      <c r="I216" s="4">
        <v>201</v>
      </c>
      <c r="J216" s="5">
        <v>19467.17453557903</v>
      </c>
      <c r="K216" s="5">
        <v>16952.949313901812</v>
      </c>
      <c r="L216" s="5">
        <v>23561.450544884348</v>
      </c>
      <c r="M216" s="5">
        <v>19262.243095117232</v>
      </c>
      <c r="N216" s="5">
        <v>39406.658185292261</v>
      </c>
      <c r="O216" s="5">
        <v>19430.912633256889</v>
      </c>
      <c r="P216" s="5">
        <v>44646.134934589521</v>
      </c>
      <c r="Q216" s="5">
        <v>6386.5227360487288</v>
      </c>
      <c r="R216" s="5">
        <v>18720.450716365784</v>
      </c>
    </row>
    <row r="217" spans="9:18">
      <c r="I217" s="4">
        <v>202</v>
      </c>
      <c r="J217" s="5">
        <v>15873.12561080002</v>
      </c>
      <c r="K217" s="5">
        <v>24728.095385476983</v>
      </c>
      <c r="L217" s="5">
        <v>23561.450544884348</v>
      </c>
      <c r="M217" s="5">
        <v>42282.977640783138</v>
      </c>
      <c r="N217" s="5">
        <v>20583.564383988036</v>
      </c>
      <c r="O217" s="5">
        <v>25604.597681740845</v>
      </c>
      <c r="P217" s="5">
        <v>55152.110177667731</v>
      </c>
      <c r="Q217" s="5">
        <v>37277.391668005912</v>
      </c>
      <c r="R217" s="5">
        <v>181970.23111012415</v>
      </c>
    </row>
    <row r="218" spans="9:18">
      <c r="I218" s="4">
        <v>203</v>
      </c>
      <c r="J218" s="5">
        <v>16416.142496463777</v>
      </c>
      <c r="K218" s="5">
        <v>17128.860847126922</v>
      </c>
      <c r="L218" s="5">
        <v>14146.191653372813</v>
      </c>
      <c r="M218" s="5">
        <v>16500.222621933419</v>
      </c>
      <c r="N218" s="5">
        <v>37309.151967087455</v>
      </c>
      <c r="O218" s="5">
        <v>83458.030763693328</v>
      </c>
      <c r="P218" s="5">
        <v>27820.721938889761</v>
      </c>
      <c r="Q218" s="5">
        <v>6386.5227360487288</v>
      </c>
      <c r="R218" s="5">
        <v>5865.9802599669383</v>
      </c>
    </row>
    <row r="219" spans="9:18">
      <c r="I219" s="4">
        <v>204</v>
      </c>
      <c r="J219" s="5">
        <v>14749.343145806102</v>
      </c>
      <c r="K219" s="5">
        <v>35705.595198125673</v>
      </c>
      <c r="L219" s="5">
        <v>19078.910217042379</v>
      </c>
      <c r="M219" s="5">
        <v>19433.64679949253</v>
      </c>
      <c r="N219" s="5">
        <v>17891.96347244953</v>
      </c>
      <c r="O219" s="5">
        <v>9869.5889207969612</v>
      </c>
      <c r="P219" s="5">
        <v>10966.822219855034</v>
      </c>
      <c r="Q219" s="5">
        <v>27018.509959127641</v>
      </c>
      <c r="R219" s="5">
        <v>216919.53009911609</v>
      </c>
    </row>
    <row r="220" spans="9:18">
      <c r="I220" s="4">
        <v>205</v>
      </c>
      <c r="J220" s="5">
        <v>16416.142496463777</v>
      </c>
      <c r="K220" s="5">
        <v>13719.930466819731</v>
      </c>
      <c r="L220" s="5">
        <v>17845.207337527903</v>
      </c>
      <c r="M220" s="5">
        <v>16500.222621933419</v>
      </c>
      <c r="N220" s="5">
        <v>25549.748582175915</v>
      </c>
      <c r="O220" s="5">
        <v>9320.7026593487881</v>
      </c>
      <c r="P220" s="5">
        <v>9811.9720599964548</v>
      </c>
      <c r="Q220" s="5">
        <v>8474.2603471579441</v>
      </c>
      <c r="R220" s="5">
        <v>261393.32711858812</v>
      </c>
    </row>
    <row r="221" spans="9:18">
      <c r="I221" s="4">
        <v>206</v>
      </c>
      <c r="J221" s="5">
        <v>33627.941293959229</v>
      </c>
      <c r="K221" s="5">
        <v>15768.312122029349</v>
      </c>
      <c r="L221" s="5">
        <v>17920.486090689363</v>
      </c>
      <c r="M221" s="5">
        <v>20229.919588372999</v>
      </c>
      <c r="N221" s="5">
        <v>6130.3882288404347</v>
      </c>
      <c r="O221" s="5">
        <v>8024.6340027919978</v>
      </c>
      <c r="P221" s="5">
        <v>9047.5556949992188</v>
      </c>
      <c r="Q221" s="5">
        <v>9645.8788061228515</v>
      </c>
      <c r="R221" s="5">
        <v>2071.5141323269809</v>
      </c>
    </row>
    <row r="222" spans="9:18">
      <c r="I222" s="4">
        <v>207</v>
      </c>
      <c r="J222" s="5">
        <v>31053.540961463306</v>
      </c>
      <c r="K222" s="5">
        <v>10931.803935361211</v>
      </c>
      <c r="L222" s="5">
        <v>14815.394001212817</v>
      </c>
      <c r="M222" s="5">
        <v>15586.009710351766</v>
      </c>
      <c r="N222" s="5">
        <v>35826.921212852278</v>
      </c>
      <c r="O222" s="5">
        <v>51330.340277512776</v>
      </c>
      <c r="P222" s="5">
        <v>32167.874670939738</v>
      </c>
      <c r="Q222" s="5">
        <v>116445.46783345108</v>
      </c>
      <c r="R222" s="5">
        <v>7879.038918914337</v>
      </c>
    </row>
    <row r="223" spans="9:18">
      <c r="I223" s="4">
        <v>208</v>
      </c>
      <c r="J223" s="5">
        <v>27392.038553726634</v>
      </c>
      <c r="K223" s="5">
        <v>17495.743706488822</v>
      </c>
      <c r="L223" s="5">
        <v>17920.486090689363</v>
      </c>
      <c r="M223" s="5">
        <v>13139.022167648376</v>
      </c>
      <c r="N223" s="5">
        <v>22868.569282757788</v>
      </c>
      <c r="O223" s="5">
        <v>40581.847217937895</v>
      </c>
      <c r="P223" s="5">
        <v>63015.124693769802</v>
      </c>
      <c r="Q223" s="5">
        <v>79566.621912742485</v>
      </c>
      <c r="R223" s="5">
        <v>20236.767651156802</v>
      </c>
    </row>
    <row r="224" spans="9:18">
      <c r="I224" s="4">
        <v>209</v>
      </c>
      <c r="J224" s="5">
        <v>9405.362381917912</v>
      </c>
      <c r="K224" s="5">
        <v>17495.743706488822</v>
      </c>
      <c r="L224" s="5">
        <v>10896.494237357269</v>
      </c>
      <c r="M224" s="5">
        <v>37411.178129764201</v>
      </c>
      <c r="N224" s="5">
        <v>26565.664379767408</v>
      </c>
      <c r="O224" s="5">
        <v>59207.798737851255</v>
      </c>
      <c r="P224" s="5">
        <v>35569.894390728325</v>
      </c>
      <c r="Q224" s="5">
        <v>92068.726035424203</v>
      </c>
      <c r="R224" s="5">
        <v>23583.884732956092</v>
      </c>
    </row>
    <row r="225" spans="9:18">
      <c r="I225" s="4">
        <v>210</v>
      </c>
      <c r="J225" s="5">
        <v>29760.443016608337</v>
      </c>
      <c r="K225" s="5">
        <v>6949.5708823216592</v>
      </c>
      <c r="L225" s="5">
        <v>14815.394001212817</v>
      </c>
      <c r="M225" s="5">
        <v>33862.836621974391</v>
      </c>
      <c r="N225" s="5">
        <v>15658.063692994532</v>
      </c>
      <c r="O225" s="5">
        <v>9869.5889207969612</v>
      </c>
      <c r="P225" s="5">
        <v>20391.123772341358</v>
      </c>
      <c r="Q225" s="5">
        <v>11173.074396969254</v>
      </c>
      <c r="R225" s="5">
        <v>7952.6989268572033</v>
      </c>
    </row>
    <row r="226" spans="9:18">
      <c r="I226" s="4">
        <v>211</v>
      </c>
      <c r="J226" s="5">
        <v>13045.114546182727</v>
      </c>
      <c r="K226" s="5">
        <v>17003.901855709089</v>
      </c>
      <c r="L226" s="5">
        <v>21725.131459372977</v>
      </c>
      <c r="M226" s="5">
        <v>20041.623430301417</v>
      </c>
      <c r="N226" s="5">
        <v>9209.4418830788036</v>
      </c>
      <c r="O226" s="5">
        <v>53028.643350899503</v>
      </c>
      <c r="P226" s="5">
        <v>34814.458119125498</v>
      </c>
      <c r="Q226" s="5">
        <v>73941.636731325911</v>
      </c>
      <c r="R226" s="5">
        <v>3989.7956692889929</v>
      </c>
    </row>
    <row r="227" spans="9:18">
      <c r="I227" s="4">
        <v>212</v>
      </c>
      <c r="J227" s="5">
        <v>16710.807721801892</v>
      </c>
      <c r="K227" s="5">
        <v>11507.182177474708</v>
      </c>
      <c r="L227" s="5">
        <v>13622.976145621742</v>
      </c>
      <c r="M227" s="5">
        <v>17116.951435661951</v>
      </c>
      <c r="N227" s="5">
        <v>16148.901635865295</v>
      </c>
      <c r="O227" s="5">
        <v>24247.516962783076</v>
      </c>
      <c r="P227" s="5">
        <v>41657.50350099193</v>
      </c>
      <c r="Q227" s="5">
        <v>8832.660767995616</v>
      </c>
      <c r="R227" s="5">
        <v>59414.886464347241</v>
      </c>
    </row>
    <row r="228" spans="9:18">
      <c r="I228" s="4">
        <v>213</v>
      </c>
      <c r="J228" s="5">
        <v>49463.324094345015</v>
      </c>
      <c r="K228" s="5">
        <v>9739.7813029644258</v>
      </c>
      <c r="L228" s="5">
        <v>15922.087958863045</v>
      </c>
      <c r="M228" s="5">
        <v>17116.951435661951</v>
      </c>
      <c r="N228" s="5">
        <v>22735.120948269971</v>
      </c>
      <c r="O228" s="5">
        <v>51330.340277512776</v>
      </c>
      <c r="P228" s="5">
        <v>26541.896041444568</v>
      </c>
      <c r="Q228" s="5">
        <v>116445.46783345108</v>
      </c>
      <c r="R228" s="5">
        <v>13258.538726001538</v>
      </c>
    </row>
    <row r="229" spans="9:18">
      <c r="I229" s="4">
        <v>214</v>
      </c>
      <c r="J229" s="5">
        <v>11036.461796239426</v>
      </c>
      <c r="K229" s="5">
        <v>14017.262946034314</v>
      </c>
      <c r="L229" s="5">
        <v>16014.071850041886</v>
      </c>
      <c r="M229" s="5">
        <v>16881.579299055</v>
      </c>
      <c r="N229" s="5">
        <v>59876.136849941562</v>
      </c>
      <c r="O229" s="5">
        <v>25644.588869829797</v>
      </c>
      <c r="P229" s="5">
        <v>21813.848941464526</v>
      </c>
      <c r="Q229" s="5">
        <v>13214.632802255031</v>
      </c>
      <c r="R229" s="5">
        <v>33290.909836056817</v>
      </c>
    </row>
    <row r="230" spans="9:18">
      <c r="I230" s="4">
        <v>215</v>
      </c>
      <c r="J230" s="5">
        <v>23517.429992060665</v>
      </c>
      <c r="K230" s="5">
        <v>16952.949313901812</v>
      </c>
      <c r="L230" s="5">
        <v>20698.842353987733</v>
      </c>
      <c r="M230" s="5">
        <v>22815.60259636537</v>
      </c>
      <c r="N230" s="5">
        <v>40377.252444397986</v>
      </c>
      <c r="O230" s="5">
        <v>27508.313315384185</v>
      </c>
      <c r="P230" s="5">
        <v>23769.190223735484</v>
      </c>
      <c r="Q230" s="5">
        <v>16803.875627203233</v>
      </c>
      <c r="R230" s="5">
        <v>17991.870496434763</v>
      </c>
    </row>
    <row r="231" spans="9:18">
      <c r="I231" s="4">
        <v>216</v>
      </c>
      <c r="J231" s="5">
        <v>20002.201347927807</v>
      </c>
      <c r="K231" s="5">
        <v>8124.7965732661823</v>
      </c>
      <c r="L231" s="5">
        <v>14264.23790876064</v>
      </c>
      <c r="M231" s="5">
        <v>36301.422888051464</v>
      </c>
      <c r="N231" s="5">
        <v>11635.644856128632</v>
      </c>
      <c r="O231" s="5">
        <v>8121.6248378263163</v>
      </c>
      <c r="P231" s="5">
        <v>9482.0186426688688</v>
      </c>
      <c r="Q231" s="5">
        <v>28797.29222718185</v>
      </c>
      <c r="R231" s="5">
        <v>3311.4906988006405</v>
      </c>
    </row>
    <row r="232" spans="9:18">
      <c r="I232" s="4">
        <v>217</v>
      </c>
      <c r="J232" s="5">
        <v>21150.169973104224</v>
      </c>
      <c r="K232" s="5">
        <v>12777.667398488715</v>
      </c>
      <c r="L232" s="5">
        <v>25007.552172398639</v>
      </c>
      <c r="M232" s="5">
        <v>33862.836621974391</v>
      </c>
      <c r="N232" s="5">
        <v>22511.351424689696</v>
      </c>
      <c r="O232" s="5">
        <v>36759.655306288936</v>
      </c>
      <c r="P232" s="5">
        <v>35213.322626437533</v>
      </c>
      <c r="Q232" s="5">
        <v>28078.365156847896</v>
      </c>
      <c r="R232" s="5">
        <v>33863.04333215439</v>
      </c>
    </row>
    <row r="233" spans="9:18">
      <c r="I233" s="4">
        <v>218</v>
      </c>
      <c r="J233" s="5">
        <v>33627.941293959229</v>
      </c>
      <c r="K233" s="5">
        <v>14497.035717129334</v>
      </c>
      <c r="L233" s="5">
        <v>17693.864646288712</v>
      </c>
      <c r="M233" s="5">
        <v>17116.951435661951</v>
      </c>
      <c r="N233" s="5">
        <v>23008.246229813707</v>
      </c>
      <c r="O233" s="5">
        <v>24422.445067017139</v>
      </c>
      <c r="P233" s="5">
        <v>25258.981945036445</v>
      </c>
      <c r="Q233" s="5">
        <v>31019.493883163672</v>
      </c>
      <c r="R233" s="5">
        <v>3433.6677391851467</v>
      </c>
    </row>
    <row r="234" spans="9:18">
      <c r="I234" s="4">
        <v>219</v>
      </c>
      <c r="J234" s="5">
        <v>9368.8270679249108</v>
      </c>
      <c r="K234" s="5">
        <v>11149.572204897504</v>
      </c>
      <c r="L234" s="5">
        <v>15746.942257105531</v>
      </c>
      <c r="M234" s="5">
        <v>12934.591863415189</v>
      </c>
      <c r="N234" s="5">
        <v>4770.4216775830728</v>
      </c>
      <c r="O234" s="5">
        <v>31172.963108652857</v>
      </c>
      <c r="P234" s="5">
        <v>3017.2887813579896</v>
      </c>
      <c r="Q234" s="5">
        <v>68168.482468129529</v>
      </c>
      <c r="R234" s="5">
        <v>1535.701520095213</v>
      </c>
    </row>
    <row r="235" spans="9:18">
      <c r="I235" s="4">
        <v>220</v>
      </c>
      <c r="J235" s="5">
        <v>34933.039312618188</v>
      </c>
      <c r="K235" s="5">
        <v>15347.101709242541</v>
      </c>
      <c r="L235" s="5">
        <v>29265.217478369766</v>
      </c>
      <c r="M235" s="5">
        <v>19097.39635881727</v>
      </c>
      <c r="N235" s="5">
        <v>11635.644856128632</v>
      </c>
      <c r="O235" s="5">
        <v>25802.481365323994</v>
      </c>
      <c r="P235" s="5">
        <v>38771.994792132391</v>
      </c>
      <c r="Q235" s="5">
        <v>9138.5169630896526</v>
      </c>
      <c r="R235" s="5">
        <v>33290.909836056817</v>
      </c>
    </row>
    <row r="236" spans="9:18">
      <c r="I236" s="4">
        <v>221</v>
      </c>
      <c r="J236" s="5">
        <v>14960.076233580705</v>
      </c>
      <c r="K236" s="5">
        <v>18821.113178054162</v>
      </c>
      <c r="L236" s="5">
        <v>19359.475411188432</v>
      </c>
      <c r="M236" s="5">
        <v>20041.623430301417</v>
      </c>
      <c r="N236" s="5">
        <v>23043.345403059295</v>
      </c>
      <c r="O236" s="5">
        <v>11282.178219986479</v>
      </c>
      <c r="P236" s="5">
        <v>33715.790977629549</v>
      </c>
      <c r="Q236" s="5">
        <v>16591.881190929333</v>
      </c>
      <c r="R236" s="5">
        <v>55012.315589742022</v>
      </c>
    </row>
    <row r="237" spans="9:18">
      <c r="I237" s="4">
        <v>222</v>
      </c>
      <c r="J237" s="5">
        <v>14076.209333698853</v>
      </c>
      <c r="K237" s="5">
        <v>16934.093371663999</v>
      </c>
      <c r="L237" s="5">
        <v>13037.115556745504</v>
      </c>
      <c r="M237" s="5">
        <v>16001.653036457456</v>
      </c>
      <c r="N237" s="5">
        <v>8104.6265149430556</v>
      </c>
      <c r="O237" s="5">
        <v>40942.522561879181</v>
      </c>
      <c r="P237" s="5">
        <v>16650.229067545235</v>
      </c>
      <c r="Q237" s="5">
        <v>116445.46783345108</v>
      </c>
      <c r="R237" s="5">
        <v>41056.152565483346</v>
      </c>
    </row>
    <row r="238" spans="9:18">
      <c r="I238" s="4">
        <v>223</v>
      </c>
      <c r="J238" s="5">
        <v>28085.9245102444</v>
      </c>
      <c r="K238" s="5">
        <v>14611.618478071941</v>
      </c>
      <c r="L238" s="5">
        <v>15161.007794371622</v>
      </c>
      <c r="M238" s="5">
        <v>21913.431401527439</v>
      </c>
      <c r="N238" s="5">
        <v>63974.903847153939</v>
      </c>
      <c r="O238" s="5">
        <v>40581.847217937895</v>
      </c>
      <c r="P238" s="5">
        <v>36724.352187786957</v>
      </c>
      <c r="Q238" s="5">
        <v>13214.632802255031</v>
      </c>
      <c r="R238" s="5">
        <v>13258.538726001538</v>
      </c>
    </row>
    <row r="239" spans="9:18">
      <c r="I239" s="4">
        <v>224</v>
      </c>
      <c r="J239" s="5">
        <v>33627.941293959229</v>
      </c>
      <c r="K239" s="5">
        <v>23934.551191616061</v>
      </c>
      <c r="L239" s="5">
        <v>15922.087958863045</v>
      </c>
      <c r="M239" s="5">
        <v>31554.722481137964</v>
      </c>
      <c r="N239" s="5">
        <v>6130.3882288404347</v>
      </c>
      <c r="O239" s="5">
        <v>28431.436490368542</v>
      </c>
      <c r="P239" s="5">
        <v>38024.168395914428</v>
      </c>
      <c r="Q239" s="5">
        <v>70295.978314632754</v>
      </c>
      <c r="R239" s="5">
        <v>16039.216896723072</v>
      </c>
    </row>
    <row r="240" spans="9:18">
      <c r="I240" s="4">
        <v>225</v>
      </c>
      <c r="J240" s="5">
        <v>20002.201347927807</v>
      </c>
      <c r="K240" s="5">
        <v>10931.803935361211</v>
      </c>
      <c r="L240" s="5">
        <v>13358.459356674217</v>
      </c>
      <c r="M240" s="5">
        <v>33862.836621974391</v>
      </c>
      <c r="N240" s="5">
        <v>23043.345403059295</v>
      </c>
      <c r="O240" s="5">
        <v>49114.195066822271</v>
      </c>
      <c r="P240" s="5">
        <v>32155.527541400057</v>
      </c>
      <c r="Q240" s="5">
        <v>12451.066014448154</v>
      </c>
      <c r="R240" s="5">
        <v>20303.08745527079</v>
      </c>
    </row>
    <row r="241" spans="9:18">
      <c r="I241" s="4">
        <v>226</v>
      </c>
      <c r="J241" s="5">
        <v>12701.339251949787</v>
      </c>
      <c r="K241" s="5">
        <v>12423.491400404893</v>
      </c>
      <c r="L241" s="5">
        <v>16577.562442697115</v>
      </c>
      <c r="M241" s="5">
        <v>18043.539897080744</v>
      </c>
      <c r="N241" s="5">
        <v>20292.069765667391</v>
      </c>
      <c r="O241" s="5">
        <v>5909.5347260996277</v>
      </c>
      <c r="P241" s="5">
        <v>12639.596794453437</v>
      </c>
      <c r="Q241" s="5">
        <v>15663.43865741136</v>
      </c>
      <c r="R241" s="5">
        <v>39788.288251916689</v>
      </c>
    </row>
    <row r="242" spans="9:18">
      <c r="I242" s="4">
        <v>227</v>
      </c>
      <c r="J242" s="5">
        <v>11843.28062342474</v>
      </c>
      <c r="K242" s="5">
        <v>23543.914024953676</v>
      </c>
      <c r="L242" s="5">
        <v>17716.90539191998</v>
      </c>
      <c r="M242" s="5">
        <v>6367.5407465007311</v>
      </c>
      <c r="N242" s="5">
        <v>14335.478134989447</v>
      </c>
      <c r="O242" s="5">
        <v>6199.3195463515376</v>
      </c>
      <c r="P242" s="5">
        <v>27452.975716953504</v>
      </c>
      <c r="Q242" s="5">
        <v>4631.7430487757983</v>
      </c>
      <c r="R242" s="5">
        <v>41056.152565483346</v>
      </c>
    </row>
    <row r="243" spans="9:18">
      <c r="I243" s="4">
        <v>228</v>
      </c>
      <c r="J243" s="5">
        <v>8580.4413740966302</v>
      </c>
      <c r="K243" s="5">
        <v>8223.1266007477425</v>
      </c>
      <c r="L243" s="5">
        <v>13037.115556745504</v>
      </c>
      <c r="M243" s="5">
        <v>13616.35938654862</v>
      </c>
      <c r="N243" s="5">
        <v>10882.757905166785</v>
      </c>
      <c r="O243" s="5">
        <v>13519.384207850644</v>
      </c>
      <c r="P243" s="5">
        <v>34768.042801665702</v>
      </c>
      <c r="Q243" s="5">
        <v>8474.2603471579441</v>
      </c>
      <c r="R243" s="5">
        <v>20303.08745527079</v>
      </c>
    </row>
    <row r="244" spans="9:18">
      <c r="I244" s="4">
        <v>229</v>
      </c>
      <c r="J244" s="5">
        <v>15554.996700302558</v>
      </c>
      <c r="K244" s="5">
        <v>17128.860847126922</v>
      </c>
      <c r="L244" s="5">
        <v>18379.634651549037</v>
      </c>
      <c r="M244" s="5">
        <v>24981.974172352908</v>
      </c>
      <c r="N244" s="5">
        <v>22735.120948269971</v>
      </c>
      <c r="O244" s="5">
        <v>27195.510785031525</v>
      </c>
      <c r="P244" s="5">
        <v>44646.134934589521</v>
      </c>
      <c r="Q244" s="5">
        <v>9454.5906023793759</v>
      </c>
      <c r="R244" s="5">
        <v>18720.450716365784</v>
      </c>
    </row>
    <row r="245" spans="9:18">
      <c r="I245" s="4">
        <v>230</v>
      </c>
      <c r="J245" s="5">
        <v>9368.8270679249108</v>
      </c>
      <c r="K245" s="5">
        <v>16605.655749562578</v>
      </c>
      <c r="L245" s="5">
        <v>22018.381599979773</v>
      </c>
      <c r="M245" s="5">
        <v>19795.661011456152</v>
      </c>
      <c r="N245" s="5">
        <v>23583.581287126868</v>
      </c>
      <c r="O245" s="5">
        <v>9956.4031238965053</v>
      </c>
      <c r="P245" s="5">
        <v>36724.352187786957</v>
      </c>
      <c r="Q245" s="5">
        <v>17153.530968450712</v>
      </c>
      <c r="R245" s="5">
        <v>24722.972470599001</v>
      </c>
    </row>
    <row r="246" spans="9:18">
      <c r="I246" s="4">
        <v>231</v>
      </c>
      <c r="J246" s="5">
        <v>14741.240040396578</v>
      </c>
      <c r="K246" s="5">
        <v>21527.93129974293</v>
      </c>
      <c r="L246" s="5">
        <v>17311.244744664215</v>
      </c>
      <c r="M246" s="5">
        <v>16510.442870615672</v>
      </c>
      <c r="N246" s="5">
        <v>28426.778914975595</v>
      </c>
      <c r="O246" s="5">
        <v>3171.3006415671193</v>
      </c>
      <c r="P246" s="5">
        <v>13793.886507202402</v>
      </c>
      <c r="Q246" s="5">
        <v>92068.726035424203</v>
      </c>
      <c r="R246" s="5">
        <v>12116.34255245842</v>
      </c>
    </row>
    <row r="247" spans="9:18">
      <c r="I247" s="4">
        <v>232</v>
      </c>
      <c r="J247" s="5">
        <v>11936.262457073821</v>
      </c>
      <c r="K247" s="5">
        <v>12777.667398488715</v>
      </c>
      <c r="L247" s="5">
        <v>15664.99858445921</v>
      </c>
      <c r="M247" s="5">
        <v>14217.48832834715</v>
      </c>
      <c r="N247" s="5">
        <v>42744.618431291936</v>
      </c>
      <c r="O247" s="5">
        <v>21930.527973988665</v>
      </c>
      <c r="P247" s="5">
        <v>41657.50350099193</v>
      </c>
      <c r="Q247" s="5">
        <v>11173.074396969254</v>
      </c>
      <c r="R247" s="5">
        <v>6681.1887184356683</v>
      </c>
    </row>
    <row r="248" spans="9:18">
      <c r="I248" s="4">
        <v>233</v>
      </c>
      <c r="J248" s="5">
        <v>15623.733864199699</v>
      </c>
      <c r="K248" s="5">
        <v>13719.930466819731</v>
      </c>
      <c r="L248" s="5">
        <v>22162.138529251199</v>
      </c>
      <c r="M248" s="5">
        <v>20788.503422877813</v>
      </c>
      <c r="N248" s="5">
        <v>21933.097106966918</v>
      </c>
      <c r="O248" s="5">
        <v>79848.944504816522</v>
      </c>
      <c r="P248" s="5">
        <v>9047.5556949992188</v>
      </c>
      <c r="Q248" s="5">
        <v>68168.482468129529</v>
      </c>
      <c r="R248" s="5">
        <v>122304.95880137496</v>
      </c>
    </row>
    <row r="249" spans="9:18">
      <c r="I249" s="4">
        <v>234</v>
      </c>
      <c r="J249" s="5">
        <v>29760.443016608337</v>
      </c>
      <c r="K249" s="5">
        <v>24728.095385476983</v>
      </c>
      <c r="L249" s="5">
        <v>34748.877779456467</v>
      </c>
      <c r="M249" s="5">
        <v>23067.94260629595</v>
      </c>
      <c r="N249" s="5">
        <v>24853.247795632611</v>
      </c>
      <c r="O249" s="5">
        <v>24247.516962783076</v>
      </c>
      <c r="P249" s="5">
        <v>44816.412248582856</v>
      </c>
      <c r="Q249" s="5">
        <v>15663.43865741136</v>
      </c>
      <c r="R249" s="5">
        <v>35232.418639121184</v>
      </c>
    </row>
    <row r="250" spans="9:18">
      <c r="I250" s="4">
        <v>235</v>
      </c>
      <c r="J250" s="5">
        <v>16156.372629961115</v>
      </c>
      <c r="K250" s="5">
        <v>9739.7813029644258</v>
      </c>
      <c r="L250" s="5">
        <v>18634.523182776735</v>
      </c>
      <c r="M250" s="5">
        <v>12934.591863415189</v>
      </c>
      <c r="N250" s="5">
        <v>11251.634703629026</v>
      </c>
      <c r="O250" s="5">
        <v>5444.7598502623823</v>
      </c>
      <c r="P250" s="5">
        <v>12639.596794453437</v>
      </c>
      <c r="Q250" s="5">
        <v>16591.881190929333</v>
      </c>
      <c r="R250" s="5">
        <v>2180.6148629084787</v>
      </c>
    </row>
    <row r="251" spans="9:18">
      <c r="I251" s="4">
        <v>236</v>
      </c>
      <c r="J251" s="5">
        <v>11036.461796239426</v>
      </c>
      <c r="K251" s="5">
        <v>14587.813833513306</v>
      </c>
      <c r="L251" s="5">
        <v>17128.574519497746</v>
      </c>
      <c r="M251" s="5">
        <v>19430.369425783585</v>
      </c>
      <c r="N251" s="5">
        <v>26565.664379767408</v>
      </c>
      <c r="O251" s="5">
        <v>41800.463215706819</v>
      </c>
      <c r="P251" s="5">
        <v>29283.825979394511</v>
      </c>
      <c r="Q251" s="5">
        <v>13865.641566869812</v>
      </c>
      <c r="R251" s="5">
        <v>44707.053087992797</v>
      </c>
    </row>
    <row r="252" spans="9:18">
      <c r="I252" s="4">
        <v>237</v>
      </c>
      <c r="J252" s="5">
        <v>13663.281817546009</v>
      </c>
      <c r="K252" s="5">
        <v>11558.357574452555</v>
      </c>
      <c r="L252" s="5">
        <v>18379.634651549037</v>
      </c>
      <c r="M252" s="5">
        <v>21913.431401527439</v>
      </c>
      <c r="N252" s="5">
        <v>41563.89847100406</v>
      </c>
      <c r="O252" s="5">
        <v>27503.656957929088</v>
      </c>
      <c r="P252" s="5">
        <v>95486.196907583406</v>
      </c>
      <c r="Q252" s="5">
        <v>79566.621912742485</v>
      </c>
      <c r="R252" s="5">
        <v>31715.273557891396</v>
      </c>
    </row>
    <row r="253" spans="9:18">
      <c r="I253" s="4">
        <v>238</v>
      </c>
      <c r="J253" s="5">
        <v>8580.4413740966302</v>
      </c>
      <c r="K253" s="5">
        <v>13652.224205833634</v>
      </c>
      <c r="L253" s="5">
        <v>23760.785349782636</v>
      </c>
      <c r="M253" s="5">
        <v>19262.243095117232</v>
      </c>
      <c r="N253" s="5">
        <v>27841.916587595573</v>
      </c>
      <c r="O253" s="5">
        <v>9708.4497800977806</v>
      </c>
      <c r="P253" s="5">
        <v>38771.994792132391</v>
      </c>
      <c r="Q253" s="5">
        <v>31019.493883163672</v>
      </c>
      <c r="R253" s="5">
        <v>31715.273557891396</v>
      </c>
    </row>
    <row r="254" spans="9:18">
      <c r="I254" s="4">
        <v>239</v>
      </c>
      <c r="J254" s="5">
        <v>18650.249281571734</v>
      </c>
      <c r="K254" s="5">
        <v>15391.837334808681</v>
      </c>
      <c r="L254" s="5">
        <v>18810.091753970282</v>
      </c>
      <c r="M254" s="5">
        <v>30785.663999045999</v>
      </c>
      <c r="N254" s="5">
        <v>12592.300437162297</v>
      </c>
      <c r="O254" s="5">
        <v>9320.7026593487881</v>
      </c>
      <c r="P254" s="5">
        <v>22601.57564624758</v>
      </c>
      <c r="Q254" s="5">
        <v>30495.121067047665</v>
      </c>
      <c r="R254" s="5">
        <v>31715.273557891396</v>
      </c>
    </row>
    <row r="255" spans="9:18">
      <c r="I255" s="4">
        <v>240</v>
      </c>
      <c r="J255" s="5">
        <v>19121.054099180623</v>
      </c>
      <c r="K255" s="5">
        <v>16665.1498926479</v>
      </c>
      <c r="L255" s="5">
        <v>16451.333928028147</v>
      </c>
      <c r="M255" s="5">
        <v>18177.175180585615</v>
      </c>
      <c r="N255" s="5">
        <v>14240.123545764454</v>
      </c>
      <c r="O255" s="5">
        <v>8024.6340027919978</v>
      </c>
      <c r="P255" s="5">
        <v>95486.196907583406</v>
      </c>
      <c r="Q255" s="5">
        <v>28567.61306643406</v>
      </c>
      <c r="R255" s="5">
        <v>122304.95880137496</v>
      </c>
    </row>
    <row r="256" spans="9:18">
      <c r="I256" s="4">
        <v>241</v>
      </c>
      <c r="J256" s="5">
        <v>14538.277247583976</v>
      </c>
      <c r="K256" s="5">
        <v>32073.547537933715</v>
      </c>
      <c r="L256" s="5">
        <v>24256.352541181568</v>
      </c>
      <c r="M256" s="5">
        <v>18177.175180585615</v>
      </c>
      <c r="N256" s="5">
        <v>23746.795665493762</v>
      </c>
      <c r="O256" s="5">
        <v>13117.417685535194</v>
      </c>
      <c r="P256" s="5">
        <v>35569.894390728325</v>
      </c>
      <c r="Q256" s="5">
        <v>48756.323642664109</v>
      </c>
      <c r="R256" s="5">
        <v>26783.439354489365</v>
      </c>
    </row>
    <row r="257" spans="9:18">
      <c r="I257" s="4">
        <v>242</v>
      </c>
      <c r="J257" s="5">
        <v>14741.240040396578</v>
      </c>
      <c r="K257" s="5">
        <v>14095.75230105142</v>
      </c>
      <c r="L257" s="5">
        <v>15922.087958863045</v>
      </c>
      <c r="M257" s="5">
        <v>30785.663999045999</v>
      </c>
      <c r="N257" s="5">
        <v>24853.247795632611</v>
      </c>
      <c r="O257" s="5">
        <v>20489.622805425737</v>
      </c>
      <c r="P257" s="5">
        <v>34814.458119125498</v>
      </c>
      <c r="Q257" s="5">
        <v>43417.41805414496</v>
      </c>
      <c r="R257" s="5">
        <v>12194.45251033065</v>
      </c>
    </row>
    <row r="258" spans="9:18">
      <c r="I258" s="4">
        <v>243</v>
      </c>
      <c r="J258" s="5">
        <v>19467.17453557903</v>
      </c>
      <c r="K258" s="5">
        <v>53937.689698015136</v>
      </c>
      <c r="L258" s="5">
        <v>13037.115556745504</v>
      </c>
      <c r="M258" s="5">
        <v>17349.963215818931</v>
      </c>
      <c r="N258" s="5">
        <v>8555.1229659096207</v>
      </c>
      <c r="O258" s="5">
        <v>13519.384207850644</v>
      </c>
      <c r="P258" s="5">
        <v>36724.352187786957</v>
      </c>
      <c r="Q258" s="5">
        <v>6386.5227360487288</v>
      </c>
      <c r="R258" s="5">
        <v>5865.9802599669383</v>
      </c>
    </row>
    <row r="259" spans="9:18">
      <c r="I259" s="4">
        <v>244</v>
      </c>
      <c r="J259" s="5">
        <v>16156.372629961115</v>
      </c>
      <c r="K259" s="5">
        <v>21958.925144875713</v>
      </c>
      <c r="L259" s="5">
        <v>16472.138192556791</v>
      </c>
      <c r="M259" s="5">
        <v>21833.004790208965</v>
      </c>
      <c r="N259" s="5">
        <v>21617.945168312468</v>
      </c>
      <c r="O259" s="5">
        <v>10270.120415297655</v>
      </c>
      <c r="P259" s="5">
        <v>54100.778483493887</v>
      </c>
      <c r="Q259" s="5">
        <v>37101.531383212743</v>
      </c>
      <c r="R259" s="5">
        <v>6681.1887184356683</v>
      </c>
    </row>
    <row r="260" spans="9:18">
      <c r="I260" s="4">
        <v>245</v>
      </c>
      <c r="J260" s="5">
        <v>16511.332839561353</v>
      </c>
      <c r="K260" s="5">
        <v>20887.307279900142</v>
      </c>
      <c r="L260" s="5">
        <v>19359.475411188432</v>
      </c>
      <c r="M260" s="5">
        <v>16001.653036457456</v>
      </c>
      <c r="N260" s="5">
        <v>40377.252444397986</v>
      </c>
      <c r="O260" s="5">
        <v>24247.516962783076</v>
      </c>
      <c r="P260" s="5">
        <v>3831.1492650071077</v>
      </c>
      <c r="Q260" s="5">
        <v>4924.9171270300558</v>
      </c>
      <c r="R260" s="5">
        <v>17687.533637716911</v>
      </c>
    </row>
    <row r="261" spans="9:18">
      <c r="I261" s="4">
        <v>246</v>
      </c>
      <c r="J261" s="5">
        <v>16305.770155972396</v>
      </c>
      <c r="K261" s="5">
        <v>16273.14570113692</v>
      </c>
      <c r="L261" s="5">
        <v>25389.332759288587</v>
      </c>
      <c r="M261" s="5">
        <v>18816.787977140237</v>
      </c>
      <c r="N261" s="5">
        <v>12297.015342318469</v>
      </c>
      <c r="O261" s="5">
        <v>10738.305003664611</v>
      </c>
      <c r="P261" s="5">
        <v>66904.018529955298</v>
      </c>
      <c r="Q261" s="5">
        <v>8880.8074399558282</v>
      </c>
      <c r="R261" s="5">
        <v>39263.770877572199</v>
      </c>
    </row>
    <row r="262" spans="9:18">
      <c r="I262" s="4">
        <v>247</v>
      </c>
      <c r="J262" s="5">
        <v>11854.381651026555</v>
      </c>
      <c r="K262" s="5">
        <v>12423.491400404893</v>
      </c>
      <c r="L262" s="5">
        <v>15764.107424863063</v>
      </c>
      <c r="M262" s="5">
        <v>41698.977215629871</v>
      </c>
      <c r="N262" s="5">
        <v>20558.672182394013</v>
      </c>
      <c r="O262" s="5">
        <v>21930.527973988665</v>
      </c>
      <c r="P262" s="5">
        <v>14327.191387816954</v>
      </c>
      <c r="Q262" s="5">
        <v>37073.980790337926</v>
      </c>
      <c r="R262" s="5">
        <v>17304.847214362417</v>
      </c>
    </row>
    <row r="263" spans="9:18">
      <c r="I263" s="4">
        <v>248</v>
      </c>
      <c r="J263" s="5">
        <v>15554.996700302558</v>
      </c>
      <c r="K263" s="5">
        <v>12423.491400404893</v>
      </c>
      <c r="L263" s="5">
        <v>23760.785349782636</v>
      </c>
      <c r="M263" s="5">
        <v>23908.621352410395</v>
      </c>
      <c r="N263" s="5">
        <v>12523.573732460784</v>
      </c>
      <c r="O263" s="5">
        <v>67717.30633712461</v>
      </c>
      <c r="P263" s="5">
        <v>27820.721938889761</v>
      </c>
      <c r="Q263" s="5">
        <v>27789.973552634947</v>
      </c>
      <c r="R263" s="5">
        <v>30571.564004538617</v>
      </c>
    </row>
    <row r="264" spans="9:18">
      <c r="I264" s="4">
        <v>249</v>
      </c>
      <c r="J264" s="5">
        <v>13447.638004246244</v>
      </c>
      <c r="K264" s="5">
        <v>21187.174639714212</v>
      </c>
      <c r="L264" s="5">
        <v>16293.265064857471</v>
      </c>
      <c r="M264" s="5">
        <v>14432.283063351901</v>
      </c>
      <c r="N264" s="5">
        <v>22735.120948269971</v>
      </c>
      <c r="O264" s="5">
        <v>67717.30633712461</v>
      </c>
      <c r="P264" s="5">
        <v>9633.1652908310007</v>
      </c>
      <c r="Q264" s="5">
        <v>20883.852062640355</v>
      </c>
      <c r="R264" s="5">
        <v>181970.23111012415</v>
      </c>
    </row>
    <row r="265" spans="9:18">
      <c r="I265" s="4">
        <v>250</v>
      </c>
      <c r="J265" s="5">
        <v>14017.326487344162</v>
      </c>
      <c r="K265" s="5">
        <v>7753.2116148734594</v>
      </c>
      <c r="L265" s="5">
        <v>15832.5469007027</v>
      </c>
      <c r="M265" s="5">
        <v>14217.48832834715</v>
      </c>
      <c r="N265" s="5">
        <v>21617.945168312468</v>
      </c>
      <c r="O265" s="5">
        <v>13550.031670770122</v>
      </c>
      <c r="P265" s="5">
        <v>5735.6883097179207</v>
      </c>
      <c r="Q265" s="5">
        <v>25156.033327562815</v>
      </c>
      <c r="R265" s="5">
        <v>90296.353221228885</v>
      </c>
    </row>
    <row r="266" spans="9:18">
      <c r="I266" s="4">
        <v>251</v>
      </c>
      <c r="J266" s="5">
        <v>16788.081681455456</v>
      </c>
      <c r="K266" s="5">
        <v>8124.7965732661823</v>
      </c>
      <c r="L266" s="5">
        <v>14146.191653372813</v>
      </c>
      <c r="M266" s="5">
        <v>23449.501569180404</v>
      </c>
      <c r="N266" s="5">
        <v>12592.300437162297</v>
      </c>
      <c r="O266" s="5">
        <v>67717.30633712461</v>
      </c>
      <c r="P266" s="5">
        <v>9482.0186426688688</v>
      </c>
      <c r="Q266" s="5">
        <v>116445.46783345108</v>
      </c>
      <c r="R266" s="5">
        <v>302760.11878714536</v>
      </c>
    </row>
    <row r="267" spans="9:18">
      <c r="I267" s="4">
        <v>252</v>
      </c>
      <c r="J267" s="5">
        <v>13391.049101507895</v>
      </c>
      <c r="K267" s="5">
        <v>23543.914024953676</v>
      </c>
      <c r="L267" s="5">
        <v>15487.970507365942</v>
      </c>
      <c r="M267" s="5">
        <v>10111.451009425113</v>
      </c>
      <c r="N267" s="5">
        <v>14921.795973817481</v>
      </c>
      <c r="O267" s="5">
        <v>21930.527973988665</v>
      </c>
      <c r="P267" s="5">
        <v>10180.109839011631</v>
      </c>
      <c r="Q267" s="5">
        <v>59964.86015574776</v>
      </c>
      <c r="R267" s="5">
        <v>29295.938844292672</v>
      </c>
    </row>
    <row r="268" spans="9:18">
      <c r="I268" s="4">
        <v>253</v>
      </c>
      <c r="J268" s="5">
        <v>8580.4413740966302</v>
      </c>
      <c r="K268" s="5">
        <v>7753.2116148734594</v>
      </c>
      <c r="L268" s="5">
        <v>21428.663623484812</v>
      </c>
      <c r="M268" s="5">
        <v>13022.686998540772</v>
      </c>
      <c r="N268" s="5">
        <v>20558.672182394013</v>
      </c>
      <c r="O268" s="5">
        <v>10746.295275180995</v>
      </c>
      <c r="P268" s="5">
        <v>27820.721938889761</v>
      </c>
      <c r="Q268" s="5">
        <v>31974.553851773013</v>
      </c>
      <c r="R268" s="5">
        <v>1535.701520095213</v>
      </c>
    </row>
    <row r="269" spans="9:18">
      <c r="I269" s="4">
        <v>254</v>
      </c>
      <c r="J269" s="5">
        <v>12888.204629170894</v>
      </c>
      <c r="K269" s="5">
        <v>18218.584572172625</v>
      </c>
      <c r="L269" s="5">
        <v>20698.842353987733</v>
      </c>
      <c r="M269" s="5">
        <v>18177.175180585615</v>
      </c>
      <c r="N269" s="5">
        <v>36962.805083900916</v>
      </c>
      <c r="O269" s="5">
        <v>9708.4497800977806</v>
      </c>
      <c r="P269" s="5">
        <v>28537.545734403488</v>
      </c>
      <c r="Q269" s="5">
        <v>96632.959478514502</v>
      </c>
      <c r="R269" s="5">
        <v>8046.7106309763258</v>
      </c>
    </row>
    <row r="270" spans="9:18">
      <c r="I270" s="4">
        <v>255</v>
      </c>
      <c r="J270" s="5">
        <v>11936.262457073821</v>
      </c>
      <c r="K270" s="5">
        <v>24728.095385476983</v>
      </c>
      <c r="L270" s="5">
        <v>15161.007794371622</v>
      </c>
      <c r="M270" s="5">
        <v>20788.503422877813</v>
      </c>
      <c r="N270" s="5">
        <v>20583.564383988036</v>
      </c>
      <c r="O270" s="5">
        <v>16462.170789592048</v>
      </c>
      <c r="P270" s="5">
        <v>33500.490132682797</v>
      </c>
      <c r="Q270" s="5">
        <v>59134.059519022907</v>
      </c>
      <c r="R270" s="5">
        <v>114016.93673542379</v>
      </c>
    </row>
    <row r="271" spans="9:18">
      <c r="I271" s="4">
        <v>256</v>
      </c>
      <c r="J271" s="5">
        <v>28169.050633834027</v>
      </c>
      <c r="K271" s="5">
        <v>11149.572204897504</v>
      </c>
      <c r="L271" s="5">
        <v>17482.478480142941</v>
      </c>
      <c r="M271" s="5">
        <v>22815.60259636537</v>
      </c>
      <c r="N271" s="5">
        <v>39672.376281023731</v>
      </c>
      <c r="O271" s="5">
        <v>40304.23053285561</v>
      </c>
      <c r="P271" s="5">
        <v>25258.981945036445</v>
      </c>
      <c r="Q271" s="5">
        <v>7457.1844090365566</v>
      </c>
      <c r="R271" s="5">
        <v>24722.972470599001</v>
      </c>
    </row>
    <row r="272" spans="9:18">
      <c r="I272" s="4">
        <v>257</v>
      </c>
      <c r="J272" s="5">
        <v>16088.430030489333</v>
      </c>
      <c r="K272" s="5">
        <v>16605.655749562578</v>
      </c>
      <c r="L272" s="5">
        <v>17128.574519497746</v>
      </c>
      <c r="M272" s="5">
        <v>23908.621352410395</v>
      </c>
      <c r="N272" s="5">
        <v>17811.114014514766</v>
      </c>
      <c r="O272" s="5">
        <v>27503.656957929088</v>
      </c>
      <c r="P272" s="5">
        <v>3930.0915591834291</v>
      </c>
      <c r="Q272" s="5">
        <v>13865.641566869812</v>
      </c>
      <c r="R272" s="5">
        <v>122304.95880137496</v>
      </c>
    </row>
    <row r="273" spans="9:18">
      <c r="I273" s="4">
        <v>258</v>
      </c>
      <c r="J273" s="5">
        <v>28085.9245102444</v>
      </c>
      <c r="K273" s="5">
        <v>16952.949313901812</v>
      </c>
      <c r="L273" s="5">
        <v>17482.478480142941</v>
      </c>
      <c r="M273" s="5">
        <v>16881.579299055</v>
      </c>
      <c r="N273" s="5">
        <v>16418.492928415813</v>
      </c>
      <c r="O273" s="5">
        <v>45451.954570113048</v>
      </c>
      <c r="P273" s="5">
        <v>22601.57564624758</v>
      </c>
      <c r="Q273" s="5">
        <v>31974.553851773013</v>
      </c>
      <c r="R273" s="5">
        <v>76851.431017396084</v>
      </c>
    </row>
    <row r="274" spans="9:18">
      <c r="I274" s="4">
        <v>259</v>
      </c>
      <c r="J274" s="5">
        <v>21150.169973104224</v>
      </c>
      <c r="K274" s="5">
        <v>16665.1498926479</v>
      </c>
      <c r="L274" s="5">
        <v>29265.217478369766</v>
      </c>
      <c r="M274" s="5">
        <v>20550.782384061673</v>
      </c>
      <c r="N274" s="5">
        <v>11788.341482962171</v>
      </c>
      <c r="O274" s="5">
        <v>45451.954570113048</v>
      </c>
      <c r="P274" s="5">
        <v>17643.087208586294</v>
      </c>
      <c r="Q274" s="5">
        <v>7349.2234634219121</v>
      </c>
      <c r="R274" s="5">
        <v>72640.340924600489</v>
      </c>
    </row>
    <row r="275" spans="9:18">
      <c r="I275" s="4">
        <v>260</v>
      </c>
      <c r="J275" s="5">
        <v>16733.020222212988</v>
      </c>
      <c r="K275" s="5">
        <v>9739.7813029644258</v>
      </c>
      <c r="L275" s="5">
        <v>14610.165745300763</v>
      </c>
      <c r="M275" s="5">
        <v>23908.621352410395</v>
      </c>
      <c r="N275" s="5">
        <v>18410.937863650517</v>
      </c>
      <c r="O275" s="5">
        <v>53028.643350899503</v>
      </c>
      <c r="P275" s="5">
        <v>16574.429708560569</v>
      </c>
      <c r="Q275" s="5">
        <v>28797.29222718185</v>
      </c>
      <c r="R275" s="5">
        <v>182942.88598316166</v>
      </c>
    </row>
    <row r="276" spans="9:18">
      <c r="I276" s="4">
        <v>261</v>
      </c>
      <c r="J276" s="5">
        <v>16459.003095225507</v>
      </c>
      <c r="K276" s="5">
        <v>13288.692555879701</v>
      </c>
      <c r="L276" s="5">
        <v>25389.332759288587</v>
      </c>
      <c r="M276" s="5">
        <v>13642.678686731051</v>
      </c>
      <c r="N276" s="5">
        <v>15130.853682762778</v>
      </c>
      <c r="O276" s="5">
        <v>35286.662852302201</v>
      </c>
      <c r="P276" s="5">
        <v>20391.123772341358</v>
      </c>
      <c r="Q276" s="5">
        <v>11173.074396969254</v>
      </c>
      <c r="R276" s="5">
        <v>302760.11878714536</v>
      </c>
    </row>
    <row r="277" spans="9:18">
      <c r="I277" s="4">
        <v>262</v>
      </c>
      <c r="J277" s="5">
        <v>11936.262457073821</v>
      </c>
      <c r="K277" s="5">
        <v>15487.124352801369</v>
      </c>
      <c r="L277" s="5">
        <v>22018.381599979773</v>
      </c>
      <c r="M277" s="5">
        <v>19042.78605337895</v>
      </c>
      <c r="N277" s="5">
        <v>16148.901635865295</v>
      </c>
      <c r="O277" s="5">
        <v>27503.656957929088</v>
      </c>
      <c r="P277" s="5">
        <v>12992.105410393709</v>
      </c>
      <c r="Q277" s="5">
        <v>4631.7430487757983</v>
      </c>
      <c r="R277" s="5">
        <v>38898.713625068609</v>
      </c>
    </row>
    <row r="278" spans="9:18">
      <c r="I278" s="4">
        <v>263</v>
      </c>
      <c r="J278" s="5">
        <v>14680.308400328413</v>
      </c>
      <c r="K278" s="5">
        <v>15428.770955406064</v>
      </c>
      <c r="L278" s="5">
        <v>15487.970507365942</v>
      </c>
      <c r="M278" s="5">
        <v>21712.71007234112</v>
      </c>
      <c r="N278" s="5">
        <v>11251.634703629026</v>
      </c>
      <c r="O278" s="5">
        <v>30876.675913171162</v>
      </c>
      <c r="P278" s="5">
        <v>28537.545734403488</v>
      </c>
      <c r="Q278" s="5">
        <v>4631.7430487757983</v>
      </c>
      <c r="R278" s="5">
        <v>181970.23111012415</v>
      </c>
    </row>
    <row r="279" spans="9:18">
      <c r="I279" s="4">
        <v>264</v>
      </c>
      <c r="J279" s="5">
        <v>19048.674633640545</v>
      </c>
      <c r="K279" s="5">
        <v>16199.334613834633</v>
      </c>
      <c r="L279" s="5">
        <v>15471.738323660695</v>
      </c>
      <c r="M279" s="5">
        <v>17349.963215818931</v>
      </c>
      <c r="N279" s="5">
        <v>15786.177386596903</v>
      </c>
      <c r="O279" s="5">
        <v>51330.340277512776</v>
      </c>
      <c r="P279" s="5">
        <v>34814.458119125498</v>
      </c>
      <c r="Q279" s="5">
        <v>16803.875627203233</v>
      </c>
      <c r="R279" s="5">
        <v>20303.08745527079</v>
      </c>
    </row>
    <row r="280" spans="9:18">
      <c r="I280" s="4">
        <v>265</v>
      </c>
      <c r="J280" s="5">
        <v>16145.071869702888</v>
      </c>
      <c r="K280" s="5">
        <v>15487.124352801369</v>
      </c>
      <c r="L280" s="5">
        <v>15487.970507365942</v>
      </c>
      <c r="M280" s="5">
        <v>23515.935489506261</v>
      </c>
      <c r="N280" s="5">
        <v>23583.581287126868</v>
      </c>
      <c r="O280" s="5">
        <v>40581.847217937895</v>
      </c>
      <c r="P280" s="5">
        <v>44646.134934589521</v>
      </c>
      <c r="Q280" s="5">
        <v>20883.852062640355</v>
      </c>
      <c r="R280" s="5">
        <v>7879.038918914337</v>
      </c>
    </row>
    <row r="281" spans="9:18">
      <c r="I281" s="4">
        <v>266</v>
      </c>
      <c r="J281" s="5">
        <v>27392.038553726634</v>
      </c>
      <c r="K281" s="5">
        <v>17003.901855709089</v>
      </c>
      <c r="L281" s="5">
        <v>16106.634875163341</v>
      </c>
      <c r="M281" s="5">
        <v>22961.931350882205</v>
      </c>
      <c r="N281" s="5">
        <v>51261.622558090799</v>
      </c>
      <c r="O281" s="5">
        <v>8121.6248378263163</v>
      </c>
      <c r="P281" s="5">
        <v>21933.779100635442</v>
      </c>
      <c r="Q281" s="5">
        <v>35525.432376048877</v>
      </c>
      <c r="R281" s="5">
        <v>261393.32711858812</v>
      </c>
    </row>
    <row r="282" spans="9:18">
      <c r="I282" s="4">
        <v>267</v>
      </c>
      <c r="J282" s="5">
        <v>34933.039312618188</v>
      </c>
      <c r="K282" s="5">
        <v>61827.107730316675</v>
      </c>
      <c r="L282" s="5">
        <v>18475.258050488967</v>
      </c>
      <c r="M282" s="5">
        <v>26477.996319655329</v>
      </c>
      <c r="N282" s="5">
        <v>27833.630848857778</v>
      </c>
      <c r="O282" s="5">
        <v>15936.062371781712</v>
      </c>
      <c r="P282" s="5">
        <v>54292.749740228588</v>
      </c>
      <c r="Q282" s="5">
        <v>48866.209623168346</v>
      </c>
      <c r="R282" s="5">
        <v>7201.7586694681067</v>
      </c>
    </row>
    <row r="283" spans="9:18">
      <c r="I283" s="4">
        <v>268</v>
      </c>
      <c r="J283" s="5">
        <v>11854.381651026555</v>
      </c>
      <c r="K283" s="5">
        <v>13719.930466819731</v>
      </c>
      <c r="L283" s="5">
        <v>13867.07093008449</v>
      </c>
      <c r="M283" s="5">
        <v>17542.15972125496</v>
      </c>
      <c r="N283" s="5">
        <v>20558.672182394013</v>
      </c>
      <c r="O283" s="5">
        <v>59207.798737851255</v>
      </c>
      <c r="P283" s="5">
        <v>17996.895987204196</v>
      </c>
      <c r="Q283" s="5">
        <v>47365.380972950254</v>
      </c>
      <c r="R283" s="5">
        <v>76851.431017396084</v>
      </c>
    </row>
    <row r="284" spans="9:18">
      <c r="I284" s="4">
        <v>269</v>
      </c>
      <c r="J284" s="5">
        <v>17592.832480262863</v>
      </c>
      <c r="K284" s="5">
        <v>34058.671324159091</v>
      </c>
      <c r="L284" s="5">
        <v>15664.99858445921</v>
      </c>
      <c r="M284" s="5">
        <v>18043.539897080744</v>
      </c>
      <c r="N284" s="5">
        <v>21909.120225822895</v>
      </c>
      <c r="O284" s="5">
        <v>67717.30633712461</v>
      </c>
      <c r="P284" s="5">
        <v>21039.927746191301</v>
      </c>
      <c r="Q284" s="5">
        <v>9645.8788061228515</v>
      </c>
      <c r="R284" s="5">
        <v>3989.7956692889929</v>
      </c>
    </row>
    <row r="285" spans="9:18">
      <c r="I285" s="4">
        <v>270</v>
      </c>
      <c r="J285" s="5">
        <v>16156.372629961115</v>
      </c>
      <c r="K285" s="5">
        <v>95171.967522309933</v>
      </c>
      <c r="L285" s="5">
        <v>25389.332759288587</v>
      </c>
      <c r="M285" s="5">
        <v>32751.734100446065</v>
      </c>
      <c r="N285" s="5">
        <v>9989.086510768735</v>
      </c>
      <c r="O285" s="5">
        <v>32474.063027682765</v>
      </c>
      <c r="P285" s="5">
        <v>55119.366528283317</v>
      </c>
      <c r="Q285" s="5">
        <v>3909.239690544402</v>
      </c>
      <c r="R285" s="5">
        <v>17304.847214362417</v>
      </c>
    </row>
    <row r="286" spans="9:18">
      <c r="I286" s="4">
        <v>271</v>
      </c>
      <c r="J286" s="5">
        <v>13447.638004246244</v>
      </c>
      <c r="K286" s="5">
        <v>17128.860847126922</v>
      </c>
      <c r="L286" s="5">
        <v>14264.23790876064</v>
      </c>
      <c r="M286" s="5">
        <v>42282.977640783138</v>
      </c>
      <c r="N286" s="5">
        <v>21617.945168312468</v>
      </c>
      <c r="O286" s="5">
        <v>20721.57544042755</v>
      </c>
      <c r="P286" s="5">
        <v>24349.301972630979</v>
      </c>
      <c r="Q286" s="5">
        <v>100789.83462564547</v>
      </c>
      <c r="R286" s="5">
        <v>12194.45251033065</v>
      </c>
    </row>
    <row r="287" spans="9:18">
      <c r="I287" s="4">
        <v>272</v>
      </c>
      <c r="J287" s="5">
        <v>14420.293087375476</v>
      </c>
      <c r="K287" s="5">
        <v>16273.14570113692</v>
      </c>
      <c r="L287" s="5">
        <v>20698.842353987733</v>
      </c>
      <c r="M287" s="5">
        <v>32497.510405113037</v>
      </c>
      <c r="N287" s="5">
        <v>24769.339976495565</v>
      </c>
      <c r="O287" s="5">
        <v>33720.545907536376</v>
      </c>
      <c r="P287" s="5">
        <v>95486.196907583406</v>
      </c>
      <c r="Q287" s="5">
        <v>79566.621912742485</v>
      </c>
      <c r="R287" s="5">
        <v>72561.496699005787</v>
      </c>
    </row>
    <row r="288" spans="9:18">
      <c r="I288" s="4">
        <v>273</v>
      </c>
      <c r="J288" s="5">
        <v>11843.28062342474</v>
      </c>
      <c r="K288" s="5">
        <v>23327.217259521742</v>
      </c>
      <c r="L288" s="5">
        <v>17482.478480142941</v>
      </c>
      <c r="M288" s="5">
        <v>17116.951435661951</v>
      </c>
      <c r="N288" s="5">
        <v>20583.564383988036</v>
      </c>
      <c r="O288" s="5">
        <v>9320.7026593487881</v>
      </c>
      <c r="P288" s="5">
        <v>27820.721938889761</v>
      </c>
      <c r="Q288" s="5">
        <v>30495.121067047665</v>
      </c>
      <c r="R288" s="5">
        <v>20303.08745527079</v>
      </c>
    </row>
    <row r="289" spans="9:18">
      <c r="I289" s="4">
        <v>274</v>
      </c>
      <c r="J289" s="5">
        <v>19048.674633640545</v>
      </c>
      <c r="K289" s="5">
        <v>15428.770955406064</v>
      </c>
      <c r="L289" s="5">
        <v>14364.472927446199</v>
      </c>
      <c r="M289" s="5">
        <v>16842.379179328669</v>
      </c>
      <c r="N289" s="5">
        <v>34295.124147811541</v>
      </c>
      <c r="O289" s="5">
        <v>55264.438774006347</v>
      </c>
      <c r="P289" s="5">
        <v>17996.895987204196</v>
      </c>
      <c r="Q289" s="5">
        <v>31019.493883163672</v>
      </c>
      <c r="R289" s="5">
        <v>35232.418639121184</v>
      </c>
    </row>
    <row r="290" spans="9:18">
      <c r="I290" s="4">
        <v>275</v>
      </c>
      <c r="J290" s="5">
        <v>14710.037865351254</v>
      </c>
      <c r="K290" s="5">
        <v>15051.330276415061</v>
      </c>
      <c r="L290" s="5">
        <v>23760.785349782636</v>
      </c>
      <c r="M290" s="5">
        <v>41698.977215629871</v>
      </c>
      <c r="N290" s="5">
        <v>24853.247795632611</v>
      </c>
      <c r="O290" s="5">
        <v>21930.527973988665</v>
      </c>
      <c r="P290" s="5">
        <v>46514.467673254068</v>
      </c>
      <c r="Q290" s="5">
        <v>4924.9171270300558</v>
      </c>
      <c r="R290" s="5">
        <v>114016.93673542379</v>
      </c>
    </row>
    <row r="291" spans="9:18">
      <c r="I291" s="4">
        <v>276</v>
      </c>
      <c r="J291" s="5">
        <v>18650.249281571734</v>
      </c>
      <c r="K291" s="5">
        <v>14878.52734402675</v>
      </c>
      <c r="L291" s="5">
        <v>29265.217478369766</v>
      </c>
      <c r="M291" s="5">
        <v>21072.983263501868</v>
      </c>
      <c r="N291" s="5">
        <v>18410.937863650517</v>
      </c>
      <c r="O291" s="5">
        <v>24258.192244316608</v>
      </c>
      <c r="P291" s="5">
        <v>13793.886507202402</v>
      </c>
      <c r="Q291" s="5">
        <v>8474.2603471579441</v>
      </c>
      <c r="R291" s="5">
        <v>14706.681111065362</v>
      </c>
    </row>
    <row r="292" spans="9:18">
      <c r="I292" s="4">
        <v>277</v>
      </c>
      <c r="J292" s="5">
        <v>20768.286261788198</v>
      </c>
      <c r="K292" s="5">
        <v>14017.262946034314</v>
      </c>
      <c r="L292" s="5">
        <v>14649.721476864312</v>
      </c>
      <c r="M292" s="5">
        <v>22815.60259636537</v>
      </c>
      <c r="N292" s="5">
        <v>34295.124147811541</v>
      </c>
      <c r="O292" s="5">
        <v>16572.483389649329</v>
      </c>
      <c r="P292" s="5">
        <v>22708.601480587709</v>
      </c>
      <c r="Q292" s="5">
        <v>17234.335939857254</v>
      </c>
      <c r="R292" s="5">
        <v>55106.806585409526</v>
      </c>
    </row>
    <row r="293" spans="9:18">
      <c r="I293" s="4">
        <v>278</v>
      </c>
      <c r="J293" s="5">
        <v>11854.381651026555</v>
      </c>
      <c r="K293" s="5">
        <v>18218.584572172625</v>
      </c>
      <c r="L293" s="5">
        <v>16014.071850041886</v>
      </c>
      <c r="M293" s="5">
        <v>23454.775510296178</v>
      </c>
      <c r="N293" s="5">
        <v>26115.05281128412</v>
      </c>
      <c r="O293" s="5">
        <v>26565.882515615398</v>
      </c>
      <c r="P293" s="5">
        <v>40377.463755170742</v>
      </c>
      <c r="Q293" s="5">
        <v>52545.991451361173</v>
      </c>
      <c r="R293" s="5">
        <v>91403.228438796665</v>
      </c>
    </row>
    <row r="294" spans="9:18">
      <c r="I294" s="4">
        <v>279</v>
      </c>
      <c r="J294" s="5">
        <v>12701.339251949787</v>
      </c>
      <c r="K294" s="5">
        <v>11857.447519815871</v>
      </c>
      <c r="L294" s="5">
        <v>17845.207337527903</v>
      </c>
      <c r="M294" s="5">
        <v>11529.920007560097</v>
      </c>
      <c r="N294" s="5">
        <v>11952.903761138405</v>
      </c>
      <c r="O294" s="5">
        <v>42492.261063288854</v>
      </c>
      <c r="P294" s="5">
        <v>66904.018529955298</v>
      </c>
      <c r="Q294" s="5">
        <v>20987.925664394581</v>
      </c>
      <c r="R294" s="5">
        <v>41418.225609677866</v>
      </c>
    </row>
    <row r="295" spans="9:18">
      <c r="I295" s="4">
        <v>280</v>
      </c>
      <c r="J295" s="5">
        <v>12452.764985867625</v>
      </c>
      <c r="K295" s="5">
        <v>15768.312122029349</v>
      </c>
      <c r="L295" s="5">
        <v>18379.634651549037</v>
      </c>
      <c r="M295" s="5">
        <v>31460.745851561904</v>
      </c>
      <c r="N295" s="5">
        <v>24853.247795632611</v>
      </c>
      <c r="O295" s="5">
        <v>94068.324736096256</v>
      </c>
      <c r="P295" s="5">
        <v>38024.168395914428</v>
      </c>
      <c r="Q295" s="5">
        <v>11928.872068442162</v>
      </c>
      <c r="R295" s="5">
        <v>59414.886464347241</v>
      </c>
    </row>
    <row r="296" spans="9:18">
      <c r="I296" s="4">
        <v>281</v>
      </c>
      <c r="J296" s="5">
        <v>13663.281817546009</v>
      </c>
      <c r="K296" s="5">
        <v>14136.873097602549</v>
      </c>
      <c r="L296" s="5">
        <v>17683.765335572589</v>
      </c>
      <c r="M296" s="5">
        <v>13065.820809359835</v>
      </c>
      <c r="N296" s="5">
        <v>21931.347680292267</v>
      </c>
      <c r="O296" s="5">
        <v>30656.031716467984</v>
      </c>
      <c r="P296" s="5">
        <v>55152.110177667731</v>
      </c>
      <c r="Q296" s="5">
        <v>30495.121067047665</v>
      </c>
      <c r="R296" s="5">
        <v>302760.11878714536</v>
      </c>
    </row>
    <row r="297" spans="9:18">
      <c r="I297" s="4">
        <v>282</v>
      </c>
      <c r="J297" s="5">
        <v>16305.770155972396</v>
      </c>
      <c r="K297" s="5">
        <v>8223.1266007477425</v>
      </c>
      <c r="L297" s="5">
        <v>16293.265064857471</v>
      </c>
      <c r="M297" s="5">
        <v>14660.631931099009</v>
      </c>
      <c r="N297" s="5">
        <v>21009.255892677338</v>
      </c>
      <c r="O297" s="5">
        <v>53007.660727727191</v>
      </c>
      <c r="P297" s="5">
        <v>24349.301972630979</v>
      </c>
      <c r="Q297" s="5">
        <v>28797.29222718185</v>
      </c>
      <c r="R297" s="5">
        <v>51358.6267760993</v>
      </c>
    </row>
    <row r="298" spans="9:18">
      <c r="I298" s="4">
        <v>283</v>
      </c>
      <c r="J298" s="5">
        <v>16788.081681455456</v>
      </c>
      <c r="K298" s="5">
        <v>13520.836427679104</v>
      </c>
      <c r="L298" s="5">
        <v>21428.663623484812</v>
      </c>
      <c r="M298" s="5">
        <v>12426.949970383979</v>
      </c>
      <c r="N298" s="5">
        <v>20558.672182394013</v>
      </c>
      <c r="O298" s="5">
        <v>25802.481365323994</v>
      </c>
      <c r="P298" s="5">
        <v>12639.596794453437</v>
      </c>
      <c r="Q298" s="5">
        <v>48756.323642664109</v>
      </c>
      <c r="R298" s="5">
        <v>26783.439354489365</v>
      </c>
    </row>
    <row r="299" spans="9:18">
      <c r="I299" s="4">
        <v>284</v>
      </c>
      <c r="J299" s="5">
        <v>14594.990625703947</v>
      </c>
      <c r="K299" s="5">
        <v>31910.762633549082</v>
      </c>
      <c r="L299" s="5">
        <v>17243.440968229323</v>
      </c>
      <c r="M299" s="5">
        <v>41698.977215629871</v>
      </c>
      <c r="N299" s="5">
        <v>42744.618431291936</v>
      </c>
      <c r="O299" s="5">
        <v>14371.728352806511</v>
      </c>
      <c r="P299" s="5">
        <v>38771.994792132391</v>
      </c>
      <c r="Q299" s="5">
        <v>27789.973552634947</v>
      </c>
      <c r="R299" s="5">
        <v>39727.513802035661</v>
      </c>
    </row>
    <row r="300" spans="9:18">
      <c r="I300" s="4">
        <v>285</v>
      </c>
      <c r="J300" s="5">
        <v>14960.076233580705</v>
      </c>
      <c r="K300" s="5">
        <v>14674.169276244838</v>
      </c>
      <c r="L300" s="5">
        <v>16577.562442697115</v>
      </c>
      <c r="M300" s="5">
        <v>13011.820191946215</v>
      </c>
      <c r="N300" s="5">
        <v>18410.937863650517</v>
      </c>
      <c r="O300" s="5">
        <v>33720.545907536376</v>
      </c>
      <c r="P300" s="5">
        <v>16650.229067545235</v>
      </c>
      <c r="Q300" s="5">
        <v>8474.2603471579441</v>
      </c>
      <c r="R300" s="5">
        <v>2180.6148629084787</v>
      </c>
    </row>
    <row r="301" spans="9:18">
      <c r="I301" s="4">
        <v>286</v>
      </c>
      <c r="J301" s="5">
        <v>14749.343145806102</v>
      </c>
      <c r="K301" s="5">
        <v>16665.1498926479</v>
      </c>
      <c r="L301" s="5">
        <v>14649.721476864312</v>
      </c>
      <c r="M301" s="5">
        <v>13065.820809359835</v>
      </c>
      <c r="N301" s="5">
        <v>23283.854578052265</v>
      </c>
      <c r="O301" s="5">
        <v>5444.7598502623823</v>
      </c>
      <c r="P301" s="5">
        <v>27820.721938889761</v>
      </c>
      <c r="Q301" s="5">
        <v>31019.493883163672</v>
      </c>
      <c r="R301" s="5">
        <v>40368.364083205248</v>
      </c>
    </row>
    <row r="302" spans="9:18">
      <c r="I302" s="4">
        <v>287</v>
      </c>
      <c r="J302" s="5">
        <v>14960.076233580705</v>
      </c>
      <c r="K302" s="5">
        <v>11149.572204897504</v>
      </c>
      <c r="L302" s="5">
        <v>13867.07093008449</v>
      </c>
      <c r="M302" s="5">
        <v>19151.339770278159</v>
      </c>
      <c r="N302" s="5">
        <v>46248.895746171031</v>
      </c>
      <c r="O302" s="5">
        <v>55264.438774006347</v>
      </c>
      <c r="P302" s="5">
        <v>36724.352187786957</v>
      </c>
      <c r="Q302" s="5">
        <v>27789.973552634947</v>
      </c>
      <c r="R302" s="5">
        <v>90296.353221228885</v>
      </c>
    </row>
    <row r="303" spans="9:18">
      <c r="I303" s="4">
        <v>288</v>
      </c>
      <c r="J303" s="5">
        <v>13918.242013140338</v>
      </c>
      <c r="K303" s="5">
        <v>11206.053243692098</v>
      </c>
      <c r="L303" s="5">
        <v>22018.381599979773</v>
      </c>
      <c r="M303" s="5">
        <v>22326.253555179093</v>
      </c>
      <c r="N303" s="5">
        <v>40377.252444397986</v>
      </c>
      <c r="O303" s="5">
        <v>6199.3195463515376</v>
      </c>
      <c r="P303" s="5">
        <v>74840.036182179319</v>
      </c>
      <c r="Q303" s="5">
        <v>22483.395143121877</v>
      </c>
      <c r="R303" s="5">
        <v>19133.693426869788</v>
      </c>
    </row>
    <row r="304" spans="9:18">
      <c r="I304" s="4">
        <v>289</v>
      </c>
      <c r="J304" s="5">
        <v>31559.699247539775</v>
      </c>
      <c r="K304" s="5">
        <v>13520.836427679104</v>
      </c>
      <c r="L304" s="5">
        <v>14344.859750762502</v>
      </c>
      <c r="M304" s="5">
        <v>18816.787977140237</v>
      </c>
      <c r="N304" s="5">
        <v>40377.252444397986</v>
      </c>
      <c r="O304" s="5">
        <v>21930.527973988665</v>
      </c>
      <c r="P304" s="5">
        <v>49519.098753410741</v>
      </c>
      <c r="Q304" s="5">
        <v>28776.080424849053</v>
      </c>
      <c r="R304" s="5">
        <v>96845.299789249824</v>
      </c>
    </row>
    <row r="305" spans="9:18">
      <c r="I305" s="4">
        <v>290</v>
      </c>
      <c r="J305" s="5">
        <v>14076.209333698853</v>
      </c>
      <c r="K305" s="5">
        <v>43843.85059185313</v>
      </c>
      <c r="L305" s="5">
        <v>13867.07093008449</v>
      </c>
      <c r="M305" s="5">
        <v>31554.722481137964</v>
      </c>
      <c r="N305" s="5">
        <v>22511.351424689696</v>
      </c>
      <c r="O305" s="5">
        <v>40304.23053285561</v>
      </c>
      <c r="P305" s="5">
        <v>40377.463755170742</v>
      </c>
      <c r="Q305" s="5">
        <v>31618.396253255491</v>
      </c>
      <c r="R305" s="5">
        <v>7952.6989268572033</v>
      </c>
    </row>
    <row r="306" spans="9:18">
      <c r="I306" s="4">
        <v>291</v>
      </c>
      <c r="J306" s="5">
        <v>15064.079707240266</v>
      </c>
      <c r="K306" s="5">
        <v>16605.655749562578</v>
      </c>
      <c r="L306" s="5">
        <v>18602.881797624486</v>
      </c>
      <c r="M306" s="5">
        <v>13616.35938654862</v>
      </c>
      <c r="N306" s="5">
        <v>14335.478134989447</v>
      </c>
      <c r="O306" s="5">
        <v>26268.613803794757</v>
      </c>
      <c r="P306" s="5">
        <v>14327.191387816954</v>
      </c>
      <c r="Q306" s="5">
        <v>71213.172792303565</v>
      </c>
      <c r="R306" s="5">
        <v>7201.7586694681067</v>
      </c>
    </row>
    <row r="307" spans="9:18">
      <c r="I307" s="4">
        <v>292</v>
      </c>
      <c r="J307" s="5">
        <v>21888.821432026474</v>
      </c>
      <c r="K307" s="5">
        <v>14611.618478071941</v>
      </c>
      <c r="L307" s="5">
        <v>15759.954187048656</v>
      </c>
      <c r="M307" s="5">
        <v>10451.914120098167</v>
      </c>
      <c r="N307" s="5">
        <v>20583.564383988036</v>
      </c>
      <c r="O307" s="5">
        <v>15936.062371781712</v>
      </c>
      <c r="P307" s="5">
        <v>9811.9720599964548</v>
      </c>
      <c r="Q307" s="5">
        <v>16591.881190929333</v>
      </c>
      <c r="R307" s="5">
        <v>182942.88598316166</v>
      </c>
    </row>
    <row r="308" spans="9:18">
      <c r="I308" s="4">
        <v>293</v>
      </c>
      <c r="J308" s="5">
        <v>14710.037865351254</v>
      </c>
      <c r="K308" s="5">
        <v>13331.01856102917</v>
      </c>
      <c r="L308" s="5">
        <v>13417.453622029931</v>
      </c>
      <c r="M308" s="5">
        <v>18691.941789825862</v>
      </c>
      <c r="N308" s="5">
        <v>36962.805083900916</v>
      </c>
      <c r="O308" s="5">
        <v>24247.516962783076</v>
      </c>
      <c r="P308" s="5">
        <v>17974.179326980211</v>
      </c>
      <c r="Q308" s="5">
        <v>16803.875627203233</v>
      </c>
      <c r="R308" s="5">
        <v>59414.886464347241</v>
      </c>
    </row>
    <row r="309" spans="9:18">
      <c r="I309" s="4">
        <v>294</v>
      </c>
      <c r="J309" s="5">
        <v>14420.293087375476</v>
      </c>
      <c r="K309" s="5">
        <v>53937.689698015136</v>
      </c>
      <c r="L309" s="5">
        <v>25007.552172398639</v>
      </c>
      <c r="M309" s="5">
        <v>21072.983263501868</v>
      </c>
      <c r="N309" s="5">
        <v>26152.705108198839</v>
      </c>
      <c r="O309" s="5">
        <v>6199.3195463515376</v>
      </c>
      <c r="P309" s="5">
        <v>33715.790977629549</v>
      </c>
      <c r="Q309" s="5">
        <v>8880.8074399558282</v>
      </c>
      <c r="R309" s="5">
        <v>10885.018205103002</v>
      </c>
    </row>
    <row r="310" spans="9:18">
      <c r="I310" s="4">
        <v>295</v>
      </c>
      <c r="J310" s="5">
        <v>12035.382213755307</v>
      </c>
      <c r="K310" s="5">
        <v>14579.232378315752</v>
      </c>
      <c r="L310" s="5">
        <v>19224.583269019437</v>
      </c>
      <c r="M310" s="5">
        <v>19262.243095117232</v>
      </c>
      <c r="N310" s="5">
        <v>63974.903847153939</v>
      </c>
      <c r="O310" s="5">
        <v>27503.656957929088</v>
      </c>
      <c r="P310" s="5">
        <v>27820.721938889761</v>
      </c>
      <c r="Q310" s="5">
        <v>16803.875627203233</v>
      </c>
      <c r="R310" s="5">
        <v>24831.679362998926</v>
      </c>
    </row>
    <row r="311" spans="9:18">
      <c r="I311" s="4">
        <v>296</v>
      </c>
      <c r="J311" s="5">
        <v>14076.209333698853</v>
      </c>
      <c r="K311" s="5">
        <v>13719.930466819731</v>
      </c>
      <c r="L311" s="5">
        <v>14691.846656953887</v>
      </c>
      <c r="M311" s="5">
        <v>20185.026038758231</v>
      </c>
      <c r="N311" s="5">
        <v>40377.252444397986</v>
      </c>
      <c r="O311" s="5">
        <v>36759.655306288936</v>
      </c>
      <c r="P311" s="5">
        <v>14773.185437294762</v>
      </c>
      <c r="Q311" s="5">
        <v>4631.7430487757983</v>
      </c>
      <c r="R311" s="5">
        <v>122304.95880137496</v>
      </c>
    </row>
    <row r="312" spans="9:18">
      <c r="I312" s="4">
        <v>297</v>
      </c>
      <c r="J312" s="5">
        <v>11854.381651026555</v>
      </c>
      <c r="K312" s="5">
        <v>22732.797143159998</v>
      </c>
      <c r="L312" s="5">
        <v>14316.474075738101</v>
      </c>
      <c r="M312" s="5">
        <v>11680.747299075838</v>
      </c>
      <c r="N312" s="5">
        <v>24853.247795632611</v>
      </c>
      <c r="O312" s="5">
        <v>19492.655596593511</v>
      </c>
      <c r="P312" s="5">
        <v>40377.463755170742</v>
      </c>
      <c r="Q312" s="5">
        <v>30495.121067047665</v>
      </c>
      <c r="R312" s="5">
        <v>7201.7586694681067</v>
      </c>
    </row>
    <row r="313" spans="9:18">
      <c r="I313" s="4">
        <v>298</v>
      </c>
      <c r="J313" s="5">
        <v>15873.12561080002</v>
      </c>
      <c r="K313" s="5">
        <v>17903.387243834499</v>
      </c>
      <c r="L313" s="5">
        <v>22319.409576580376</v>
      </c>
      <c r="M313" s="5">
        <v>42282.977640783138</v>
      </c>
      <c r="N313" s="5">
        <v>21931.347680292267</v>
      </c>
      <c r="O313" s="5">
        <v>79848.944504816522</v>
      </c>
      <c r="P313" s="5">
        <v>17643.087208586294</v>
      </c>
      <c r="Q313" s="5">
        <v>43417.41805414496</v>
      </c>
      <c r="R313" s="5">
        <v>216919.53009911609</v>
      </c>
    </row>
    <row r="314" spans="9:18">
      <c r="I314" s="4">
        <v>299</v>
      </c>
      <c r="J314" s="5">
        <v>14420.293087375476</v>
      </c>
      <c r="K314" s="5">
        <v>12026.500118162745</v>
      </c>
      <c r="L314" s="5">
        <v>15060.431658965737</v>
      </c>
      <c r="M314" s="5">
        <v>20229.919588372999</v>
      </c>
      <c r="N314" s="5">
        <v>48565.498233359976</v>
      </c>
      <c r="O314" s="5">
        <v>27084.483614751469</v>
      </c>
      <c r="P314" s="5">
        <v>27373.102585108634</v>
      </c>
      <c r="Q314" s="5">
        <v>59134.059519022907</v>
      </c>
      <c r="R314" s="5">
        <v>216919.53009911609</v>
      </c>
    </row>
    <row r="315" spans="9:18">
      <c r="I315" s="4">
        <v>300</v>
      </c>
      <c r="J315" s="5">
        <v>45301.532027110363</v>
      </c>
      <c r="K315" s="5">
        <v>34058.671324159091</v>
      </c>
      <c r="L315" s="5">
        <v>16577.562442697115</v>
      </c>
      <c r="M315" s="5">
        <v>14432.283063351901</v>
      </c>
      <c r="N315" s="5">
        <v>57711.498171893618</v>
      </c>
      <c r="O315" s="5">
        <v>9869.5889207969612</v>
      </c>
      <c r="P315" s="5">
        <v>49519.098753410741</v>
      </c>
      <c r="Q315" s="5">
        <v>71213.172792303565</v>
      </c>
      <c r="R315" s="5">
        <v>17991.870496434763</v>
      </c>
    </row>
    <row r="316" spans="9:18">
      <c r="I316" s="4">
        <v>301</v>
      </c>
      <c r="J316" s="5">
        <v>15064.079707240266</v>
      </c>
      <c r="K316" s="5">
        <v>6949.5708823216592</v>
      </c>
      <c r="L316" s="5">
        <v>20698.842353987733</v>
      </c>
      <c r="M316" s="5">
        <v>19890.009981657669</v>
      </c>
      <c r="N316" s="5">
        <v>51261.622558090799</v>
      </c>
      <c r="O316" s="5">
        <v>6199.3195463515376</v>
      </c>
      <c r="P316" s="5">
        <v>5836.7810663002319</v>
      </c>
      <c r="Q316" s="5">
        <v>42044.890065817184</v>
      </c>
      <c r="R316" s="5">
        <v>24722.972470599001</v>
      </c>
    </row>
    <row r="317" spans="9:18">
      <c r="I317" s="4">
        <v>302</v>
      </c>
      <c r="J317" s="5">
        <v>21717.214093683677</v>
      </c>
      <c r="K317" s="5">
        <v>8124.7965732661823</v>
      </c>
      <c r="L317" s="5">
        <v>13417.453622029931</v>
      </c>
      <c r="M317" s="5">
        <v>18177.175180585615</v>
      </c>
      <c r="N317" s="5">
        <v>21617.945168312468</v>
      </c>
      <c r="O317" s="5">
        <v>33720.545907536376</v>
      </c>
      <c r="P317" s="5">
        <v>55119.366528283317</v>
      </c>
      <c r="Q317" s="5">
        <v>9138.5169630896526</v>
      </c>
      <c r="R317" s="5">
        <v>44707.053087992797</v>
      </c>
    </row>
    <row r="318" spans="9:18">
      <c r="I318" s="4">
        <v>303</v>
      </c>
      <c r="J318" s="5">
        <v>31559.699247539775</v>
      </c>
      <c r="K318" s="5">
        <v>12026.500118162745</v>
      </c>
      <c r="L318" s="5">
        <v>17073.17760523731</v>
      </c>
      <c r="M318" s="5">
        <v>19430.369425783585</v>
      </c>
      <c r="N318" s="5">
        <v>32184.535272543482</v>
      </c>
      <c r="O318" s="5">
        <v>26268.613803794757</v>
      </c>
      <c r="P318" s="5">
        <v>24349.301972630979</v>
      </c>
      <c r="Q318" s="5">
        <v>30266.563414010914</v>
      </c>
      <c r="R318" s="5">
        <v>122304.95880137496</v>
      </c>
    </row>
    <row r="319" spans="9:18">
      <c r="I319" s="4">
        <v>304</v>
      </c>
      <c r="J319" s="5">
        <v>9368.8270679249108</v>
      </c>
      <c r="K319" s="5">
        <v>29672.680843304515</v>
      </c>
      <c r="L319" s="5">
        <v>18379.634651549037</v>
      </c>
      <c r="M319" s="5">
        <v>20550.782384061673</v>
      </c>
      <c r="N319" s="5">
        <v>11684.605182472778</v>
      </c>
      <c r="O319" s="5">
        <v>62082.6862081785</v>
      </c>
      <c r="P319" s="5">
        <v>48123.003747643132</v>
      </c>
      <c r="Q319" s="5">
        <v>42044.890065817184</v>
      </c>
      <c r="R319" s="5">
        <v>31715.273557891396</v>
      </c>
    </row>
    <row r="320" spans="9:18">
      <c r="I320" s="4">
        <v>305</v>
      </c>
      <c r="J320" s="5">
        <v>16416.142496463777</v>
      </c>
      <c r="K320" s="5">
        <v>56656.842992470461</v>
      </c>
      <c r="L320" s="5">
        <v>14649.721476864312</v>
      </c>
      <c r="M320" s="5">
        <v>32497.510405113037</v>
      </c>
      <c r="N320" s="5">
        <v>24853.247795632611</v>
      </c>
      <c r="O320" s="5">
        <v>9869.5889207969612</v>
      </c>
      <c r="P320" s="5">
        <v>6275.8915673055426</v>
      </c>
      <c r="Q320" s="5">
        <v>116445.46783345108</v>
      </c>
      <c r="R320" s="5">
        <v>44707.053087992797</v>
      </c>
    </row>
    <row r="321" spans="9:18">
      <c r="I321" s="4">
        <v>306</v>
      </c>
      <c r="J321" s="5">
        <v>45301.532027110363</v>
      </c>
      <c r="K321" s="5">
        <v>15051.330276415061</v>
      </c>
      <c r="L321" s="5">
        <v>13417.453622029931</v>
      </c>
      <c r="M321" s="5">
        <v>31460.745851561904</v>
      </c>
      <c r="N321" s="5">
        <v>51261.622558090799</v>
      </c>
      <c r="O321" s="5">
        <v>19430.912633256889</v>
      </c>
      <c r="P321" s="5">
        <v>17996.895987204196</v>
      </c>
      <c r="Q321" s="5">
        <v>27789.973552634947</v>
      </c>
      <c r="R321" s="5">
        <v>30571.564004538617</v>
      </c>
    </row>
    <row r="322" spans="9:18">
      <c r="I322" s="4">
        <v>307</v>
      </c>
      <c r="J322" s="5">
        <v>11854.381651026555</v>
      </c>
      <c r="K322" s="5">
        <v>21218.439146892688</v>
      </c>
      <c r="L322" s="5">
        <v>16577.562442697115</v>
      </c>
      <c r="M322" s="5">
        <v>13022.686998540772</v>
      </c>
      <c r="N322" s="5">
        <v>25549.748582175915</v>
      </c>
      <c r="O322" s="5">
        <v>20489.622805425737</v>
      </c>
      <c r="P322" s="5">
        <v>10966.822219855034</v>
      </c>
      <c r="Q322" s="5">
        <v>17153.530968450712</v>
      </c>
      <c r="R322" s="5">
        <v>29295.938844292672</v>
      </c>
    </row>
    <row r="323" spans="9:18">
      <c r="I323" s="4">
        <v>308</v>
      </c>
      <c r="J323" s="5">
        <v>12035.382213755307</v>
      </c>
      <c r="K323" s="5">
        <v>14351.415257675473</v>
      </c>
      <c r="L323" s="5">
        <v>13867.07093008449</v>
      </c>
      <c r="M323" s="5">
        <v>16500.222621933419</v>
      </c>
      <c r="N323" s="5">
        <v>11751.639947035985</v>
      </c>
      <c r="O323" s="5">
        <v>55264.438774006347</v>
      </c>
      <c r="P323" s="5">
        <v>55119.366528283317</v>
      </c>
      <c r="Q323" s="5">
        <v>19541.409060825732</v>
      </c>
      <c r="R323" s="5">
        <v>8105.1944146993656</v>
      </c>
    </row>
    <row r="324" spans="9:18">
      <c r="I324" s="4">
        <v>309</v>
      </c>
      <c r="J324" s="5">
        <v>16016.491239086423</v>
      </c>
      <c r="K324" s="5">
        <v>14095.75230105142</v>
      </c>
      <c r="L324" s="5">
        <v>15832.5469007027</v>
      </c>
      <c r="M324" s="5">
        <v>12619.198742021435</v>
      </c>
      <c r="N324" s="5">
        <v>11604.12831603515</v>
      </c>
      <c r="O324" s="5">
        <v>5444.7598502623823</v>
      </c>
      <c r="P324" s="5">
        <v>13793.886507202402</v>
      </c>
      <c r="Q324" s="5">
        <v>31618.396253255491</v>
      </c>
      <c r="R324" s="5">
        <v>33290.909836056817</v>
      </c>
    </row>
    <row r="325" spans="9:18">
      <c r="I325" s="4">
        <v>310</v>
      </c>
      <c r="J325" s="5">
        <v>14594.990625703947</v>
      </c>
      <c r="K325" s="5">
        <v>18821.113178054162</v>
      </c>
      <c r="L325" s="5">
        <v>18379.634651549037</v>
      </c>
      <c r="M325" s="5">
        <v>14432.283063351901</v>
      </c>
      <c r="N325" s="5">
        <v>15804.474686449519</v>
      </c>
      <c r="O325" s="5">
        <v>62082.6862081785</v>
      </c>
      <c r="P325" s="5">
        <v>24349.301972630979</v>
      </c>
      <c r="Q325" s="5">
        <v>21421.044775857536</v>
      </c>
      <c r="R325" s="5">
        <v>16039.216896723072</v>
      </c>
    </row>
    <row r="326" spans="9:18">
      <c r="I326" s="4">
        <v>311</v>
      </c>
      <c r="J326" s="5">
        <v>11116.191595722205</v>
      </c>
      <c r="K326" s="5">
        <v>35705.595198125673</v>
      </c>
      <c r="L326" s="5">
        <v>18475.258050488967</v>
      </c>
      <c r="M326" s="5">
        <v>19097.39635881727</v>
      </c>
      <c r="N326" s="5">
        <v>19125.360074567652</v>
      </c>
      <c r="O326" s="5">
        <v>28431.436490368542</v>
      </c>
      <c r="P326" s="5">
        <v>10532.667493814919</v>
      </c>
      <c r="Q326" s="5">
        <v>52545.991451361173</v>
      </c>
      <c r="R326" s="5">
        <v>216919.53009911609</v>
      </c>
    </row>
    <row r="327" spans="9:18">
      <c r="I327" s="4">
        <v>312</v>
      </c>
      <c r="J327" s="5">
        <v>16156.372629961115</v>
      </c>
      <c r="K327" s="5">
        <v>21958.925144875713</v>
      </c>
      <c r="L327" s="5">
        <v>17683.765335572589</v>
      </c>
      <c r="M327" s="5">
        <v>20229.919588372999</v>
      </c>
      <c r="N327" s="5">
        <v>27833.630848857778</v>
      </c>
      <c r="O327" s="5">
        <v>14371.728352806511</v>
      </c>
      <c r="P327" s="5">
        <v>28537.545734403488</v>
      </c>
      <c r="Q327" s="5">
        <v>37277.391668005912</v>
      </c>
      <c r="R327" s="5">
        <v>39727.513802035661</v>
      </c>
    </row>
    <row r="328" spans="9:18">
      <c r="I328" s="4">
        <v>313</v>
      </c>
      <c r="J328" s="5">
        <v>12452.764985867625</v>
      </c>
      <c r="K328" s="5">
        <v>14136.873097602549</v>
      </c>
      <c r="L328" s="5">
        <v>15060.431658965737</v>
      </c>
      <c r="M328" s="5">
        <v>10142.860128720422</v>
      </c>
      <c r="N328" s="5">
        <v>11684.605182472778</v>
      </c>
      <c r="O328" s="5">
        <v>40942.522561879181</v>
      </c>
      <c r="P328" s="5">
        <v>27452.975716953504</v>
      </c>
      <c r="Q328" s="5">
        <v>11173.074396969254</v>
      </c>
      <c r="R328" s="5">
        <v>72640.340924600489</v>
      </c>
    </row>
    <row r="329" spans="9:18">
      <c r="I329" s="4">
        <v>314</v>
      </c>
      <c r="J329" s="5">
        <v>28169.050633834027</v>
      </c>
      <c r="K329" s="5">
        <v>16081.362509465702</v>
      </c>
      <c r="L329" s="5">
        <v>15161.007794371622</v>
      </c>
      <c r="M329" s="5">
        <v>11529.920007560097</v>
      </c>
      <c r="N329" s="5">
        <v>11604.12831603515</v>
      </c>
      <c r="O329" s="5">
        <v>59207.798737851255</v>
      </c>
      <c r="P329" s="5">
        <v>63015.124693769802</v>
      </c>
      <c r="Q329" s="5">
        <v>10151.908492905288</v>
      </c>
      <c r="R329" s="5">
        <v>7201.7586694681067</v>
      </c>
    </row>
    <row r="330" spans="9:18">
      <c r="I330" s="4">
        <v>315</v>
      </c>
      <c r="J330" s="5">
        <v>16305.770155972396</v>
      </c>
      <c r="K330" s="5">
        <v>35705.595198125673</v>
      </c>
      <c r="L330" s="5">
        <v>17683.765335572589</v>
      </c>
      <c r="M330" s="5">
        <v>14217.48832834715</v>
      </c>
      <c r="N330" s="5">
        <v>46248.895746171031</v>
      </c>
      <c r="O330" s="5">
        <v>5909.5347260996277</v>
      </c>
      <c r="P330" s="5">
        <v>38771.994792132391</v>
      </c>
      <c r="Q330" s="5">
        <v>4631.7430487757983</v>
      </c>
      <c r="R330" s="5">
        <v>55012.315589742022</v>
      </c>
    </row>
    <row r="331" spans="9:18">
      <c r="I331" s="4">
        <v>316</v>
      </c>
      <c r="J331" s="5">
        <v>22812.564910649318</v>
      </c>
      <c r="K331" s="5">
        <v>11857.447519815871</v>
      </c>
      <c r="L331" s="5">
        <v>15759.954187048656</v>
      </c>
      <c r="M331" s="5">
        <v>12735.841453044006</v>
      </c>
      <c r="N331" s="5">
        <v>22868.569282757788</v>
      </c>
      <c r="O331" s="5">
        <v>10746.295275180995</v>
      </c>
      <c r="P331" s="5">
        <v>44816.412248582856</v>
      </c>
      <c r="Q331" s="5">
        <v>11173.074396969254</v>
      </c>
      <c r="R331" s="5">
        <v>87776.138236389699</v>
      </c>
    </row>
    <row r="332" spans="9:18">
      <c r="I332" s="4">
        <v>317</v>
      </c>
      <c r="J332" s="5">
        <v>18650.249281571734</v>
      </c>
      <c r="K332" s="5">
        <v>35488.449387009874</v>
      </c>
      <c r="L332" s="5">
        <v>14042.41908879921</v>
      </c>
      <c r="M332" s="5">
        <v>20041.623430301417</v>
      </c>
      <c r="N332" s="5">
        <v>45581.602064432409</v>
      </c>
      <c r="O332" s="5">
        <v>11282.178219986479</v>
      </c>
      <c r="P332" s="5">
        <v>95486.196907583406</v>
      </c>
      <c r="Q332" s="5">
        <v>11173.074396969254</v>
      </c>
      <c r="R332" s="5">
        <v>181970.23111012415</v>
      </c>
    </row>
    <row r="333" spans="9:18">
      <c r="I333" s="4">
        <v>318</v>
      </c>
      <c r="J333" s="5">
        <v>16733.020222212988</v>
      </c>
      <c r="K333" s="5">
        <v>21187.174639714212</v>
      </c>
      <c r="L333" s="5">
        <v>17578.712723867691</v>
      </c>
      <c r="M333" s="5">
        <v>19042.78605337895</v>
      </c>
      <c r="N333" s="5">
        <v>46248.895746171031</v>
      </c>
      <c r="O333" s="5">
        <v>19492.655596593511</v>
      </c>
      <c r="P333" s="5">
        <v>63015.124693769802</v>
      </c>
      <c r="Q333" s="5">
        <v>31902.904306425251</v>
      </c>
      <c r="R333" s="5">
        <v>19133.693426869788</v>
      </c>
    </row>
    <row r="334" spans="9:18">
      <c r="I334" s="4">
        <v>319</v>
      </c>
      <c r="J334" s="5">
        <v>16156.372629961115</v>
      </c>
      <c r="K334" s="5">
        <v>95171.967522309933</v>
      </c>
      <c r="L334" s="5">
        <v>15746.942257105531</v>
      </c>
      <c r="M334" s="5">
        <v>37411.178129764201</v>
      </c>
      <c r="N334" s="5">
        <v>24769.339976495565</v>
      </c>
      <c r="O334" s="5">
        <v>49114.195066822271</v>
      </c>
      <c r="P334" s="5">
        <v>54292.749740228588</v>
      </c>
      <c r="Q334" s="5">
        <v>19315.033835554255</v>
      </c>
      <c r="R334" s="5">
        <v>20303.08745527079</v>
      </c>
    </row>
    <row r="335" spans="9:18">
      <c r="I335" s="4">
        <v>320</v>
      </c>
      <c r="J335" s="5">
        <v>17592.832480262863</v>
      </c>
      <c r="K335" s="5">
        <v>14854.898507619706</v>
      </c>
      <c r="L335" s="5">
        <v>13358.459356674217</v>
      </c>
      <c r="M335" s="5">
        <v>24981.974172352908</v>
      </c>
      <c r="N335" s="5">
        <v>23746.795665493762</v>
      </c>
      <c r="O335" s="5">
        <v>20930.098352661731</v>
      </c>
      <c r="P335" s="5">
        <v>55152.110177667731</v>
      </c>
      <c r="Q335" s="5">
        <v>70295.978314632754</v>
      </c>
      <c r="R335" s="5">
        <v>29295.938844292672</v>
      </c>
    </row>
    <row r="336" spans="9:18">
      <c r="I336" s="4">
        <v>321</v>
      </c>
      <c r="J336" s="5">
        <v>28169.050633834027</v>
      </c>
      <c r="K336" s="5">
        <v>11558.357574452555</v>
      </c>
      <c r="L336" s="5">
        <v>16472.138192556791</v>
      </c>
      <c r="M336" s="5">
        <v>19151.339770278159</v>
      </c>
      <c r="N336" s="5">
        <v>23043.345403059295</v>
      </c>
      <c r="O336" s="5">
        <v>16524.769946939996</v>
      </c>
      <c r="P336" s="5">
        <v>46514.467673254068</v>
      </c>
      <c r="Q336" s="5">
        <v>18097.768262249352</v>
      </c>
      <c r="R336" s="5">
        <v>7879.038918914337</v>
      </c>
    </row>
    <row r="337" spans="9:18">
      <c r="I337" s="4">
        <v>322</v>
      </c>
      <c r="J337" s="5">
        <v>28214.771032351968</v>
      </c>
      <c r="K337" s="5">
        <v>16273.14570113692</v>
      </c>
      <c r="L337" s="5">
        <v>16451.333928028147</v>
      </c>
      <c r="M337" s="5">
        <v>16500.222621933419</v>
      </c>
      <c r="N337" s="5">
        <v>18410.937863650517</v>
      </c>
      <c r="O337" s="5">
        <v>53028.643350899503</v>
      </c>
      <c r="P337" s="5">
        <v>27452.975716953504</v>
      </c>
      <c r="Q337" s="5">
        <v>92068.726035424203</v>
      </c>
      <c r="R337" s="5">
        <v>41056.152565483346</v>
      </c>
    </row>
    <row r="338" spans="9:18">
      <c r="I338" s="4">
        <v>323</v>
      </c>
      <c r="J338" s="5">
        <v>15648.665245032147</v>
      </c>
      <c r="K338" s="5">
        <v>6949.5708823216592</v>
      </c>
      <c r="L338" s="5">
        <v>17311.244744664215</v>
      </c>
      <c r="M338" s="5">
        <v>23908.621352410395</v>
      </c>
      <c r="N338" s="5">
        <v>11751.639947035985</v>
      </c>
      <c r="O338" s="5">
        <v>25802.481365323994</v>
      </c>
      <c r="P338" s="5">
        <v>33500.490132682797</v>
      </c>
      <c r="Q338" s="5">
        <v>7349.2234634219121</v>
      </c>
      <c r="R338" s="5">
        <v>44707.053087992797</v>
      </c>
    </row>
    <row r="339" spans="9:18">
      <c r="I339" s="4">
        <v>324</v>
      </c>
      <c r="J339" s="5">
        <v>13595.404057849493</v>
      </c>
      <c r="K339" s="5">
        <v>35705.595198125673</v>
      </c>
      <c r="L339" s="5">
        <v>11827.803406885578</v>
      </c>
      <c r="M339" s="5">
        <v>23454.775510296178</v>
      </c>
      <c r="N339" s="5">
        <v>14921.795973817481</v>
      </c>
      <c r="O339" s="5">
        <v>53028.643350899503</v>
      </c>
      <c r="P339" s="5">
        <v>25258.981945036445</v>
      </c>
      <c r="Q339" s="5">
        <v>11928.872068442162</v>
      </c>
      <c r="R339" s="5">
        <v>55012.315589742022</v>
      </c>
    </row>
    <row r="340" spans="9:18">
      <c r="I340" s="4">
        <v>325</v>
      </c>
      <c r="J340" s="5">
        <v>34933.039312618188</v>
      </c>
      <c r="K340" s="5">
        <v>14095.75230105142</v>
      </c>
      <c r="L340" s="5">
        <v>18810.091753970282</v>
      </c>
      <c r="M340" s="5">
        <v>23449.501569180404</v>
      </c>
      <c r="N340" s="5">
        <v>36962.805083900916</v>
      </c>
      <c r="O340" s="5">
        <v>27195.510785031525</v>
      </c>
      <c r="P340" s="5">
        <v>9482.0186426688688</v>
      </c>
      <c r="Q340" s="5">
        <v>3272.4685014937832</v>
      </c>
      <c r="R340" s="5">
        <v>12116.34255245842</v>
      </c>
    </row>
    <row r="341" spans="9:18">
      <c r="I341" s="4">
        <v>326</v>
      </c>
      <c r="J341" s="5">
        <v>18650.249281571734</v>
      </c>
      <c r="K341" s="5">
        <v>21218.439146892688</v>
      </c>
      <c r="L341" s="5">
        <v>22319.409576580376</v>
      </c>
      <c r="M341" s="5">
        <v>13011.820191946215</v>
      </c>
      <c r="N341" s="5">
        <v>12592.300437162297</v>
      </c>
      <c r="O341" s="5">
        <v>24369.28567093279</v>
      </c>
      <c r="P341" s="5">
        <v>46514.467673254068</v>
      </c>
      <c r="Q341" s="5">
        <v>18097.768262249352</v>
      </c>
      <c r="R341" s="5">
        <v>19133.693426869788</v>
      </c>
    </row>
    <row r="342" spans="9:18">
      <c r="I342" s="4">
        <v>327</v>
      </c>
      <c r="J342" s="5">
        <v>73074.062486361407</v>
      </c>
      <c r="K342" s="5">
        <v>12777.667398488715</v>
      </c>
      <c r="L342" s="5">
        <v>22162.138529251199</v>
      </c>
      <c r="M342" s="5">
        <v>16500.222621933419</v>
      </c>
      <c r="N342" s="5">
        <v>20583.564383988036</v>
      </c>
      <c r="O342" s="5">
        <v>14371.728352806511</v>
      </c>
      <c r="P342" s="5">
        <v>74840.036182179319</v>
      </c>
      <c r="Q342" s="5">
        <v>3909.239690544402</v>
      </c>
      <c r="R342" s="5">
        <v>31715.273557891396</v>
      </c>
    </row>
    <row r="343" spans="9:18">
      <c r="I343" s="4">
        <v>328</v>
      </c>
      <c r="J343" s="5">
        <v>31053.540961463306</v>
      </c>
      <c r="K343" s="5">
        <v>61827.107730316675</v>
      </c>
      <c r="L343" s="5">
        <v>22319.409576580376</v>
      </c>
      <c r="M343" s="5">
        <v>20229.919588372999</v>
      </c>
      <c r="N343" s="5">
        <v>11251.634703629026</v>
      </c>
      <c r="O343" s="5">
        <v>16826.763259351828</v>
      </c>
      <c r="P343" s="5">
        <v>83536.241167211992</v>
      </c>
      <c r="Q343" s="5">
        <v>48866.209623168346</v>
      </c>
      <c r="R343" s="5">
        <v>39788.288251916689</v>
      </c>
    </row>
    <row r="344" spans="9:18">
      <c r="I344" s="4">
        <v>329</v>
      </c>
      <c r="J344" s="5">
        <v>14594.990625703947</v>
      </c>
      <c r="K344" s="5">
        <v>14878.52734402675</v>
      </c>
      <c r="L344" s="5">
        <v>15651.346103181355</v>
      </c>
      <c r="M344" s="5">
        <v>21913.431401527439</v>
      </c>
      <c r="N344" s="5">
        <v>21909.120225822895</v>
      </c>
      <c r="O344" s="5">
        <v>67717.30633712461</v>
      </c>
      <c r="P344" s="5">
        <v>63015.124693769802</v>
      </c>
      <c r="Q344" s="5">
        <v>13099.063525342741</v>
      </c>
      <c r="R344" s="5">
        <v>261393.32711858812</v>
      </c>
    </row>
    <row r="345" spans="9:18">
      <c r="I345" s="4">
        <v>330</v>
      </c>
      <c r="J345" s="5">
        <v>14420.293087375476</v>
      </c>
      <c r="K345" s="5">
        <v>95171.967522309933</v>
      </c>
      <c r="L345" s="5">
        <v>19224.583269019437</v>
      </c>
      <c r="M345" s="5">
        <v>12934.591863415189</v>
      </c>
      <c r="N345" s="5">
        <v>22868.569282757788</v>
      </c>
      <c r="O345" s="5">
        <v>8801.3667015774663</v>
      </c>
      <c r="P345" s="5">
        <v>54100.778483493887</v>
      </c>
      <c r="Q345" s="5">
        <v>19541.409060825732</v>
      </c>
      <c r="R345" s="5">
        <v>39263.770877572199</v>
      </c>
    </row>
    <row r="346" spans="9:18">
      <c r="I346" s="4">
        <v>331</v>
      </c>
      <c r="J346" s="5">
        <v>19048.674633640545</v>
      </c>
      <c r="K346" s="5">
        <v>15768.312122029349</v>
      </c>
      <c r="L346" s="5">
        <v>13358.459356674217</v>
      </c>
      <c r="M346" s="5">
        <v>17349.963215818931</v>
      </c>
      <c r="N346" s="5">
        <v>51261.622558090799</v>
      </c>
      <c r="O346" s="5">
        <v>16572.483389649329</v>
      </c>
      <c r="P346" s="5">
        <v>54292.749740228588</v>
      </c>
      <c r="Q346" s="5">
        <v>53055.59182561023</v>
      </c>
      <c r="R346" s="5">
        <v>6360.7905155660001</v>
      </c>
    </row>
    <row r="347" spans="9:18">
      <c r="I347" s="4">
        <v>332</v>
      </c>
      <c r="J347" s="5">
        <v>16733.020222212988</v>
      </c>
      <c r="K347" s="5">
        <v>15768.312122029349</v>
      </c>
      <c r="L347" s="5">
        <v>14042.41908879921</v>
      </c>
      <c r="M347" s="5">
        <v>29058.117767351498</v>
      </c>
      <c r="N347" s="5">
        <v>9209.4418830788036</v>
      </c>
      <c r="O347" s="5">
        <v>4231.3144655921506</v>
      </c>
      <c r="P347" s="5">
        <v>9482.0186426688688</v>
      </c>
      <c r="Q347" s="5">
        <v>18097.768262249352</v>
      </c>
      <c r="R347" s="5">
        <v>91403.228438796665</v>
      </c>
    </row>
    <row r="348" spans="9:18">
      <c r="I348" s="4">
        <v>333</v>
      </c>
      <c r="J348" s="5">
        <v>14344.692898101612</v>
      </c>
      <c r="K348" s="5">
        <v>14878.52734402675</v>
      </c>
      <c r="L348" s="5">
        <v>15746.942257105531</v>
      </c>
      <c r="M348" s="5">
        <v>21833.004790208965</v>
      </c>
      <c r="N348" s="5">
        <v>19125.360074567652</v>
      </c>
      <c r="O348" s="5">
        <v>32474.063027682765</v>
      </c>
      <c r="P348" s="5">
        <v>10966.822219855034</v>
      </c>
      <c r="Q348" s="5">
        <v>3272.4685014937832</v>
      </c>
      <c r="R348" s="5">
        <v>39263.770877572199</v>
      </c>
    </row>
    <row r="349" spans="9:18">
      <c r="I349" s="4">
        <v>334</v>
      </c>
      <c r="J349" s="5">
        <v>16156.372629961115</v>
      </c>
      <c r="K349" s="5">
        <v>14351.415257675473</v>
      </c>
      <c r="L349" s="5">
        <v>16955.349467865559</v>
      </c>
      <c r="M349" s="5">
        <v>23913.435663027711</v>
      </c>
      <c r="N349" s="5">
        <v>20583.564383988036</v>
      </c>
      <c r="O349" s="5">
        <v>10746.295275180995</v>
      </c>
      <c r="P349" s="5">
        <v>12790.85158217316</v>
      </c>
      <c r="Q349" s="5">
        <v>8832.660767995616</v>
      </c>
      <c r="R349" s="5">
        <v>9913.4206865238284</v>
      </c>
    </row>
    <row r="350" spans="9:18">
      <c r="I350" s="4">
        <v>335</v>
      </c>
      <c r="J350" s="5">
        <v>11854.381651026555</v>
      </c>
      <c r="K350" s="5">
        <v>21527.93129974293</v>
      </c>
      <c r="L350" s="5">
        <v>13417.453622029931</v>
      </c>
      <c r="M350" s="5">
        <v>12987.517521908694</v>
      </c>
      <c r="N350" s="5">
        <v>13745.376566850549</v>
      </c>
      <c r="O350" s="5">
        <v>20991.103410982985</v>
      </c>
      <c r="P350" s="5">
        <v>66904.018529955298</v>
      </c>
      <c r="Q350" s="5">
        <v>52421.574537857021</v>
      </c>
      <c r="R350" s="5">
        <v>3311.4906988006405</v>
      </c>
    </row>
    <row r="351" spans="9:18">
      <c r="I351" s="4">
        <v>336</v>
      </c>
      <c r="J351" s="5">
        <v>14741.240040396578</v>
      </c>
      <c r="K351" s="5">
        <v>23327.217259521742</v>
      </c>
      <c r="L351" s="5">
        <v>13358.459356674217</v>
      </c>
      <c r="M351" s="5">
        <v>29058.117767351498</v>
      </c>
      <c r="N351" s="5">
        <v>21933.097106966918</v>
      </c>
      <c r="O351" s="5">
        <v>35286.662852302201</v>
      </c>
      <c r="P351" s="5">
        <v>14327.191387816954</v>
      </c>
      <c r="Q351" s="5">
        <v>12253.299944531094</v>
      </c>
      <c r="R351" s="5">
        <v>8720.6503563381029</v>
      </c>
    </row>
    <row r="352" spans="9:18">
      <c r="I352" s="4">
        <v>337</v>
      </c>
      <c r="J352" s="5">
        <v>15623.733864199699</v>
      </c>
      <c r="K352" s="5">
        <v>16934.093371663999</v>
      </c>
      <c r="L352" s="5">
        <v>14344.859750762502</v>
      </c>
      <c r="M352" s="5">
        <v>21913.431401527439</v>
      </c>
      <c r="N352" s="5">
        <v>63974.903847153939</v>
      </c>
      <c r="O352" s="5">
        <v>9956.4031238965053</v>
      </c>
      <c r="P352" s="5">
        <v>32155.527541400057</v>
      </c>
      <c r="Q352" s="5">
        <v>52421.574537857021</v>
      </c>
      <c r="R352" s="5">
        <v>1535.701520095213</v>
      </c>
    </row>
    <row r="353" spans="9:18">
      <c r="I353" s="4">
        <v>338</v>
      </c>
      <c r="J353" s="5">
        <v>11854.381651026555</v>
      </c>
      <c r="K353" s="5">
        <v>21187.174639714212</v>
      </c>
      <c r="L353" s="5">
        <v>14364.472927446199</v>
      </c>
      <c r="M353" s="5">
        <v>18043.539897080744</v>
      </c>
      <c r="N353" s="5">
        <v>11788.341482962171</v>
      </c>
      <c r="O353" s="5">
        <v>14371.728352806511</v>
      </c>
      <c r="P353" s="5">
        <v>9047.5556949992188</v>
      </c>
      <c r="Q353" s="5">
        <v>31019.493883163672</v>
      </c>
      <c r="R353" s="5">
        <v>2180.6148629084787</v>
      </c>
    </row>
    <row r="354" spans="9:18">
      <c r="I354" s="4">
        <v>339</v>
      </c>
      <c r="J354" s="5">
        <v>14671.176405938595</v>
      </c>
      <c r="K354" s="5">
        <v>21187.174639714212</v>
      </c>
      <c r="L354" s="5">
        <v>14811.370758813007</v>
      </c>
      <c r="M354" s="5">
        <v>30830.81083227017</v>
      </c>
      <c r="N354" s="5">
        <v>32184.535272543482</v>
      </c>
      <c r="O354" s="5">
        <v>10746.295275180995</v>
      </c>
      <c r="P354" s="5">
        <v>66904.018529955298</v>
      </c>
      <c r="Q354" s="5">
        <v>13099.063525342741</v>
      </c>
      <c r="R354" s="5">
        <v>13258.538726001538</v>
      </c>
    </row>
    <row r="355" spans="9:18">
      <c r="I355" s="4">
        <v>340</v>
      </c>
      <c r="J355" s="5">
        <v>14960.076233580705</v>
      </c>
      <c r="K355" s="5">
        <v>23934.551191616061</v>
      </c>
      <c r="L355" s="5">
        <v>18602.881797624486</v>
      </c>
      <c r="M355" s="5">
        <v>41403.687663920646</v>
      </c>
      <c r="N355" s="5">
        <v>21009.255892677338</v>
      </c>
      <c r="O355" s="5">
        <v>77417.02098927302</v>
      </c>
      <c r="P355" s="5">
        <v>48123.003747643132</v>
      </c>
      <c r="Q355" s="5">
        <v>17153.530968450712</v>
      </c>
      <c r="R355" s="5">
        <v>7784.2246210242874</v>
      </c>
    </row>
    <row r="356" spans="9:18">
      <c r="I356" s="4">
        <v>341</v>
      </c>
      <c r="J356" s="5">
        <v>17005.744061105343</v>
      </c>
      <c r="K356" s="5">
        <v>35705.595198125673</v>
      </c>
      <c r="L356" s="5">
        <v>18602.881797624486</v>
      </c>
      <c r="M356" s="5">
        <v>17116.951435661951</v>
      </c>
      <c r="N356" s="5">
        <v>26152.705108198839</v>
      </c>
      <c r="O356" s="5">
        <v>30876.675913171162</v>
      </c>
      <c r="P356" s="5">
        <v>21039.927746191301</v>
      </c>
      <c r="Q356" s="5">
        <v>44911.749632594299</v>
      </c>
      <c r="R356" s="5">
        <v>46004.399892616471</v>
      </c>
    </row>
    <row r="357" spans="9:18">
      <c r="I357" s="4">
        <v>342</v>
      </c>
      <c r="J357" s="5">
        <v>16733.020222212988</v>
      </c>
      <c r="K357" s="5">
        <v>8124.7965732661823</v>
      </c>
      <c r="L357" s="5">
        <v>19224.583269019437</v>
      </c>
      <c r="M357" s="5">
        <v>13022.686998540772</v>
      </c>
      <c r="N357" s="5">
        <v>18410.937863650517</v>
      </c>
      <c r="O357" s="5">
        <v>94068.324736096256</v>
      </c>
      <c r="P357" s="5">
        <v>10733.318076105543</v>
      </c>
      <c r="Q357" s="5">
        <v>48866.209623168346</v>
      </c>
      <c r="R357" s="5">
        <v>26783.439354489365</v>
      </c>
    </row>
    <row r="358" spans="9:18">
      <c r="I358" s="4">
        <v>343</v>
      </c>
      <c r="J358" s="5">
        <v>13918.242013140338</v>
      </c>
      <c r="K358" s="5">
        <v>18821.113178054162</v>
      </c>
      <c r="L358" s="5">
        <v>21725.131459372977</v>
      </c>
      <c r="M358" s="5">
        <v>33862.836621974391</v>
      </c>
      <c r="N358" s="5">
        <v>11952.903761138405</v>
      </c>
      <c r="O358" s="5">
        <v>16826.763259351828</v>
      </c>
      <c r="P358" s="5">
        <v>54923.423457863879</v>
      </c>
      <c r="Q358" s="5">
        <v>28567.61306643406</v>
      </c>
      <c r="R358" s="5">
        <v>302760.11878714536</v>
      </c>
    </row>
    <row r="359" spans="9:18">
      <c r="I359" s="4">
        <v>344</v>
      </c>
      <c r="J359" s="5">
        <v>14344.692898101612</v>
      </c>
      <c r="K359" s="5">
        <v>13652.224205833634</v>
      </c>
      <c r="L359" s="5">
        <v>14146.191653372813</v>
      </c>
      <c r="M359" s="5">
        <v>41403.687663920646</v>
      </c>
      <c r="N359" s="5">
        <v>17214.078970533748</v>
      </c>
      <c r="O359" s="5">
        <v>83458.030763693328</v>
      </c>
      <c r="P359" s="5">
        <v>9826.8369575407578</v>
      </c>
      <c r="Q359" s="5">
        <v>59964.86015574776</v>
      </c>
      <c r="R359" s="5">
        <v>181970.23111012415</v>
      </c>
    </row>
    <row r="360" spans="9:18">
      <c r="I360" s="4">
        <v>345</v>
      </c>
      <c r="J360" s="5">
        <v>8580.4413740966302</v>
      </c>
      <c r="K360" s="5">
        <v>32073.547537933715</v>
      </c>
      <c r="L360" s="5">
        <v>21954.536591034263</v>
      </c>
      <c r="M360" s="5">
        <v>12934.591863415189</v>
      </c>
      <c r="N360" s="5">
        <v>16581.915858379376</v>
      </c>
      <c r="O360" s="5">
        <v>26268.613803794757</v>
      </c>
      <c r="P360" s="5">
        <v>21933.779100635442</v>
      </c>
      <c r="Q360" s="5">
        <v>79566.621912742485</v>
      </c>
      <c r="R360" s="5">
        <v>44707.053087992797</v>
      </c>
    </row>
    <row r="361" spans="9:18">
      <c r="I361" s="4">
        <v>346</v>
      </c>
      <c r="J361" s="5">
        <v>15554.996700302558</v>
      </c>
      <c r="K361" s="5">
        <v>8124.7965732661823</v>
      </c>
      <c r="L361" s="5">
        <v>11827.803406885578</v>
      </c>
      <c r="M361" s="5">
        <v>36301.422888051464</v>
      </c>
      <c r="N361" s="5">
        <v>41563.89847100406</v>
      </c>
      <c r="O361" s="5">
        <v>27508.313315384185</v>
      </c>
      <c r="P361" s="5">
        <v>66904.018529955298</v>
      </c>
      <c r="Q361" s="5">
        <v>9796.0979856104404</v>
      </c>
      <c r="R361" s="5">
        <v>91403.228438796665</v>
      </c>
    </row>
    <row r="362" spans="9:18">
      <c r="I362" s="4">
        <v>347</v>
      </c>
      <c r="J362" s="5">
        <v>22812.564910649318</v>
      </c>
      <c r="K362" s="5">
        <v>14095.75230105142</v>
      </c>
      <c r="L362" s="5">
        <v>14811.370758813007</v>
      </c>
      <c r="M362" s="5">
        <v>14660.631931099009</v>
      </c>
      <c r="N362" s="5">
        <v>22010.718648995869</v>
      </c>
      <c r="O362" s="5">
        <v>27195.510785031525</v>
      </c>
      <c r="P362" s="5">
        <v>9965.8330787532959</v>
      </c>
      <c r="Q362" s="5">
        <v>22145.301831504508</v>
      </c>
      <c r="R362" s="5">
        <v>12130.167062525341</v>
      </c>
    </row>
    <row r="363" spans="9:18">
      <c r="I363" s="4">
        <v>348</v>
      </c>
      <c r="J363" s="5">
        <v>21150.169973104224</v>
      </c>
      <c r="K363" s="5">
        <v>95171.967522309933</v>
      </c>
      <c r="L363" s="5">
        <v>21725.131459372977</v>
      </c>
      <c r="M363" s="5">
        <v>13616.35938654862</v>
      </c>
      <c r="N363" s="5">
        <v>11684.605182472778</v>
      </c>
      <c r="O363" s="5">
        <v>4231.3144655921506</v>
      </c>
      <c r="P363" s="5">
        <v>54100.778483493887</v>
      </c>
      <c r="Q363" s="5">
        <v>43417.41805414496</v>
      </c>
      <c r="R363" s="5">
        <v>13258.538726001538</v>
      </c>
    </row>
    <row r="364" spans="9:18">
      <c r="I364" s="4">
        <v>349</v>
      </c>
      <c r="J364" s="5">
        <v>29760.443016608337</v>
      </c>
      <c r="K364" s="5">
        <v>14136.873097602549</v>
      </c>
      <c r="L364" s="5">
        <v>14146.191653372813</v>
      </c>
      <c r="M364" s="5">
        <v>36301.422888051464</v>
      </c>
      <c r="N364" s="5">
        <v>13745.376566850549</v>
      </c>
      <c r="O364" s="5">
        <v>20991.103410982985</v>
      </c>
      <c r="P364" s="5">
        <v>22601.57564624758</v>
      </c>
      <c r="Q364" s="5">
        <v>30266.563414010914</v>
      </c>
      <c r="R364" s="5">
        <v>182942.88598316166</v>
      </c>
    </row>
    <row r="365" spans="9:18">
      <c r="I365" s="4">
        <v>350</v>
      </c>
      <c r="J365" s="5">
        <v>28590.354879265724</v>
      </c>
      <c r="K365" s="5">
        <v>13288.692555879701</v>
      </c>
      <c r="L365" s="5">
        <v>16472.138192556791</v>
      </c>
      <c r="M365" s="5">
        <v>10111.451009425113</v>
      </c>
      <c r="N365" s="5">
        <v>21909.120225822895</v>
      </c>
      <c r="O365" s="5">
        <v>94068.324736096256</v>
      </c>
      <c r="P365" s="5">
        <v>54292.749740228588</v>
      </c>
      <c r="Q365" s="5">
        <v>8880.8074399558282</v>
      </c>
      <c r="R365" s="5">
        <v>26783.439354489365</v>
      </c>
    </row>
    <row r="366" spans="9:18">
      <c r="I366" s="4">
        <v>351</v>
      </c>
      <c r="J366" s="5">
        <v>16088.430030489333</v>
      </c>
      <c r="K366" s="5">
        <v>11403.533194020869</v>
      </c>
      <c r="L366" s="5">
        <v>22412.045018675239</v>
      </c>
      <c r="M366" s="5">
        <v>19795.661011456152</v>
      </c>
      <c r="N366" s="5">
        <v>25549.748582175915</v>
      </c>
      <c r="O366" s="5">
        <v>21930.527973988665</v>
      </c>
      <c r="P366" s="5">
        <v>9482.0186426688688</v>
      </c>
      <c r="Q366" s="5">
        <v>13214.632802255031</v>
      </c>
      <c r="R366" s="5">
        <v>26783.439354489365</v>
      </c>
    </row>
    <row r="367" spans="9:18">
      <c r="I367" s="4">
        <v>352</v>
      </c>
      <c r="J367" s="5">
        <v>14710.037865351254</v>
      </c>
      <c r="K367" s="5">
        <v>21187.174639714212</v>
      </c>
      <c r="L367" s="5">
        <v>15923.549351835489</v>
      </c>
      <c r="M367" s="5">
        <v>22815.60259636537</v>
      </c>
      <c r="N367" s="5">
        <v>17811.114014514766</v>
      </c>
      <c r="O367" s="5">
        <v>32474.063027682765</v>
      </c>
      <c r="P367" s="5">
        <v>9047.5556949992188</v>
      </c>
      <c r="Q367" s="5">
        <v>47365.380972950254</v>
      </c>
      <c r="R367" s="5">
        <v>6360.7905155660001</v>
      </c>
    </row>
    <row r="368" spans="9:18">
      <c r="I368" s="4">
        <v>353</v>
      </c>
      <c r="J368" s="5">
        <v>14749.343145806102</v>
      </c>
      <c r="K368" s="5">
        <v>17128.860847126922</v>
      </c>
      <c r="L368" s="5">
        <v>17683.765335572589</v>
      </c>
      <c r="M368" s="5">
        <v>21272.00214469912</v>
      </c>
      <c r="N368" s="5">
        <v>15658.063692994532</v>
      </c>
      <c r="O368" s="5">
        <v>10746.295275180995</v>
      </c>
      <c r="P368" s="5">
        <v>32155.527541400057</v>
      </c>
      <c r="Q368" s="5">
        <v>22895.455950885695</v>
      </c>
      <c r="R368" s="5">
        <v>12116.34255245842</v>
      </c>
    </row>
    <row r="369" spans="9:18">
      <c r="I369" s="4">
        <v>354</v>
      </c>
      <c r="J369" s="5">
        <v>11116.191595722205</v>
      </c>
      <c r="K369" s="5">
        <v>9769.3659785458403</v>
      </c>
      <c r="L369" s="5">
        <v>14811.370758813007</v>
      </c>
      <c r="M369" s="5">
        <v>19890.009981657669</v>
      </c>
      <c r="N369" s="5">
        <v>19125.360074567652</v>
      </c>
      <c r="O369" s="5">
        <v>53504.725169095313</v>
      </c>
      <c r="P369" s="5">
        <v>9826.8369575407578</v>
      </c>
      <c r="Q369" s="5">
        <v>37073.980790337926</v>
      </c>
      <c r="R369" s="5">
        <v>7394.6358885760465</v>
      </c>
    </row>
    <row r="370" spans="9:18">
      <c r="I370" s="4">
        <v>355</v>
      </c>
      <c r="J370" s="5">
        <v>33627.941293959229</v>
      </c>
      <c r="K370" s="5">
        <v>95171.967522309933</v>
      </c>
      <c r="L370" s="5">
        <v>23561.450544884348</v>
      </c>
      <c r="M370" s="5">
        <v>12426.949970383979</v>
      </c>
      <c r="N370" s="5">
        <v>11684.605182472778</v>
      </c>
      <c r="O370" s="5">
        <v>26268.613803794757</v>
      </c>
      <c r="P370" s="5">
        <v>22708.601480587709</v>
      </c>
      <c r="Q370" s="5">
        <v>31974.553851773013</v>
      </c>
      <c r="R370" s="5">
        <v>20236.767651156802</v>
      </c>
    </row>
    <row r="371" spans="9:18">
      <c r="I371" s="4">
        <v>356</v>
      </c>
      <c r="J371" s="5">
        <v>15352.465904292809</v>
      </c>
      <c r="K371" s="5">
        <v>16605.655749562578</v>
      </c>
      <c r="L371" s="5">
        <v>16472.138192556791</v>
      </c>
      <c r="M371" s="5">
        <v>23515.935489506261</v>
      </c>
      <c r="N371" s="5">
        <v>16418.492928415813</v>
      </c>
      <c r="O371" s="5">
        <v>10738.305003664611</v>
      </c>
      <c r="P371" s="5">
        <v>33500.490132682797</v>
      </c>
      <c r="Q371" s="5">
        <v>129470.11441833655</v>
      </c>
      <c r="R371" s="5">
        <v>3433.6677391851467</v>
      </c>
    </row>
    <row r="372" spans="9:18">
      <c r="I372" s="4">
        <v>357</v>
      </c>
      <c r="J372" s="5">
        <v>15648.665245032147</v>
      </c>
      <c r="K372" s="5">
        <v>18218.584572172625</v>
      </c>
      <c r="L372" s="5">
        <v>16955.349467865559</v>
      </c>
      <c r="M372" s="5">
        <v>21072.983263501868</v>
      </c>
      <c r="N372" s="5">
        <v>57711.498171893618</v>
      </c>
      <c r="O372" s="5">
        <v>10738.305003664611</v>
      </c>
      <c r="P372" s="5">
        <v>66904.018529955298</v>
      </c>
      <c r="Q372" s="5">
        <v>30266.563414010914</v>
      </c>
      <c r="R372" s="5">
        <v>182942.88598316166</v>
      </c>
    </row>
    <row r="373" spans="9:18">
      <c r="I373" s="4">
        <v>358</v>
      </c>
      <c r="J373" s="5">
        <v>12056.41843703942</v>
      </c>
      <c r="K373" s="5">
        <v>22732.797143159998</v>
      </c>
      <c r="L373" s="5">
        <v>22319.409576580376</v>
      </c>
      <c r="M373" s="5">
        <v>13642.678686731051</v>
      </c>
      <c r="N373" s="5">
        <v>11251.634703629026</v>
      </c>
      <c r="O373" s="5">
        <v>16505.600261180331</v>
      </c>
      <c r="P373" s="5">
        <v>38771.994792132391</v>
      </c>
      <c r="Q373" s="5">
        <v>28797.29222718185</v>
      </c>
      <c r="R373" s="5">
        <v>55106.806585409526</v>
      </c>
    </row>
    <row r="374" spans="9:18">
      <c r="I374" s="4">
        <v>359</v>
      </c>
      <c r="J374" s="5">
        <v>19048.674633640545</v>
      </c>
      <c r="K374" s="5">
        <v>15631.937142257386</v>
      </c>
      <c r="L374" s="5">
        <v>17693.864646288712</v>
      </c>
      <c r="M374" s="5">
        <v>16881.579299055</v>
      </c>
      <c r="N374" s="5">
        <v>17214.078970533748</v>
      </c>
      <c r="O374" s="5">
        <v>79848.944504816522</v>
      </c>
      <c r="P374" s="5">
        <v>17737.38315098183</v>
      </c>
      <c r="Q374" s="5">
        <v>28797.29222718185</v>
      </c>
      <c r="R374" s="5">
        <v>14051.647494499957</v>
      </c>
    </row>
    <row r="375" spans="9:18">
      <c r="I375" s="4">
        <v>360</v>
      </c>
      <c r="J375" s="5">
        <v>28085.9245102444</v>
      </c>
      <c r="K375" s="5">
        <v>16665.1498926479</v>
      </c>
      <c r="L375" s="5">
        <v>14146.191653372813</v>
      </c>
      <c r="M375" s="5">
        <v>22326.253555179093</v>
      </c>
      <c r="N375" s="5">
        <v>26152.705108198839</v>
      </c>
      <c r="O375" s="5">
        <v>51330.340277512776</v>
      </c>
      <c r="P375" s="5">
        <v>36724.352187786957</v>
      </c>
      <c r="Q375" s="5">
        <v>68168.482468129529</v>
      </c>
      <c r="R375" s="5">
        <v>41056.152565483346</v>
      </c>
    </row>
    <row r="376" spans="9:18">
      <c r="I376" s="4">
        <v>361</v>
      </c>
      <c r="J376" s="5">
        <v>11936.262457073821</v>
      </c>
      <c r="K376" s="5">
        <v>16952.949313901812</v>
      </c>
      <c r="L376" s="5">
        <v>16777.996633299583</v>
      </c>
      <c r="M376" s="5">
        <v>23454.775510296178</v>
      </c>
      <c r="N376" s="5">
        <v>22868.569282757788</v>
      </c>
      <c r="O376" s="5">
        <v>67717.30633712461</v>
      </c>
      <c r="P376" s="5">
        <v>26541.896041444568</v>
      </c>
      <c r="Q376" s="5">
        <v>70295.978314632754</v>
      </c>
      <c r="R376" s="5">
        <v>14706.681111065362</v>
      </c>
    </row>
    <row r="377" spans="9:18">
      <c r="I377" s="4">
        <v>362</v>
      </c>
      <c r="J377" s="5">
        <v>34933.039312618188</v>
      </c>
      <c r="K377" s="5">
        <v>16934.093371663999</v>
      </c>
      <c r="L377" s="5">
        <v>14175.160754078657</v>
      </c>
      <c r="M377" s="5">
        <v>13065.820809359835</v>
      </c>
      <c r="N377" s="5">
        <v>11952.903761138405</v>
      </c>
      <c r="O377" s="5">
        <v>10746.295275180995</v>
      </c>
      <c r="P377" s="5">
        <v>3831.1492650071077</v>
      </c>
      <c r="Q377" s="5">
        <v>7457.1844090365566</v>
      </c>
      <c r="R377" s="5">
        <v>90296.353221228885</v>
      </c>
    </row>
    <row r="378" spans="9:18">
      <c r="I378" s="4">
        <v>363</v>
      </c>
      <c r="J378" s="5">
        <v>12452.764985867625</v>
      </c>
      <c r="K378" s="5">
        <v>15129.619337591721</v>
      </c>
      <c r="L378" s="5">
        <v>23561.450544884348</v>
      </c>
      <c r="M378" s="5">
        <v>13414.385151739983</v>
      </c>
      <c r="N378" s="5">
        <v>24020.875410266352</v>
      </c>
      <c r="O378" s="5">
        <v>10369.402667058452</v>
      </c>
      <c r="P378" s="5">
        <v>21813.848941464526</v>
      </c>
      <c r="Q378" s="5">
        <v>7457.1844090365566</v>
      </c>
      <c r="R378" s="5">
        <v>2180.6148629084787</v>
      </c>
    </row>
    <row r="379" spans="9:18">
      <c r="I379" s="4">
        <v>364</v>
      </c>
      <c r="J379" s="5">
        <v>28085.9245102444</v>
      </c>
      <c r="K379" s="5">
        <v>23934.551191616061</v>
      </c>
      <c r="L379" s="5">
        <v>18379.634651549037</v>
      </c>
      <c r="M379" s="5">
        <v>19097.39635881727</v>
      </c>
      <c r="N379" s="5">
        <v>39406.658185292261</v>
      </c>
      <c r="O379" s="5">
        <v>9956.4031238965053</v>
      </c>
      <c r="P379" s="5">
        <v>55152.110177667731</v>
      </c>
      <c r="Q379" s="5">
        <v>15623.622662102793</v>
      </c>
      <c r="R379" s="5">
        <v>12130.167062525341</v>
      </c>
    </row>
    <row r="380" spans="9:18">
      <c r="I380" s="4">
        <v>365</v>
      </c>
      <c r="J380" s="5">
        <v>14750.660273177687</v>
      </c>
      <c r="K380" s="5">
        <v>16132.555399908759</v>
      </c>
      <c r="L380" s="5">
        <v>16472.138192556791</v>
      </c>
      <c r="M380" s="5">
        <v>19151.339770278159</v>
      </c>
      <c r="N380" s="5">
        <v>48565.498233359976</v>
      </c>
      <c r="O380" s="5">
        <v>30656.031716467984</v>
      </c>
      <c r="P380" s="5">
        <v>6275.8915673055426</v>
      </c>
      <c r="Q380" s="5">
        <v>100789.83462564547</v>
      </c>
      <c r="R380" s="5">
        <v>38898.713625068609</v>
      </c>
    </row>
    <row r="381" spans="9:18">
      <c r="I381" s="4">
        <v>366</v>
      </c>
      <c r="J381" s="5">
        <v>13918.242013140338</v>
      </c>
      <c r="K381" s="5">
        <v>12026.500118162745</v>
      </c>
      <c r="L381" s="5">
        <v>14146.191653372813</v>
      </c>
      <c r="M381" s="5">
        <v>16842.379179328669</v>
      </c>
      <c r="N381" s="5">
        <v>39406.658185292261</v>
      </c>
      <c r="O381" s="5">
        <v>26565.882515615398</v>
      </c>
      <c r="P381" s="5">
        <v>34768.042801665702</v>
      </c>
      <c r="Q381" s="5">
        <v>7457.1844090365566</v>
      </c>
      <c r="R381" s="5">
        <v>90296.353221228885</v>
      </c>
    </row>
    <row r="382" spans="9:18">
      <c r="I382" s="4">
        <v>367</v>
      </c>
      <c r="J382" s="5">
        <v>11936.262457073821</v>
      </c>
      <c r="K382" s="5">
        <v>17003.901855709089</v>
      </c>
      <c r="L382" s="5">
        <v>15487.970507365942</v>
      </c>
      <c r="M382" s="5">
        <v>13011.820191946215</v>
      </c>
      <c r="N382" s="5">
        <v>15251.140047572881</v>
      </c>
      <c r="O382" s="5">
        <v>79848.944504816522</v>
      </c>
      <c r="P382" s="5">
        <v>27820.721938889761</v>
      </c>
      <c r="Q382" s="5">
        <v>37802.358878968138</v>
      </c>
      <c r="R382" s="5">
        <v>114016.93673542379</v>
      </c>
    </row>
    <row r="383" spans="9:18">
      <c r="I383" s="4">
        <v>368</v>
      </c>
      <c r="J383" s="5">
        <v>43272.831879770602</v>
      </c>
      <c r="K383" s="5">
        <v>6949.5708823216592</v>
      </c>
      <c r="L383" s="5">
        <v>15359.132481533357</v>
      </c>
      <c r="M383" s="5">
        <v>22961.931350882205</v>
      </c>
      <c r="N383" s="5">
        <v>23008.246229813707</v>
      </c>
      <c r="O383" s="5">
        <v>25802.481365323994</v>
      </c>
      <c r="P383" s="5">
        <v>66904.018529955298</v>
      </c>
      <c r="Q383" s="5">
        <v>11173.074396969254</v>
      </c>
      <c r="R383" s="5">
        <v>30571.564004538617</v>
      </c>
    </row>
    <row r="384" spans="9:18">
      <c r="I384" s="4">
        <v>369</v>
      </c>
      <c r="J384" s="5">
        <v>28169.050633834027</v>
      </c>
      <c r="K384" s="5">
        <v>12026.500118162745</v>
      </c>
      <c r="L384" s="5">
        <v>14175.160754078657</v>
      </c>
      <c r="M384" s="5">
        <v>19795.661011456152</v>
      </c>
      <c r="N384" s="5">
        <v>37309.151967087455</v>
      </c>
      <c r="O384" s="5">
        <v>25604.597681740845</v>
      </c>
      <c r="P384" s="5">
        <v>14773.185437294762</v>
      </c>
      <c r="Q384" s="5">
        <v>44911.749632594299</v>
      </c>
      <c r="R384" s="5">
        <v>50287.76786557267</v>
      </c>
    </row>
    <row r="385" spans="9:18">
      <c r="I385" s="4">
        <v>370</v>
      </c>
      <c r="J385" s="5">
        <v>12452.764985867625</v>
      </c>
      <c r="K385" s="5">
        <v>14854.898507619706</v>
      </c>
      <c r="L385" s="5">
        <v>17920.486090689363</v>
      </c>
      <c r="M385" s="5">
        <v>13642.678686731051</v>
      </c>
      <c r="N385" s="5">
        <v>23746.795665493762</v>
      </c>
      <c r="O385" s="5">
        <v>8801.3667015774663</v>
      </c>
      <c r="P385" s="5">
        <v>35213.322626437533</v>
      </c>
      <c r="Q385" s="5">
        <v>44911.749632594299</v>
      </c>
      <c r="R385" s="5">
        <v>41418.225609677866</v>
      </c>
    </row>
    <row r="386" spans="9:18">
      <c r="I386" s="4">
        <v>371</v>
      </c>
      <c r="J386" s="5">
        <v>14671.176405938595</v>
      </c>
      <c r="K386" s="5">
        <v>15487.124352801369</v>
      </c>
      <c r="L386" s="5">
        <v>22319.409576580376</v>
      </c>
      <c r="M386" s="5">
        <v>19262.243095117232</v>
      </c>
      <c r="N386" s="5">
        <v>20558.672182394013</v>
      </c>
      <c r="O386" s="5">
        <v>13550.031670770122</v>
      </c>
      <c r="P386" s="5">
        <v>44816.412248582856</v>
      </c>
      <c r="Q386" s="5">
        <v>12451.066014448154</v>
      </c>
      <c r="R386" s="5">
        <v>19133.693426869788</v>
      </c>
    </row>
    <row r="387" spans="9:18">
      <c r="I387" s="4">
        <v>372</v>
      </c>
      <c r="J387" s="5">
        <v>29760.443016608337</v>
      </c>
      <c r="K387" s="5">
        <v>13652.224205833634</v>
      </c>
      <c r="L387" s="5">
        <v>23561.450544884348</v>
      </c>
      <c r="M387" s="5">
        <v>37411.178129764201</v>
      </c>
      <c r="N387" s="5">
        <v>21909.120225822895</v>
      </c>
      <c r="O387" s="5">
        <v>4231.3144655921506</v>
      </c>
      <c r="P387" s="5">
        <v>45161.732159568586</v>
      </c>
      <c r="Q387" s="5">
        <v>70295.978314632754</v>
      </c>
      <c r="R387" s="5">
        <v>46004.399892616471</v>
      </c>
    </row>
    <row r="388" spans="9:18">
      <c r="I388" s="4">
        <v>373</v>
      </c>
      <c r="J388" s="5">
        <v>16710.807721801892</v>
      </c>
      <c r="K388" s="5">
        <v>9769.3659785458403</v>
      </c>
      <c r="L388" s="5">
        <v>27144.958215276103</v>
      </c>
      <c r="M388" s="5">
        <v>16842.379179328669</v>
      </c>
      <c r="N388" s="5">
        <v>32184.535272543482</v>
      </c>
      <c r="O388" s="5">
        <v>30608.431994348266</v>
      </c>
      <c r="P388" s="5">
        <v>10733.318076105543</v>
      </c>
      <c r="Q388" s="5">
        <v>27789.973552634947</v>
      </c>
      <c r="R388" s="5">
        <v>9913.4206865238284</v>
      </c>
    </row>
    <row r="389" spans="9:18">
      <c r="I389" s="4">
        <v>374</v>
      </c>
      <c r="J389" s="5">
        <v>9405.362381917912</v>
      </c>
      <c r="K389" s="5">
        <v>13520.836427679104</v>
      </c>
      <c r="L389" s="5">
        <v>24256.352541181568</v>
      </c>
      <c r="M389" s="5">
        <v>14660.631931099009</v>
      </c>
      <c r="N389" s="5">
        <v>17811.114014514766</v>
      </c>
      <c r="O389" s="5">
        <v>12110.196126281628</v>
      </c>
      <c r="P389" s="5">
        <v>21933.779100635442</v>
      </c>
      <c r="Q389" s="5">
        <v>28776.080424849053</v>
      </c>
      <c r="R389" s="5">
        <v>51141.799458534304</v>
      </c>
    </row>
    <row r="390" spans="9:18">
      <c r="I390" s="4">
        <v>375</v>
      </c>
      <c r="J390" s="5">
        <v>13841.207384998772</v>
      </c>
      <c r="K390" s="5">
        <v>14497.035717129334</v>
      </c>
      <c r="L390" s="5">
        <v>16014.071850041886</v>
      </c>
      <c r="M390" s="5">
        <v>13414.385151739983</v>
      </c>
      <c r="N390" s="5">
        <v>16148.901635865295</v>
      </c>
      <c r="O390" s="5">
        <v>20991.103410982985</v>
      </c>
      <c r="P390" s="5">
        <v>12992.105410393709</v>
      </c>
      <c r="Q390" s="5">
        <v>3272.4685014937832</v>
      </c>
      <c r="R390" s="5">
        <v>19133.693426869788</v>
      </c>
    </row>
    <row r="391" spans="9:18">
      <c r="I391" s="4">
        <v>376</v>
      </c>
      <c r="J391" s="5">
        <v>15064.079707240266</v>
      </c>
      <c r="K391" s="5">
        <v>16605.655749562578</v>
      </c>
      <c r="L391" s="5">
        <v>16014.071850041886</v>
      </c>
      <c r="M391" s="5">
        <v>30830.81083227017</v>
      </c>
      <c r="N391" s="5">
        <v>25424.029865101274</v>
      </c>
      <c r="O391" s="5">
        <v>20489.622805425737</v>
      </c>
      <c r="P391" s="5">
        <v>38771.994792132391</v>
      </c>
      <c r="Q391" s="5">
        <v>31019.493883163672</v>
      </c>
      <c r="R391" s="5">
        <v>54594.567438884274</v>
      </c>
    </row>
    <row r="392" spans="9:18">
      <c r="I392" s="4">
        <v>377</v>
      </c>
      <c r="J392" s="5">
        <v>28590.354879265724</v>
      </c>
      <c r="K392" s="5">
        <v>9769.3659785458403</v>
      </c>
      <c r="L392" s="5">
        <v>15922.087958863045</v>
      </c>
      <c r="M392" s="5">
        <v>23515.935489506261</v>
      </c>
      <c r="N392" s="5">
        <v>20718.434293991453</v>
      </c>
      <c r="O392" s="5">
        <v>36759.655306288936</v>
      </c>
      <c r="P392" s="5">
        <v>34814.458119125498</v>
      </c>
      <c r="Q392" s="5">
        <v>31902.904306425251</v>
      </c>
      <c r="R392" s="5">
        <v>12194.45251033065</v>
      </c>
    </row>
    <row r="393" spans="9:18">
      <c r="I393" s="4">
        <v>378</v>
      </c>
      <c r="J393" s="5">
        <v>16511.332839561353</v>
      </c>
      <c r="K393" s="5">
        <v>32294.121255311245</v>
      </c>
      <c r="L393" s="5">
        <v>22018.381599979773</v>
      </c>
      <c r="M393" s="5">
        <v>26477.996319655329</v>
      </c>
      <c r="N393" s="5">
        <v>9989.086510768735</v>
      </c>
      <c r="O393" s="5">
        <v>27508.313315384185</v>
      </c>
      <c r="P393" s="5">
        <v>106091.28270624072</v>
      </c>
      <c r="Q393" s="5">
        <v>20883.852062640355</v>
      </c>
      <c r="R393" s="5">
        <v>14079.827908007112</v>
      </c>
    </row>
    <row r="394" spans="9:18">
      <c r="I394" s="4">
        <v>379</v>
      </c>
      <c r="J394" s="5">
        <v>16459.003095225507</v>
      </c>
      <c r="K394" s="5">
        <v>16934.093371663999</v>
      </c>
      <c r="L394" s="5">
        <v>22018.381599979773</v>
      </c>
      <c r="M394" s="5">
        <v>18691.941789825862</v>
      </c>
      <c r="N394" s="5">
        <v>22868.569282757788</v>
      </c>
      <c r="O394" s="5">
        <v>41653.890350944224</v>
      </c>
      <c r="P394" s="5">
        <v>48123.003747643132</v>
      </c>
      <c r="Q394" s="5">
        <v>48756.323642664109</v>
      </c>
      <c r="R394" s="5">
        <v>261393.32711858812</v>
      </c>
    </row>
    <row r="395" spans="9:18">
      <c r="I395" s="4">
        <v>380</v>
      </c>
      <c r="J395" s="5">
        <v>21150.169973104224</v>
      </c>
      <c r="K395" s="5">
        <v>14854.898507619706</v>
      </c>
      <c r="L395" s="5">
        <v>17920.486090689363</v>
      </c>
      <c r="M395" s="5">
        <v>17370.588707072598</v>
      </c>
      <c r="N395" s="5">
        <v>24020.875410266352</v>
      </c>
      <c r="O395" s="5">
        <v>66253.993323243907</v>
      </c>
      <c r="P395" s="5">
        <v>25258.981945036445</v>
      </c>
      <c r="Q395" s="5">
        <v>96632.959478514502</v>
      </c>
      <c r="R395" s="5">
        <v>17687.533637716911</v>
      </c>
    </row>
    <row r="396" spans="9:18">
      <c r="I396" s="4">
        <v>381</v>
      </c>
      <c r="J396" s="5">
        <v>15081.728672246438</v>
      </c>
      <c r="K396" s="5">
        <v>14497.035717129334</v>
      </c>
      <c r="L396" s="5">
        <v>23760.785349782636</v>
      </c>
      <c r="M396" s="5">
        <v>11680.747299075838</v>
      </c>
      <c r="N396" s="5">
        <v>11684.605182472778</v>
      </c>
      <c r="O396" s="5">
        <v>26565.882515615398</v>
      </c>
      <c r="P396" s="5">
        <v>32167.874670939738</v>
      </c>
      <c r="Q396" s="5">
        <v>30495.121067047665</v>
      </c>
      <c r="R396" s="5">
        <v>17687.533637716911</v>
      </c>
    </row>
    <row r="397" spans="9:18">
      <c r="I397" s="4">
        <v>382</v>
      </c>
      <c r="J397" s="5">
        <v>9368.8270679249108</v>
      </c>
      <c r="K397" s="5">
        <v>11857.447519815871</v>
      </c>
      <c r="L397" s="5">
        <v>13037.115556745504</v>
      </c>
      <c r="M397" s="5">
        <v>16001.653036457456</v>
      </c>
      <c r="N397" s="5">
        <v>25424.029865101274</v>
      </c>
      <c r="O397" s="5">
        <v>30608.431994348266</v>
      </c>
      <c r="P397" s="5">
        <v>33715.790977629549</v>
      </c>
      <c r="Q397" s="5">
        <v>68168.482468129529</v>
      </c>
      <c r="R397" s="5">
        <v>3989.7956692889929</v>
      </c>
    </row>
    <row r="398" spans="9:18">
      <c r="I398" s="4">
        <v>383</v>
      </c>
      <c r="J398" s="5">
        <v>13595.404057849493</v>
      </c>
      <c r="K398" s="5">
        <v>14095.75230105142</v>
      </c>
      <c r="L398" s="5">
        <v>15300.182042823812</v>
      </c>
      <c r="M398" s="5">
        <v>19262.243095117232</v>
      </c>
      <c r="N398" s="5">
        <v>21931.347680292267</v>
      </c>
      <c r="O398" s="5">
        <v>8801.3667015774663</v>
      </c>
      <c r="P398" s="5">
        <v>9811.9720599964548</v>
      </c>
      <c r="Q398" s="5">
        <v>71213.172792303565</v>
      </c>
      <c r="R398" s="5">
        <v>14051.647494499957</v>
      </c>
    </row>
    <row r="399" spans="9:18">
      <c r="I399" s="4">
        <v>384</v>
      </c>
      <c r="J399" s="5">
        <v>13391.049101507895</v>
      </c>
      <c r="K399" s="5">
        <v>14021.934268028277</v>
      </c>
      <c r="L399" s="5">
        <v>14146.191653372813</v>
      </c>
      <c r="M399" s="5">
        <v>23908.621352410395</v>
      </c>
      <c r="N399" s="5">
        <v>17214.078970533748</v>
      </c>
      <c r="O399" s="5">
        <v>10676.618215263648</v>
      </c>
      <c r="P399" s="5">
        <v>49519.098753410741</v>
      </c>
      <c r="Q399" s="5">
        <v>22483.395143121877</v>
      </c>
      <c r="R399" s="5">
        <v>24831.679362998926</v>
      </c>
    </row>
    <row r="400" spans="9:18">
      <c r="I400" s="4">
        <v>385</v>
      </c>
      <c r="J400" s="5">
        <v>16544.73779470181</v>
      </c>
      <c r="K400" s="5">
        <v>17903.387243834499</v>
      </c>
      <c r="L400" s="5">
        <v>23760.785349782636</v>
      </c>
      <c r="M400" s="5">
        <v>17116.951435661951</v>
      </c>
      <c r="N400" s="5">
        <v>8555.1229659096207</v>
      </c>
      <c r="O400" s="5">
        <v>33720.545907536376</v>
      </c>
      <c r="P400" s="5">
        <v>54100.778483493887</v>
      </c>
      <c r="Q400" s="5">
        <v>148345.62878828164</v>
      </c>
      <c r="R400" s="5">
        <v>51141.799458534304</v>
      </c>
    </row>
    <row r="401" spans="9:18">
      <c r="I401" s="4">
        <v>386</v>
      </c>
      <c r="J401" s="5">
        <v>16305.770155972396</v>
      </c>
      <c r="K401" s="5">
        <v>6949.5708823216592</v>
      </c>
      <c r="L401" s="5">
        <v>14344.859750762502</v>
      </c>
      <c r="M401" s="5">
        <v>21332.072353846772</v>
      </c>
      <c r="N401" s="5">
        <v>11751.639947035985</v>
      </c>
      <c r="O401" s="5">
        <v>16572.483389649329</v>
      </c>
      <c r="P401" s="5">
        <v>106091.28270624072</v>
      </c>
      <c r="Q401" s="5">
        <v>20987.925664394581</v>
      </c>
      <c r="R401" s="5">
        <v>7118.1729476780347</v>
      </c>
    </row>
    <row r="402" spans="9:18">
      <c r="I402" s="4">
        <v>387</v>
      </c>
      <c r="J402" s="5">
        <v>8580.4413740966302</v>
      </c>
      <c r="K402" s="5">
        <v>17495.743706488822</v>
      </c>
      <c r="L402" s="5">
        <v>24256.352541181568</v>
      </c>
      <c r="M402" s="5">
        <v>20185.026038758231</v>
      </c>
      <c r="N402" s="5">
        <v>24020.875410266352</v>
      </c>
      <c r="O402" s="5">
        <v>30608.431994348266</v>
      </c>
      <c r="P402" s="5">
        <v>38771.994792132391</v>
      </c>
      <c r="Q402" s="5">
        <v>28797.29222718185</v>
      </c>
      <c r="R402" s="5">
        <v>59414.886464347241</v>
      </c>
    </row>
    <row r="403" spans="9:18">
      <c r="I403" s="4">
        <v>388</v>
      </c>
      <c r="J403" s="5">
        <v>14538.277247583976</v>
      </c>
      <c r="K403" s="5">
        <v>30552.499930043898</v>
      </c>
      <c r="L403" s="5">
        <v>10896.494237357269</v>
      </c>
      <c r="M403" s="5">
        <v>16001.653036457456</v>
      </c>
      <c r="N403" s="5">
        <v>15786.177386596903</v>
      </c>
      <c r="O403" s="5">
        <v>40581.847217937895</v>
      </c>
      <c r="P403" s="5">
        <v>13452.921824087563</v>
      </c>
      <c r="Q403" s="5">
        <v>15663.43865741136</v>
      </c>
      <c r="R403" s="5">
        <v>5865.9802599669383</v>
      </c>
    </row>
    <row r="404" spans="9:18">
      <c r="I404" s="4">
        <v>389</v>
      </c>
      <c r="J404" s="5">
        <v>21888.821432026474</v>
      </c>
      <c r="K404" s="5">
        <v>16273.14570113692</v>
      </c>
      <c r="L404" s="5">
        <v>15664.99858445921</v>
      </c>
      <c r="M404" s="5">
        <v>20788.503422877813</v>
      </c>
      <c r="N404" s="5">
        <v>9989.086510768735</v>
      </c>
      <c r="O404" s="5">
        <v>13613.378495715853</v>
      </c>
      <c r="P404" s="5">
        <v>26541.896041444568</v>
      </c>
      <c r="Q404" s="5">
        <v>54060.5331097772</v>
      </c>
      <c r="R404" s="5">
        <v>7879.038918914337</v>
      </c>
    </row>
    <row r="405" spans="9:18">
      <c r="I405" s="4">
        <v>390</v>
      </c>
      <c r="J405" s="5">
        <v>16710.807721801892</v>
      </c>
      <c r="K405" s="5">
        <v>15051.330276415061</v>
      </c>
      <c r="L405" s="5">
        <v>19224.583269019437</v>
      </c>
      <c r="M405" s="5">
        <v>23067.94260629595</v>
      </c>
      <c r="N405" s="5">
        <v>21617.945168312468</v>
      </c>
      <c r="O405" s="5">
        <v>11282.178219986479</v>
      </c>
      <c r="P405" s="5">
        <v>14327.191387816954</v>
      </c>
      <c r="Q405" s="5">
        <v>11928.872068442162</v>
      </c>
      <c r="R405" s="5">
        <v>17304.847214362417</v>
      </c>
    </row>
    <row r="406" spans="9:18">
      <c r="I406" s="4">
        <v>391</v>
      </c>
      <c r="J406" s="5">
        <v>13391.049101507895</v>
      </c>
      <c r="K406" s="5">
        <v>11558.357574452555</v>
      </c>
      <c r="L406" s="5">
        <v>15764.107424863063</v>
      </c>
      <c r="M406" s="5">
        <v>15202.972920708273</v>
      </c>
      <c r="N406" s="5">
        <v>16418.492928415813</v>
      </c>
      <c r="O406" s="5">
        <v>16524.769946939996</v>
      </c>
      <c r="P406" s="5">
        <v>9633.1652908310007</v>
      </c>
      <c r="Q406" s="5">
        <v>17153.530968450712</v>
      </c>
      <c r="R406" s="5">
        <v>24722.972470599001</v>
      </c>
    </row>
    <row r="407" spans="9:18">
      <c r="I407" s="4">
        <v>392</v>
      </c>
      <c r="J407" s="5">
        <v>14749.343145806102</v>
      </c>
      <c r="K407" s="5">
        <v>20887.307279900142</v>
      </c>
      <c r="L407" s="5">
        <v>19078.910217042379</v>
      </c>
      <c r="M407" s="5">
        <v>20229.919588372999</v>
      </c>
      <c r="N407" s="5">
        <v>34295.124147811541</v>
      </c>
      <c r="O407" s="5">
        <v>16462.170789592048</v>
      </c>
      <c r="P407" s="5">
        <v>66904.018529955298</v>
      </c>
      <c r="Q407" s="5">
        <v>64585.328088516922</v>
      </c>
      <c r="R407" s="5">
        <v>62674.060343500474</v>
      </c>
    </row>
    <row r="408" spans="9:18">
      <c r="I408" s="4">
        <v>393</v>
      </c>
      <c r="J408" s="5">
        <v>28169.050633834027</v>
      </c>
      <c r="K408" s="5">
        <v>16934.093371663999</v>
      </c>
      <c r="L408" s="5">
        <v>13037.115556745504</v>
      </c>
      <c r="M408" s="5">
        <v>23449.501569180404</v>
      </c>
      <c r="N408" s="5">
        <v>13909.728487455486</v>
      </c>
      <c r="O408" s="5">
        <v>40942.522561879181</v>
      </c>
      <c r="P408" s="5">
        <v>8877.9712092977989</v>
      </c>
      <c r="Q408" s="5">
        <v>17153.530968450712</v>
      </c>
      <c r="R408" s="5">
        <v>7394.6358885760465</v>
      </c>
    </row>
    <row r="409" spans="9:18">
      <c r="I409" s="4">
        <v>394</v>
      </c>
      <c r="J409" s="5">
        <v>22370.105711697011</v>
      </c>
      <c r="K409" s="5">
        <v>24728.095385476983</v>
      </c>
      <c r="L409" s="5">
        <v>25389.332759288587</v>
      </c>
      <c r="M409" s="5">
        <v>31472.019071027709</v>
      </c>
      <c r="N409" s="5">
        <v>24314.043643333731</v>
      </c>
      <c r="O409" s="5">
        <v>62082.6862081785</v>
      </c>
      <c r="P409" s="5">
        <v>3017.2887813579896</v>
      </c>
      <c r="Q409" s="5">
        <v>17493.456269945855</v>
      </c>
      <c r="R409" s="5">
        <v>261393.32711858812</v>
      </c>
    </row>
    <row r="410" spans="9:18">
      <c r="I410" s="4">
        <v>395</v>
      </c>
      <c r="J410" s="5">
        <v>20002.201347927807</v>
      </c>
      <c r="K410" s="5">
        <v>24728.095385476983</v>
      </c>
      <c r="L410" s="5">
        <v>18475.258050488967</v>
      </c>
      <c r="M410" s="5">
        <v>31554.722481137964</v>
      </c>
      <c r="N410" s="5">
        <v>20583.564383988036</v>
      </c>
      <c r="O410" s="5">
        <v>5909.5347260996277</v>
      </c>
      <c r="P410" s="5">
        <v>54923.423457863879</v>
      </c>
      <c r="Q410" s="5">
        <v>18097.768262249352</v>
      </c>
      <c r="R410" s="5">
        <v>7879.038918914337</v>
      </c>
    </row>
    <row r="411" spans="9:18">
      <c r="I411" s="4">
        <v>396</v>
      </c>
      <c r="J411" s="5">
        <v>7855.2948890116513</v>
      </c>
      <c r="K411" s="5">
        <v>26110.948843472826</v>
      </c>
      <c r="L411" s="5">
        <v>13622.976145621742</v>
      </c>
      <c r="M411" s="5">
        <v>20788.503422877813</v>
      </c>
      <c r="N411" s="5">
        <v>13909.728487455486</v>
      </c>
      <c r="O411" s="5">
        <v>18637.945795127704</v>
      </c>
      <c r="P411" s="5">
        <v>22601.57564624758</v>
      </c>
      <c r="Q411" s="5">
        <v>15623.622662102793</v>
      </c>
      <c r="R411" s="5">
        <v>29295.938844292672</v>
      </c>
    </row>
    <row r="412" spans="9:18">
      <c r="I412" s="4">
        <v>397</v>
      </c>
      <c r="J412" s="5">
        <v>49463.324094345015</v>
      </c>
      <c r="K412" s="5">
        <v>11206.053243692098</v>
      </c>
      <c r="L412" s="5">
        <v>18475.258050488967</v>
      </c>
      <c r="M412" s="5">
        <v>18177.175180585615</v>
      </c>
      <c r="N412" s="5">
        <v>46248.895746171031</v>
      </c>
      <c r="O412" s="5">
        <v>26565.882515615398</v>
      </c>
      <c r="P412" s="5">
        <v>26126.807131356076</v>
      </c>
      <c r="Q412" s="5">
        <v>13865.641566869812</v>
      </c>
      <c r="R412" s="5">
        <v>182942.88598316166</v>
      </c>
    </row>
    <row r="413" spans="9:18">
      <c r="I413" s="4">
        <v>398</v>
      </c>
      <c r="J413" s="5">
        <v>21717.214093683677</v>
      </c>
      <c r="K413" s="5">
        <v>18821.113178054162</v>
      </c>
      <c r="L413" s="5">
        <v>18379.634651549037</v>
      </c>
      <c r="M413" s="5">
        <v>16842.379179328669</v>
      </c>
      <c r="N413" s="5">
        <v>14921.795973817481</v>
      </c>
      <c r="O413" s="5">
        <v>53504.725169095313</v>
      </c>
      <c r="P413" s="5">
        <v>35569.894390728325</v>
      </c>
      <c r="Q413" s="5">
        <v>37101.531383212743</v>
      </c>
      <c r="R413" s="5">
        <v>302760.11878714536</v>
      </c>
    </row>
    <row r="414" spans="9:18">
      <c r="I414" s="4">
        <v>399</v>
      </c>
      <c r="J414" s="5">
        <v>28590.354879265724</v>
      </c>
      <c r="K414" s="5">
        <v>21958.925144875713</v>
      </c>
      <c r="L414" s="5">
        <v>19224.583269019437</v>
      </c>
      <c r="M414" s="5">
        <v>19795.661011456152</v>
      </c>
      <c r="N414" s="5">
        <v>28426.778914975595</v>
      </c>
      <c r="O414" s="5">
        <v>27068.054847826614</v>
      </c>
      <c r="P414" s="5">
        <v>106091.28270624072</v>
      </c>
      <c r="Q414" s="5">
        <v>92068.726035424203</v>
      </c>
      <c r="R414" s="5">
        <v>26783.439354489365</v>
      </c>
    </row>
    <row r="415" spans="9:18">
      <c r="I415" s="4">
        <v>400</v>
      </c>
      <c r="J415" s="5">
        <v>13918.242013140338</v>
      </c>
      <c r="K415" s="5">
        <v>43843.85059185313</v>
      </c>
      <c r="L415" s="5">
        <v>14796.875457021113</v>
      </c>
      <c r="M415" s="5">
        <v>14217.48832834715</v>
      </c>
      <c r="N415" s="5">
        <v>27841.916587595573</v>
      </c>
      <c r="O415" s="5">
        <v>40942.522561879181</v>
      </c>
      <c r="P415" s="5">
        <v>6275.8915673055426</v>
      </c>
      <c r="Q415" s="5">
        <v>19315.033835554255</v>
      </c>
      <c r="R415" s="5">
        <v>62674.060343500474</v>
      </c>
    </row>
    <row r="416" spans="9:18">
      <c r="I416" s="4">
        <v>401</v>
      </c>
      <c r="J416" s="5">
        <v>23517.429992060665</v>
      </c>
      <c r="K416" s="5">
        <v>9769.3659785458403</v>
      </c>
      <c r="L416" s="5">
        <v>17683.765335572589</v>
      </c>
      <c r="M416" s="5">
        <v>29041.83725675238</v>
      </c>
      <c r="N416" s="5">
        <v>16148.901635865295</v>
      </c>
      <c r="O416" s="5">
        <v>16505.600261180331</v>
      </c>
      <c r="P416" s="5">
        <v>17974.179326980211</v>
      </c>
      <c r="Q416" s="5">
        <v>129470.11441833655</v>
      </c>
      <c r="R416" s="5">
        <v>27349.63499959607</v>
      </c>
    </row>
    <row r="417" spans="9:18">
      <c r="I417" s="4">
        <v>402</v>
      </c>
      <c r="J417" s="5">
        <v>21888.821432026474</v>
      </c>
      <c r="K417" s="5">
        <v>15782.544184844044</v>
      </c>
      <c r="L417" s="5">
        <v>22412.045018675239</v>
      </c>
      <c r="M417" s="5">
        <v>16842.379179328669</v>
      </c>
      <c r="N417" s="5">
        <v>26115.05281128412</v>
      </c>
      <c r="O417" s="5">
        <v>45451.954570113048</v>
      </c>
      <c r="P417" s="5">
        <v>38771.994792132391</v>
      </c>
      <c r="Q417" s="5">
        <v>35525.432376048877</v>
      </c>
      <c r="R417" s="5">
        <v>261393.32711858812</v>
      </c>
    </row>
    <row r="418" spans="9:18">
      <c r="I418" s="4">
        <v>403</v>
      </c>
      <c r="J418" s="5">
        <v>17005.744061105343</v>
      </c>
      <c r="K418" s="5">
        <v>14017.262946034314</v>
      </c>
      <c r="L418" s="5">
        <v>34748.877779456467</v>
      </c>
      <c r="M418" s="5">
        <v>25580.243606220469</v>
      </c>
      <c r="N418" s="5">
        <v>11751.639947035985</v>
      </c>
      <c r="O418" s="5">
        <v>40581.847217937895</v>
      </c>
      <c r="P418" s="5">
        <v>20403.656304140692</v>
      </c>
      <c r="Q418" s="5">
        <v>17234.335939857254</v>
      </c>
      <c r="R418" s="5">
        <v>9913.4206865238284</v>
      </c>
    </row>
    <row r="419" spans="9:18">
      <c r="I419" s="4">
        <v>404</v>
      </c>
      <c r="J419" s="5">
        <v>15417.870921574262</v>
      </c>
      <c r="K419" s="5">
        <v>32073.547537933715</v>
      </c>
      <c r="L419" s="5">
        <v>15922.087958863045</v>
      </c>
      <c r="M419" s="5">
        <v>31554.722481137964</v>
      </c>
      <c r="N419" s="5">
        <v>11251.634703629026</v>
      </c>
      <c r="O419" s="5">
        <v>27503.656957929088</v>
      </c>
      <c r="P419" s="5">
        <v>46514.467673254068</v>
      </c>
      <c r="Q419" s="5">
        <v>31902.904306425251</v>
      </c>
      <c r="R419" s="5">
        <v>114016.93673542379</v>
      </c>
    </row>
    <row r="420" spans="9:18">
      <c r="I420" s="4">
        <v>405</v>
      </c>
      <c r="J420" s="5">
        <v>43272.831879770602</v>
      </c>
      <c r="K420" s="5">
        <v>14095.75230105142</v>
      </c>
      <c r="L420" s="5">
        <v>22319.409576580376</v>
      </c>
      <c r="M420" s="5">
        <v>42282.977640783138</v>
      </c>
      <c r="N420" s="5">
        <v>12523.573732460784</v>
      </c>
      <c r="O420" s="5">
        <v>25802.481365323994</v>
      </c>
      <c r="P420" s="5">
        <v>46514.467673254068</v>
      </c>
      <c r="Q420" s="5">
        <v>11173.074396969254</v>
      </c>
      <c r="R420" s="5">
        <v>20236.767651156802</v>
      </c>
    </row>
    <row r="421" spans="9:18">
      <c r="I421" s="4">
        <v>406</v>
      </c>
      <c r="J421" s="5">
        <v>16305.770155972396</v>
      </c>
      <c r="K421" s="5">
        <v>21187.174639714212</v>
      </c>
      <c r="L421" s="5">
        <v>17243.440968229323</v>
      </c>
      <c r="M421" s="5">
        <v>21913.431401527439</v>
      </c>
      <c r="N421" s="5">
        <v>22735.120948269971</v>
      </c>
      <c r="O421" s="5">
        <v>6199.3195463515376</v>
      </c>
      <c r="P421" s="5">
        <v>38024.168395914428</v>
      </c>
      <c r="Q421" s="5">
        <v>28567.61306643406</v>
      </c>
      <c r="R421" s="5">
        <v>122304.95880137496</v>
      </c>
    </row>
    <row r="422" spans="9:18">
      <c r="I422" s="4">
        <v>407</v>
      </c>
      <c r="J422" s="5">
        <v>11116.191595722205</v>
      </c>
      <c r="K422" s="5">
        <v>14095.75230105142</v>
      </c>
      <c r="L422" s="5">
        <v>16017.890956041876</v>
      </c>
      <c r="M422" s="5">
        <v>29058.117767351498</v>
      </c>
      <c r="N422" s="5">
        <v>11251.634703629026</v>
      </c>
      <c r="O422" s="5">
        <v>15124.35050053727</v>
      </c>
      <c r="P422" s="5">
        <v>27373.102585108634</v>
      </c>
      <c r="Q422" s="5">
        <v>70295.978314632754</v>
      </c>
      <c r="R422" s="5">
        <v>39727.513802035661</v>
      </c>
    </row>
    <row r="423" spans="9:18">
      <c r="I423" s="4">
        <v>408</v>
      </c>
      <c r="J423" s="5">
        <v>19121.054099180623</v>
      </c>
      <c r="K423" s="5">
        <v>13520.836427679104</v>
      </c>
      <c r="L423" s="5">
        <v>15225.811035017256</v>
      </c>
      <c r="M423" s="5">
        <v>21272.00214469912</v>
      </c>
      <c r="N423" s="5">
        <v>26565.664379767408</v>
      </c>
      <c r="O423" s="5">
        <v>15936.062371781712</v>
      </c>
      <c r="P423" s="5">
        <v>13793.886507202402</v>
      </c>
      <c r="Q423" s="5">
        <v>16803.875627203233</v>
      </c>
      <c r="R423" s="5">
        <v>13258.538726001538</v>
      </c>
    </row>
    <row r="424" spans="9:18">
      <c r="I424" s="4">
        <v>409</v>
      </c>
      <c r="J424" s="5">
        <v>13918.242013140338</v>
      </c>
      <c r="K424" s="5">
        <v>23327.217259521742</v>
      </c>
      <c r="L424" s="5">
        <v>14364.472927446199</v>
      </c>
      <c r="M424" s="5">
        <v>18879.640760542785</v>
      </c>
      <c r="N424" s="5">
        <v>21931.347680292267</v>
      </c>
      <c r="O424" s="5">
        <v>19492.655596593511</v>
      </c>
      <c r="P424" s="5">
        <v>74840.036182179319</v>
      </c>
      <c r="Q424" s="5">
        <v>27018.509959127641</v>
      </c>
      <c r="R424" s="5">
        <v>10885.018205103002</v>
      </c>
    </row>
    <row r="425" spans="9:18">
      <c r="I425" s="4">
        <v>410</v>
      </c>
      <c r="J425" s="5">
        <v>16166.107684907736</v>
      </c>
      <c r="K425" s="5">
        <v>14611.618478071941</v>
      </c>
      <c r="L425" s="5">
        <v>18215.751370765771</v>
      </c>
      <c r="M425" s="5">
        <v>42282.977640783138</v>
      </c>
      <c r="N425" s="5">
        <v>20292.069765667391</v>
      </c>
      <c r="O425" s="5">
        <v>12110.196126281628</v>
      </c>
      <c r="P425" s="5">
        <v>33500.490132682797</v>
      </c>
      <c r="Q425" s="5">
        <v>12451.066014448154</v>
      </c>
      <c r="R425" s="5">
        <v>87776.138236389699</v>
      </c>
    </row>
    <row r="426" spans="9:18">
      <c r="I426" s="4">
        <v>411</v>
      </c>
      <c r="J426" s="5">
        <v>17679.321624063952</v>
      </c>
      <c r="K426" s="5">
        <v>14854.898507619706</v>
      </c>
      <c r="L426" s="5">
        <v>19078.910217042379</v>
      </c>
      <c r="M426" s="5">
        <v>13065.820809359835</v>
      </c>
      <c r="N426" s="5">
        <v>24853.247795632611</v>
      </c>
      <c r="O426" s="5">
        <v>13519.384207850644</v>
      </c>
      <c r="P426" s="5">
        <v>8877.9712092977989</v>
      </c>
      <c r="Q426" s="5">
        <v>116445.46783345108</v>
      </c>
      <c r="R426" s="5">
        <v>51141.799458534304</v>
      </c>
    </row>
    <row r="427" spans="9:18">
      <c r="I427" s="4">
        <v>412</v>
      </c>
      <c r="J427" s="5">
        <v>11116.191595722205</v>
      </c>
      <c r="K427" s="5">
        <v>31910.762633549082</v>
      </c>
      <c r="L427" s="5">
        <v>15225.811035017256</v>
      </c>
      <c r="M427" s="5">
        <v>14217.48832834715</v>
      </c>
      <c r="N427" s="5">
        <v>25549.748582175915</v>
      </c>
      <c r="O427" s="5">
        <v>9956.4031238965053</v>
      </c>
      <c r="P427" s="5">
        <v>55119.366528283317</v>
      </c>
      <c r="Q427" s="5">
        <v>7457.1844090365566</v>
      </c>
      <c r="R427" s="5">
        <v>12116.34255245842</v>
      </c>
    </row>
    <row r="428" spans="9:18">
      <c r="I428" s="4">
        <v>413</v>
      </c>
      <c r="J428" s="5">
        <v>16733.020222212988</v>
      </c>
      <c r="K428" s="5">
        <v>8124.7965732661823</v>
      </c>
      <c r="L428" s="5">
        <v>17073.17760523731</v>
      </c>
      <c r="M428" s="5">
        <v>22961.931350882205</v>
      </c>
      <c r="N428" s="5">
        <v>13745.376566850549</v>
      </c>
      <c r="O428" s="5">
        <v>31172.963108652857</v>
      </c>
      <c r="P428" s="5">
        <v>14327.191387816954</v>
      </c>
      <c r="Q428" s="5">
        <v>6386.5227360487288</v>
      </c>
      <c r="R428" s="5">
        <v>41418.225609677866</v>
      </c>
    </row>
    <row r="429" spans="9:18">
      <c r="I429" s="4">
        <v>414</v>
      </c>
      <c r="J429" s="5">
        <v>11036.461796239426</v>
      </c>
      <c r="K429" s="5">
        <v>95171.967522309933</v>
      </c>
      <c r="L429" s="5">
        <v>23760.785349782636</v>
      </c>
      <c r="M429" s="5">
        <v>17349.963215818931</v>
      </c>
      <c r="N429" s="5">
        <v>9989.086510768735</v>
      </c>
      <c r="O429" s="5">
        <v>66253.993323243907</v>
      </c>
      <c r="P429" s="5">
        <v>13452.921824087563</v>
      </c>
      <c r="Q429" s="5">
        <v>48756.323642664109</v>
      </c>
      <c r="R429" s="5">
        <v>6681.1887184356683</v>
      </c>
    </row>
    <row r="430" spans="9:18">
      <c r="I430" s="4">
        <v>415</v>
      </c>
      <c r="J430" s="5">
        <v>18650.249281571734</v>
      </c>
      <c r="K430" s="5">
        <v>21527.93129974293</v>
      </c>
      <c r="L430" s="5">
        <v>17693.864646288712</v>
      </c>
      <c r="M430" s="5">
        <v>21332.072353846772</v>
      </c>
      <c r="N430" s="5">
        <v>15658.063692994532</v>
      </c>
      <c r="O430" s="5">
        <v>31172.963108652857</v>
      </c>
      <c r="P430" s="5">
        <v>48123.003747643132</v>
      </c>
      <c r="Q430" s="5">
        <v>17493.456269945855</v>
      </c>
      <c r="R430" s="5">
        <v>7118.1729476780347</v>
      </c>
    </row>
    <row r="431" spans="9:18">
      <c r="I431" s="4">
        <v>416</v>
      </c>
      <c r="J431" s="5">
        <v>16416.142496463777</v>
      </c>
      <c r="K431" s="5">
        <v>14854.898507619706</v>
      </c>
      <c r="L431" s="5">
        <v>14691.846656953887</v>
      </c>
      <c r="M431" s="5">
        <v>25580.243606220469</v>
      </c>
      <c r="N431" s="5">
        <v>36962.805083900916</v>
      </c>
      <c r="O431" s="5">
        <v>41653.890350944224</v>
      </c>
      <c r="P431" s="5">
        <v>18963.234565965948</v>
      </c>
      <c r="Q431" s="5">
        <v>52545.991451361173</v>
      </c>
      <c r="R431" s="5">
        <v>8720.6503563381029</v>
      </c>
    </row>
    <row r="432" spans="9:18">
      <c r="I432" s="4">
        <v>417</v>
      </c>
      <c r="J432" s="5">
        <v>8580.4413740966302</v>
      </c>
      <c r="K432" s="5">
        <v>11403.533194020869</v>
      </c>
      <c r="L432" s="5">
        <v>15060.431658965737</v>
      </c>
      <c r="M432" s="5">
        <v>31472.019071027709</v>
      </c>
      <c r="N432" s="5">
        <v>14335.478134989447</v>
      </c>
      <c r="O432" s="5">
        <v>24369.28567093279</v>
      </c>
      <c r="P432" s="5">
        <v>44646.134934589521</v>
      </c>
      <c r="Q432" s="5">
        <v>70295.978314632754</v>
      </c>
      <c r="R432" s="5">
        <v>8130.5639219412278</v>
      </c>
    </row>
    <row r="433" spans="9:18">
      <c r="I433" s="4">
        <v>418</v>
      </c>
      <c r="J433" s="5">
        <v>13841.207384998772</v>
      </c>
      <c r="K433" s="5">
        <v>26110.948843472826</v>
      </c>
      <c r="L433" s="5">
        <v>15764.107424863063</v>
      </c>
      <c r="M433" s="5">
        <v>21332.072353846772</v>
      </c>
      <c r="N433" s="5">
        <v>4770.4216775830728</v>
      </c>
      <c r="O433" s="5">
        <v>33720.545907536376</v>
      </c>
      <c r="P433" s="5">
        <v>14773.185437294762</v>
      </c>
      <c r="Q433" s="5">
        <v>8474.2603471579441</v>
      </c>
      <c r="R433" s="5">
        <v>27349.63499959607</v>
      </c>
    </row>
    <row r="434" spans="9:18">
      <c r="I434" s="4">
        <v>419</v>
      </c>
      <c r="J434" s="5">
        <v>31053.540961463306</v>
      </c>
      <c r="K434" s="5">
        <v>15698.764831033119</v>
      </c>
      <c r="L434" s="5">
        <v>13037.115556745504</v>
      </c>
      <c r="M434" s="5">
        <v>16881.579299055</v>
      </c>
      <c r="N434" s="5">
        <v>59876.136849941562</v>
      </c>
      <c r="O434" s="5">
        <v>41800.463215706819</v>
      </c>
      <c r="P434" s="5">
        <v>5735.6883097179207</v>
      </c>
      <c r="Q434" s="5">
        <v>20987.925664394581</v>
      </c>
      <c r="R434" s="5">
        <v>41418.225609677866</v>
      </c>
    </row>
    <row r="435" spans="9:18">
      <c r="I435" s="4">
        <v>420</v>
      </c>
      <c r="J435" s="5">
        <v>16156.372629961115</v>
      </c>
      <c r="K435" s="5">
        <v>23934.551191616061</v>
      </c>
      <c r="L435" s="5">
        <v>16293.265064857471</v>
      </c>
      <c r="M435" s="5">
        <v>7334.8610818348589</v>
      </c>
      <c r="N435" s="5">
        <v>16581.915858379376</v>
      </c>
      <c r="O435" s="5">
        <v>94068.324736096256</v>
      </c>
      <c r="P435" s="5">
        <v>55119.366528283317</v>
      </c>
      <c r="Q435" s="5">
        <v>9652.8114206999071</v>
      </c>
      <c r="R435" s="5">
        <v>2071.5141323269809</v>
      </c>
    </row>
    <row r="436" spans="9:18">
      <c r="I436" s="4">
        <v>421</v>
      </c>
      <c r="J436" s="5">
        <v>34933.039312618188</v>
      </c>
      <c r="K436" s="5">
        <v>16081.362509465702</v>
      </c>
      <c r="L436" s="5">
        <v>11827.803406885578</v>
      </c>
      <c r="M436" s="5">
        <v>15346.383801976139</v>
      </c>
      <c r="N436" s="5">
        <v>21617.945168312468</v>
      </c>
      <c r="O436" s="5">
        <v>27068.054847826614</v>
      </c>
      <c r="P436" s="5">
        <v>22708.601480587709</v>
      </c>
      <c r="Q436" s="5">
        <v>70295.978314632754</v>
      </c>
      <c r="R436" s="5">
        <v>181970.23111012415</v>
      </c>
    </row>
    <row r="437" spans="9:18">
      <c r="I437" s="4">
        <v>422</v>
      </c>
      <c r="J437" s="5">
        <v>16733.020222212988</v>
      </c>
      <c r="K437" s="5">
        <v>8223.1266007477425</v>
      </c>
      <c r="L437" s="5">
        <v>15161.007794371622</v>
      </c>
      <c r="M437" s="5">
        <v>24981.974172352908</v>
      </c>
      <c r="N437" s="5">
        <v>25549.748582175915</v>
      </c>
      <c r="O437" s="5">
        <v>21930.527973988665</v>
      </c>
      <c r="P437" s="5">
        <v>13793.886507202402</v>
      </c>
      <c r="Q437" s="5">
        <v>70295.978314632754</v>
      </c>
      <c r="R437" s="5">
        <v>50287.76786557267</v>
      </c>
    </row>
    <row r="438" spans="9:18">
      <c r="I438" s="4">
        <v>423</v>
      </c>
      <c r="J438" s="5">
        <v>7855.2948890116513</v>
      </c>
      <c r="K438" s="5">
        <v>16605.655749562578</v>
      </c>
      <c r="L438" s="5">
        <v>16071.260291253868</v>
      </c>
      <c r="M438" s="5">
        <v>19795.661011456152</v>
      </c>
      <c r="N438" s="5">
        <v>13909.728487455486</v>
      </c>
      <c r="O438" s="5">
        <v>32474.063027682765</v>
      </c>
      <c r="P438" s="5">
        <v>25258.981945036445</v>
      </c>
      <c r="Q438" s="5">
        <v>37101.531383212743</v>
      </c>
      <c r="R438" s="5">
        <v>181970.23111012415</v>
      </c>
    </row>
    <row r="439" spans="9:18">
      <c r="I439" s="4">
        <v>424</v>
      </c>
      <c r="J439" s="5">
        <v>73074.062486361407</v>
      </c>
      <c r="K439" s="5">
        <v>6949.5708823216592</v>
      </c>
      <c r="L439" s="5">
        <v>16472.138192556791</v>
      </c>
      <c r="M439" s="5">
        <v>41403.687663920646</v>
      </c>
      <c r="N439" s="5">
        <v>39672.376281023731</v>
      </c>
      <c r="O439" s="5">
        <v>10676.618215263648</v>
      </c>
      <c r="P439" s="5">
        <v>21039.927746191301</v>
      </c>
      <c r="Q439" s="5">
        <v>64585.328088516922</v>
      </c>
      <c r="R439" s="5">
        <v>35232.418639121184</v>
      </c>
    </row>
    <row r="440" spans="9:18">
      <c r="I440" s="4">
        <v>425</v>
      </c>
      <c r="J440" s="5">
        <v>14680.308400328413</v>
      </c>
      <c r="K440" s="5">
        <v>7753.2116148734594</v>
      </c>
      <c r="L440" s="5">
        <v>16017.890956041876</v>
      </c>
      <c r="M440" s="5">
        <v>21913.431401527439</v>
      </c>
      <c r="N440" s="5">
        <v>13511.694619545402</v>
      </c>
      <c r="O440" s="5">
        <v>11282.178219986479</v>
      </c>
      <c r="P440" s="5">
        <v>14327.191387816954</v>
      </c>
      <c r="Q440" s="5">
        <v>30266.563414010914</v>
      </c>
      <c r="R440" s="5">
        <v>7118.1729476780347</v>
      </c>
    </row>
    <row r="441" spans="9:18">
      <c r="I441" s="4">
        <v>426</v>
      </c>
      <c r="J441" s="5">
        <v>31053.540961463306</v>
      </c>
      <c r="K441" s="5">
        <v>8124.7965732661823</v>
      </c>
      <c r="L441" s="5">
        <v>18810.091753970282</v>
      </c>
      <c r="M441" s="5">
        <v>16001.653036457456</v>
      </c>
      <c r="N441" s="5">
        <v>11952.903761138405</v>
      </c>
      <c r="O441" s="5">
        <v>35286.662852302201</v>
      </c>
      <c r="P441" s="5">
        <v>32155.527541400057</v>
      </c>
      <c r="Q441" s="5">
        <v>53055.59182561023</v>
      </c>
      <c r="R441" s="5">
        <v>7394.6358885760465</v>
      </c>
    </row>
    <row r="442" spans="9:18">
      <c r="I442" s="4">
        <v>427</v>
      </c>
      <c r="J442" s="5">
        <v>16544.73779470181</v>
      </c>
      <c r="K442" s="5">
        <v>11507.182177474708</v>
      </c>
      <c r="L442" s="5">
        <v>27144.958215276103</v>
      </c>
      <c r="M442" s="5">
        <v>16881.579299055</v>
      </c>
      <c r="N442" s="5">
        <v>27841.916587595573</v>
      </c>
      <c r="O442" s="5">
        <v>53504.725169095313</v>
      </c>
      <c r="P442" s="5">
        <v>16072.735485912413</v>
      </c>
      <c r="Q442" s="5">
        <v>22895.455950885695</v>
      </c>
      <c r="R442" s="5">
        <v>86510.608303273053</v>
      </c>
    </row>
    <row r="443" spans="9:18">
      <c r="I443" s="4">
        <v>428</v>
      </c>
      <c r="J443" s="5">
        <v>15648.665245032147</v>
      </c>
      <c r="K443" s="5">
        <v>18218.584572172625</v>
      </c>
      <c r="L443" s="5">
        <v>16293.265064857471</v>
      </c>
      <c r="M443" s="5">
        <v>11529.920007560097</v>
      </c>
      <c r="N443" s="5">
        <v>42744.618431291936</v>
      </c>
      <c r="O443" s="5">
        <v>32474.063027682765</v>
      </c>
      <c r="P443" s="5">
        <v>13452.921824087563</v>
      </c>
      <c r="Q443" s="5">
        <v>52545.991451361173</v>
      </c>
      <c r="R443" s="5">
        <v>20303.08745527079</v>
      </c>
    </row>
    <row r="444" spans="9:18">
      <c r="I444" s="4">
        <v>429</v>
      </c>
      <c r="J444" s="5">
        <v>28590.354879265724</v>
      </c>
      <c r="K444" s="5">
        <v>17903.387243834499</v>
      </c>
      <c r="L444" s="5">
        <v>21725.131459372977</v>
      </c>
      <c r="M444" s="5">
        <v>17116.951435661951</v>
      </c>
      <c r="N444" s="5">
        <v>21933.097106966918</v>
      </c>
      <c r="O444" s="5">
        <v>55264.438774006347</v>
      </c>
      <c r="P444" s="5">
        <v>83536.241167211992</v>
      </c>
      <c r="Q444" s="5">
        <v>19541.409060825732</v>
      </c>
      <c r="R444" s="5">
        <v>5865.9802599669383</v>
      </c>
    </row>
    <row r="445" spans="9:18">
      <c r="I445" s="4">
        <v>430</v>
      </c>
      <c r="J445" s="5">
        <v>13918.242013140338</v>
      </c>
      <c r="K445" s="5">
        <v>11403.533194020869</v>
      </c>
      <c r="L445" s="5">
        <v>15060.431658965737</v>
      </c>
      <c r="M445" s="5">
        <v>18177.175180585615</v>
      </c>
      <c r="N445" s="5">
        <v>24020.875410266352</v>
      </c>
      <c r="O445" s="5">
        <v>35286.662852302201</v>
      </c>
      <c r="P445" s="5">
        <v>17974.179326980211</v>
      </c>
      <c r="Q445" s="5">
        <v>64585.328088516922</v>
      </c>
      <c r="R445" s="5">
        <v>7118.1729476780347</v>
      </c>
    </row>
    <row r="446" spans="9:18">
      <c r="I446" s="4">
        <v>431</v>
      </c>
      <c r="J446" s="5">
        <v>9368.8270679249108</v>
      </c>
      <c r="K446" s="5">
        <v>16665.1498926479</v>
      </c>
      <c r="L446" s="5">
        <v>27289.607394458035</v>
      </c>
      <c r="M446" s="5">
        <v>11860.862376247747</v>
      </c>
      <c r="N446" s="5">
        <v>40377.252444397986</v>
      </c>
      <c r="O446" s="5">
        <v>55264.438774006347</v>
      </c>
      <c r="P446" s="5">
        <v>95486.196907583406</v>
      </c>
      <c r="Q446" s="5">
        <v>8880.8074399558282</v>
      </c>
      <c r="R446" s="5">
        <v>8105.1944146993656</v>
      </c>
    </row>
    <row r="447" spans="9:18">
      <c r="I447" s="4">
        <v>432</v>
      </c>
      <c r="J447" s="5">
        <v>22188.291830993156</v>
      </c>
      <c r="K447" s="5">
        <v>15487.124352801369</v>
      </c>
      <c r="L447" s="5">
        <v>18379.634651549037</v>
      </c>
      <c r="M447" s="5">
        <v>21072.983263501868</v>
      </c>
      <c r="N447" s="5">
        <v>16148.901635865295</v>
      </c>
      <c r="O447" s="5">
        <v>27508.313315384185</v>
      </c>
      <c r="P447" s="5">
        <v>33715.790977629549</v>
      </c>
      <c r="Q447" s="5">
        <v>48866.209623168346</v>
      </c>
      <c r="R447" s="5">
        <v>84289.422255274636</v>
      </c>
    </row>
    <row r="448" spans="9:18">
      <c r="I448" s="4">
        <v>433</v>
      </c>
      <c r="J448" s="5">
        <v>16733.020222212988</v>
      </c>
      <c r="K448" s="5">
        <v>21958.925144875713</v>
      </c>
      <c r="L448" s="5">
        <v>25389.332759288587</v>
      </c>
      <c r="M448" s="5">
        <v>12987.517521908694</v>
      </c>
      <c r="N448" s="5">
        <v>14240.123545764454</v>
      </c>
      <c r="O448" s="5">
        <v>49114.195066822271</v>
      </c>
      <c r="P448" s="5">
        <v>26126.807131356076</v>
      </c>
      <c r="Q448" s="5">
        <v>30266.563414010914</v>
      </c>
      <c r="R448" s="5">
        <v>182942.88598316166</v>
      </c>
    </row>
    <row r="449" spans="9:18">
      <c r="I449" s="4">
        <v>434</v>
      </c>
      <c r="J449" s="5">
        <v>14344.692898101612</v>
      </c>
      <c r="K449" s="5">
        <v>19467.955014411935</v>
      </c>
      <c r="L449" s="5">
        <v>16472.138192556791</v>
      </c>
      <c r="M449" s="5">
        <v>16500.222621933419</v>
      </c>
      <c r="N449" s="5">
        <v>63974.903847153939</v>
      </c>
      <c r="O449" s="5">
        <v>83458.030763693328</v>
      </c>
      <c r="P449" s="5">
        <v>48123.003747643132</v>
      </c>
      <c r="Q449" s="5">
        <v>37101.531383212743</v>
      </c>
      <c r="R449" s="5">
        <v>41056.152565483346</v>
      </c>
    </row>
    <row r="450" spans="9:18">
      <c r="I450" s="4">
        <v>435</v>
      </c>
      <c r="J450" s="5">
        <v>22188.291830993156</v>
      </c>
      <c r="K450" s="5">
        <v>22732.797143159998</v>
      </c>
      <c r="L450" s="5">
        <v>14811.370758813007</v>
      </c>
      <c r="M450" s="5">
        <v>25580.243606220469</v>
      </c>
      <c r="N450" s="5">
        <v>23008.246229813707</v>
      </c>
      <c r="O450" s="5">
        <v>16826.763259351828</v>
      </c>
      <c r="P450" s="5">
        <v>22601.57564624758</v>
      </c>
      <c r="Q450" s="5">
        <v>35525.432376048877</v>
      </c>
      <c r="R450" s="5">
        <v>44707.053087992797</v>
      </c>
    </row>
    <row r="451" spans="9:18">
      <c r="I451" s="4">
        <v>436</v>
      </c>
      <c r="J451" s="5">
        <v>16710.807721801892</v>
      </c>
      <c r="K451" s="5">
        <v>18086.448513145526</v>
      </c>
      <c r="L451" s="5">
        <v>29265.217478369766</v>
      </c>
      <c r="M451" s="5">
        <v>9623.0342442006167</v>
      </c>
      <c r="N451" s="5">
        <v>11635.644856128632</v>
      </c>
      <c r="O451" s="5">
        <v>51330.340277512776</v>
      </c>
      <c r="P451" s="5">
        <v>44816.412248582856</v>
      </c>
      <c r="Q451" s="5">
        <v>31019.493883163672</v>
      </c>
      <c r="R451" s="5">
        <v>181970.23111012415</v>
      </c>
    </row>
    <row r="452" spans="9:18">
      <c r="I452" s="4">
        <v>437</v>
      </c>
      <c r="J452" s="5">
        <v>49463.324094345015</v>
      </c>
      <c r="K452" s="5">
        <v>20887.307279900142</v>
      </c>
      <c r="L452" s="5">
        <v>19359.475411188432</v>
      </c>
      <c r="M452" s="5">
        <v>13616.35938654862</v>
      </c>
      <c r="N452" s="5">
        <v>63974.903847153939</v>
      </c>
      <c r="O452" s="5">
        <v>10746.295275180995</v>
      </c>
      <c r="P452" s="5">
        <v>33715.790977629549</v>
      </c>
      <c r="Q452" s="5">
        <v>4631.7430487757983</v>
      </c>
      <c r="R452" s="5">
        <v>122304.95880137496</v>
      </c>
    </row>
    <row r="453" spans="9:18">
      <c r="I453" s="4">
        <v>438</v>
      </c>
      <c r="J453" s="5">
        <v>14960.076233580705</v>
      </c>
      <c r="K453" s="5">
        <v>9769.3659785458403</v>
      </c>
      <c r="L453" s="5">
        <v>14649.721476864312</v>
      </c>
      <c r="M453" s="5">
        <v>21332.072353846772</v>
      </c>
      <c r="N453" s="5">
        <v>15251.140047572881</v>
      </c>
      <c r="O453" s="5">
        <v>36759.655306288936</v>
      </c>
      <c r="P453" s="5">
        <v>32167.874670939738</v>
      </c>
      <c r="Q453" s="5">
        <v>71213.172792303565</v>
      </c>
      <c r="R453" s="5">
        <v>16039.216896723072</v>
      </c>
    </row>
    <row r="454" spans="9:18">
      <c r="I454" s="4">
        <v>439</v>
      </c>
      <c r="J454" s="5">
        <v>13391.049101507895</v>
      </c>
      <c r="K454" s="5">
        <v>37822.375317881044</v>
      </c>
      <c r="L454" s="5">
        <v>15359.132481533357</v>
      </c>
      <c r="M454" s="5">
        <v>23913.435663027711</v>
      </c>
      <c r="N454" s="5">
        <v>9989.086510768735</v>
      </c>
      <c r="O454" s="5">
        <v>16505.600261180331</v>
      </c>
      <c r="P454" s="5">
        <v>16072.735485912413</v>
      </c>
      <c r="Q454" s="5">
        <v>71213.172792303565</v>
      </c>
      <c r="R454" s="5">
        <v>59414.886464347241</v>
      </c>
    </row>
    <row r="455" spans="9:18">
      <c r="I455" s="4">
        <v>440</v>
      </c>
      <c r="J455" s="5">
        <v>14076.209333698853</v>
      </c>
      <c r="K455" s="5">
        <v>16132.555399908759</v>
      </c>
      <c r="L455" s="5">
        <v>21428.663623484812</v>
      </c>
      <c r="M455" s="5">
        <v>23067.94260629595</v>
      </c>
      <c r="N455" s="5">
        <v>59876.136849941562</v>
      </c>
      <c r="O455" s="5">
        <v>55264.438774006347</v>
      </c>
      <c r="P455" s="5">
        <v>20403.656304140692</v>
      </c>
      <c r="Q455" s="5">
        <v>30495.121067047665</v>
      </c>
      <c r="R455" s="5">
        <v>17304.847214362417</v>
      </c>
    </row>
    <row r="456" spans="9:18">
      <c r="I456" s="4">
        <v>441</v>
      </c>
      <c r="J456" s="5">
        <v>16416.142496463777</v>
      </c>
      <c r="K456" s="5">
        <v>14095.75230105142</v>
      </c>
      <c r="L456" s="5">
        <v>24256.352541181568</v>
      </c>
      <c r="M456" s="5">
        <v>10111.451009425113</v>
      </c>
      <c r="N456" s="5">
        <v>23283.854578052265</v>
      </c>
      <c r="O456" s="5">
        <v>20930.098352661731</v>
      </c>
      <c r="P456" s="5">
        <v>13452.921824087563</v>
      </c>
      <c r="Q456" s="5">
        <v>15663.43865741136</v>
      </c>
      <c r="R456" s="5">
        <v>84289.422255274636</v>
      </c>
    </row>
    <row r="457" spans="9:18">
      <c r="I457" s="4">
        <v>442</v>
      </c>
      <c r="J457" s="5">
        <v>26634.853073396614</v>
      </c>
      <c r="K457" s="5">
        <v>14579.232378315752</v>
      </c>
      <c r="L457" s="5">
        <v>23561.450544884348</v>
      </c>
      <c r="M457" s="5">
        <v>7334.8610818348589</v>
      </c>
      <c r="N457" s="5">
        <v>19225.139878706803</v>
      </c>
      <c r="O457" s="5">
        <v>3171.3006415671193</v>
      </c>
      <c r="P457" s="5">
        <v>20391.123772341358</v>
      </c>
      <c r="Q457" s="5">
        <v>21421.044775857536</v>
      </c>
      <c r="R457" s="5">
        <v>123773.40402252052</v>
      </c>
    </row>
    <row r="458" spans="9:18">
      <c r="I458" s="4">
        <v>443</v>
      </c>
      <c r="J458" s="5">
        <v>31053.540961463306</v>
      </c>
      <c r="K458" s="5">
        <v>16952.949313901812</v>
      </c>
      <c r="L458" s="5">
        <v>14316.474075738101</v>
      </c>
      <c r="M458" s="5">
        <v>30830.81083227017</v>
      </c>
      <c r="N458" s="5">
        <v>20718.434293991453</v>
      </c>
      <c r="O458" s="5">
        <v>6199.3195463515376</v>
      </c>
      <c r="P458" s="5">
        <v>13452.921824087563</v>
      </c>
      <c r="Q458" s="5">
        <v>53055.59182561023</v>
      </c>
      <c r="R458" s="5">
        <v>26783.439354489365</v>
      </c>
    </row>
    <row r="459" spans="9:18">
      <c r="I459" s="4">
        <v>444</v>
      </c>
      <c r="J459" s="5">
        <v>16511.332839561353</v>
      </c>
      <c r="K459" s="5">
        <v>24728.095385476983</v>
      </c>
      <c r="L459" s="5">
        <v>15060.431658965737</v>
      </c>
      <c r="M459" s="5">
        <v>31554.722481137964</v>
      </c>
      <c r="N459" s="5">
        <v>40377.252444397986</v>
      </c>
      <c r="O459" s="5">
        <v>16826.763259351828</v>
      </c>
      <c r="P459" s="5">
        <v>13793.886507202402</v>
      </c>
      <c r="Q459" s="5">
        <v>92068.726035424203</v>
      </c>
      <c r="R459" s="5">
        <v>3433.6677391851467</v>
      </c>
    </row>
    <row r="460" spans="9:18">
      <c r="I460" s="4">
        <v>445</v>
      </c>
      <c r="J460" s="5">
        <v>11854.381651026555</v>
      </c>
      <c r="K460" s="5">
        <v>13719.930466819731</v>
      </c>
      <c r="L460" s="5">
        <v>17128.574519497746</v>
      </c>
      <c r="M460" s="5">
        <v>16510.442870615672</v>
      </c>
      <c r="N460" s="5">
        <v>12297.015342318469</v>
      </c>
      <c r="O460" s="5">
        <v>79848.944504816522</v>
      </c>
      <c r="P460" s="5">
        <v>17996.895987204196</v>
      </c>
      <c r="Q460" s="5">
        <v>37802.358878968138</v>
      </c>
      <c r="R460" s="5">
        <v>86510.608303273053</v>
      </c>
    </row>
    <row r="461" spans="9:18">
      <c r="I461" s="4">
        <v>446</v>
      </c>
      <c r="J461" s="5">
        <v>14680.308400328413</v>
      </c>
      <c r="K461" s="5">
        <v>56656.842992470461</v>
      </c>
      <c r="L461" s="5">
        <v>22162.138529251199</v>
      </c>
      <c r="M461" s="5">
        <v>15586.009710351766</v>
      </c>
      <c r="N461" s="5">
        <v>21009.255892677338</v>
      </c>
      <c r="O461" s="5">
        <v>8801.3667015774663</v>
      </c>
      <c r="P461" s="5">
        <v>25258.981945036445</v>
      </c>
      <c r="Q461" s="5">
        <v>9454.5906023793759</v>
      </c>
      <c r="R461" s="5">
        <v>33290.909836056817</v>
      </c>
    </row>
    <row r="462" spans="9:18">
      <c r="I462" s="4">
        <v>447</v>
      </c>
      <c r="J462" s="5">
        <v>28169.050633834027</v>
      </c>
      <c r="K462" s="5">
        <v>16873.752266014431</v>
      </c>
      <c r="L462" s="5">
        <v>16106.634875163341</v>
      </c>
      <c r="M462" s="5">
        <v>17116.951435661951</v>
      </c>
      <c r="N462" s="5">
        <v>24853.247795632611</v>
      </c>
      <c r="O462" s="5">
        <v>77417.02098927302</v>
      </c>
      <c r="P462" s="5">
        <v>39054.462981000084</v>
      </c>
      <c r="Q462" s="5">
        <v>129470.11441833655</v>
      </c>
      <c r="R462" s="5">
        <v>72561.496699005787</v>
      </c>
    </row>
    <row r="463" spans="9:18">
      <c r="I463" s="4">
        <v>448</v>
      </c>
      <c r="J463" s="5">
        <v>14671.176405938595</v>
      </c>
      <c r="K463" s="5">
        <v>11149.572204897504</v>
      </c>
      <c r="L463" s="5">
        <v>10752.183901283248</v>
      </c>
      <c r="M463" s="5">
        <v>21833.004790208965</v>
      </c>
      <c r="N463" s="5">
        <v>12297.015342318469</v>
      </c>
      <c r="O463" s="5">
        <v>25802.481365323994</v>
      </c>
      <c r="P463" s="5">
        <v>55152.110177667731</v>
      </c>
      <c r="Q463" s="5">
        <v>31974.553851773013</v>
      </c>
      <c r="R463" s="5">
        <v>62674.060343500474</v>
      </c>
    </row>
    <row r="464" spans="9:18">
      <c r="I464" s="4">
        <v>449</v>
      </c>
      <c r="J464" s="5">
        <v>11843.28062342474</v>
      </c>
      <c r="K464" s="5">
        <v>13288.692555879701</v>
      </c>
      <c r="L464" s="5">
        <v>15832.5469007027</v>
      </c>
      <c r="M464" s="5">
        <v>21913.431401527439</v>
      </c>
      <c r="N464" s="5">
        <v>9209.4418830788036</v>
      </c>
      <c r="O464" s="5">
        <v>31172.963108652857</v>
      </c>
      <c r="P464" s="5">
        <v>12639.596794453437</v>
      </c>
      <c r="Q464" s="5">
        <v>17234.335939857254</v>
      </c>
      <c r="R464" s="5">
        <v>55012.315589742022</v>
      </c>
    </row>
    <row r="465" spans="9:18">
      <c r="I465" s="4">
        <v>450</v>
      </c>
      <c r="J465" s="5">
        <v>16016.491239086423</v>
      </c>
      <c r="K465" s="5">
        <v>16273.14570113692</v>
      </c>
      <c r="L465" s="5">
        <v>23561.450544884348</v>
      </c>
      <c r="M465" s="5">
        <v>19890.009981657669</v>
      </c>
      <c r="N465" s="5">
        <v>42744.618431291936</v>
      </c>
      <c r="O465" s="5">
        <v>10270.120415297655</v>
      </c>
      <c r="P465" s="5">
        <v>21933.779100635442</v>
      </c>
      <c r="Q465" s="5">
        <v>7457.1844090365566</v>
      </c>
      <c r="R465" s="5">
        <v>24831.679362998926</v>
      </c>
    </row>
    <row r="466" spans="9:18">
      <c r="I466" s="4">
        <v>451</v>
      </c>
      <c r="J466" s="5">
        <v>14344.692898101612</v>
      </c>
      <c r="K466" s="5">
        <v>12777.667398488715</v>
      </c>
      <c r="L466" s="5">
        <v>13417.453622029931</v>
      </c>
      <c r="M466" s="5">
        <v>20229.919588372999</v>
      </c>
      <c r="N466" s="5">
        <v>15658.063692994532</v>
      </c>
      <c r="O466" s="5">
        <v>55264.438774006347</v>
      </c>
      <c r="P466" s="5">
        <v>31127.87225845682</v>
      </c>
      <c r="Q466" s="5">
        <v>100789.83462564547</v>
      </c>
      <c r="R466" s="5">
        <v>23583.884732956092</v>
      </c>
    </row>
    <row r="467" spans="9:18">
      <c r="I467" s="4">
        <v>452</v>
      </c>
      <c r="J467" s="5">
        <v>15417.870921574262</v>
      </c>
      <c r="K467" s="5">
        <v>32073.547537933715</v>
      </c>
      <c r="L467" s="5">
        <v>10896.494237357269</v>
      </c>
      <c r="M467" s="5">
        <v>26477.996319655329</v>
      </c>
      <c r="N467" s="5">
        <v>17214.078970533748</v>
      </c>
      <c r="O467" s="5">
        <v>32474.063027682765</v>
      </c>
      <c r="P467" s="5">
        <v>9826.8369575407578</v>
      </c>
      <c r="Q467" s="5">
        <v>3272.4685014937832</v>
      </c>
      <c r="R467" s="5">
        <v>17687.533637716911</v>
      </c>
    </row>
    <row r="468" spans="9:18">
      <c r="I468" s="4">
        <v>453</v>
      </c>
      <c r="J468" s="5">
        <v>15081.728672246438</v>
      </c>
      <c r="K468" s="5">
        <v>8223.1266007477425</v>
      </c>
      <c r="L468" s="5">
        <v>17243.440968229323</v>
      </c>
      <c r="M468" s="5">
        <v>22326.253555179093</v>
      </c>
      <c r="N468" s="5">
        <v>23008.246229813707</v>
      </c>
      <c r="O468" s="5">
        <v>13966.178986479143</v>
      </c>
      <c r="P468" s="5">
        <v>27373.102585108634</v>
      </c>
      <c r="Q468" s="5">
        <v>48756.323642664109</v>
      </c>
      <c r="R468" s="5">
        <v>24831.679362998926</v>
      </c>
    </row>
    <row r="469" spans="9:18">
      <c r="I469" s="4">
        <v>454</v>
      </c>
      <c r="J469" s="5">
        <v>16156.372629961115</v>
      </c>
      <c r="K469" s="5">
        <v>37822.375317881044</v>
      </c>
      <c r="L469" s="5">
        <v>22319.409576580376</v>
      </c>
      <c r="M469" s="5">
        <v>6367.5407465007311</v>
      </c>
      <c r="N469" s="5">
        <v>36962.805083900916</v>
      </c>
      <c r="O469" s="5">
        <v>28431.436490368542</v>
      </c>
      <c r="P469" s="5">
        <v>3017.2887813579896</v>
      </c>
      <c r="Q469" s="5">
        <v>8502.450657922871</v>
      </c>
      <c r="R469" s="5">
        <v>13258.538726001538</v>
      </c>
    </row>
    <row r="470" spans="9:18">
      <c r="I470" s="4">
        <v>455</v>
      </c>
      <c r="J470" s="5">
        <v>15648.665245032147</v>
      </c>
      <c r="K470" s="5">
        <v>15391.837334808681</v>
      </c>
      <c r="L470" s="5">
        <v>19078.910217042379</v>
      </c>
      <c r="M470" s="5">
        <v>23454.775510296178</v>
      </c>
      <c r="N470" s="5">
        <v>21933.097106966918</v>
      </c>
      <c r="O470" s="5">
        <v>26268.613803794757</v>
      </c>
      <c r="P470" s="5">
        <v>32155.527541400057</v>
      </c>
      <c r="Q470" s="5">
        <v>7349.2234634219121</v>
      </c>
      <c r="R470" s="5">
        <v>17304.847214362417</v>
      </c>
    </row>
    <row r="471" spans="9:18">
      <c r="I471" s="4">
        <v>456</v>
      </c>
      <c r="J471" s="5">
        <v>28590.354879265724</v>
      </c>
      <c r="K471" s="5">
        <v>10931.803935361211</v>
      </c>
      <c r="L471" s="5">
        <v>14796.875457021113</v>
      </c>
      <c r="M471" s="5">
        <v>16842.379179328669</v>
      </c>
      <c r="N471" s="5">
        <v>20558.672182394013</v>
      </c>
      <c r="O471" s="5">
        <v>28431.436490368542</v>
      </c>
      <c r="P471" s="5">
        <v>12992.105410393709</v>
      </c>
      <c r="Q471" s="5">
        <v>92068.726035424203</v>
      </c>
      <c r="R471" s="5">
        <v>24722.972470599001</v>
      </c>
    </row>
    <row r="472" spans="9:18">
      <c r="I472" s="4">
        <v>457</v>
      </c>
      <c r="J472" s="5">
        <v>15081.728672246438</v>
      </c>
      <c r="K472" s="5">
        <v>10931.803935361211</v>
      </c>
      <c r="L472" s="5">
        <v>18475.258050488967</v>
      </c>
      <c r="M472" s="5">
        <v>23067.94260629595</v>
      </c>
      <c r="N472" s="5">
        <v>46248.895746171031</v>
      </c>
      <c r="O472" s="5">
        <v>16505.600261180331</v>
      </c>
      <c r="P472" s="5">
        <v>12992.105410393709</v>
      </c>
      <c r="Q472" s="5">
        <v>14064.158297039334</v>
      </c>
      <c r="R472" s="5">
        <v>91403.228438796665</v>
      </c>
    </row>
    <row r="473" spans="9:18">
      <c r="I473" s="4">
        <v>458</v>
      </c>
      <c r="J473" s="5">
        <v>11843.28062342474</v>
      </c>
      <c r="K473" s="5">
        <v>16132.555399908759</v>
      </c>
      <c r="L473" s="5">
        <v>18379.634651549037</v>
      </c>
      <c r="M473" s="5">
        <v>16881.579299055</v>
      </c>
      <c r="N473" s="5">
        <v>21909.120225822895</v>
      </c>
      <c r="O473" s="5">
        <v>13966.178986479143</v>
      </c>
      <c r="P473" s="5">
        <v>44816.412248582856</v>
      </c>
      <c r="Q473" s="5">
        <v>16803.875627203233</v>
      </c>
      <c r="R473" s="5">
        <v>181970.23111012415</v>
      </c>
    </row>
    <row r="474" spans="9:18">
      <c r="I474" s="4">
        <v>459</v>
      </c>
      <c r="J474" s="5">
        <v>11843.28062342474</v>
      </c>
      <c r="K474" s="5">
        <v>16674.541027260992</v>
      </c>
      <c r="L474" s="5">
        <v>17578.712723867691</v>
      </c>
      <c r="M474" s="5">
        <v>30830.81083227017</v>
      </c>
      <c r="N474" s="5">
        <v>17811.114014514766</v>
      </c>
      <c r="O474" s="5">
        <v>13519.384207850644</v>
      </c>
      <c r="P474" s="5">
        <v>55152.110177667731</v>
      </c>
      <c r="Q474" s="5">
        <v>27018.509959127641</v>
      </c>
      <c r="R474" s="5">
        <v>50287.76786557267</v>
      </c>
    </row>
    <row r="475" spans="9:18">
      <c r="I475" s="4">
        <v>460</v>
      </c>
      <c r="J475" s="5">
        <v>49463.324094345015</v>
      </c>
      <c r="K475" s="5">
        <v>16873.752266014431</v>
      </c>
      <c r="L475" s="5">
        <v>23561.450544884348</v>
      </c>
      <c r="M475" s="5">
        <v>14660.631931099009</v>
      </c>
      <c r="N475" s="5">
        <v>27841.916587595573</v>
      </c>
      <c r="O475" s="5">
        <v>27068.054847826614</v>
      </c>
      <c r="P475" s="5">
        <v>3930.0915591834291</v>
      </c>
      <c r="Q475" s="5">
        <v>16591.881190929333</v>
      </c>
      <c r="R475" s="5">
        <v>44707.053087992797</v>
      </c>
    </row>
    <row r="476" spans="9:18">
      <c r="I476" s="4">
        <v>461</v>
      </c>
      <c r="J476" s="5">
        <v>16016.491239086423</v>
      </c>
      <c r="K476" s="5">
        <v>16674.541027260992</v>
      </c>
      <c r="L476" s="5">
        <v>15832.5469007027</v>
      </c>
      <c r="M476" s="5">
        <v>20550.782384061673</v>
      </c>
      <c r="N476" s="5">
        <v>23998.040874392525</v>
      </c>
      <c r="O476" s="5">
        <v>8121.6248378263163</v>
      </c>
      <c r="P476" s="5">
        <v>10180.109839011631</v>
      </c>
      <c r="Q476" s="5">
        <v>10151.908492905288</v>
      </c>
      <c r="R476" s="5">
        <v>14051.647494499957</v>
      </c>
    </row>
    <row r="477" spans="9:18">
      <c r="I477" s="4">
        <v>462</v>
      </c>
      <c r="J477" s="5">
        <v>15081.728672246438</v>
      </c>
      <c r="K477" s="5">
        <v>14854.898507619706</v>
      </c>
      <c r="L477" s="5">
        <v>15359.132481533357</v>
      </c>
      <c r="M477" s="5">
        <v>12735.841453044006</v>
      </c>
      <c r="N477" s="5">
        <v>25549.748582175915</v>
      </c>
      <c r="O477" s="5">
        <v>27062.73412298776</v>
      </c>
      <c r="P477" s="5">
        <v>63015.124693769802</v>
      </c>
      <c r="Q477" s="5">
        <v>17153.530968450712</v>
      </c>
      <c r="R477" s="5">
        <v>34970.397641695177</v>
      </c>
    </row>
    <row r="478" spans="9:18">
      <c r="I478" s="4">
        <v>463</v>
      </c>
      <c r="J478" s="5">
        <v>13595.404057849493</v>
      </c>
      <c r="K478" s="5">
        <v>18218.584572172625</v>
      </c>
      <c r="L478" s="5">
        <v>17578.712723867691</v>
      </c>
      <c r="M478" s="5">
        <v>11860.862376247747</v>
      </c>
      <c r="N478" s="5">
        <v>15786.177386596903</v>
      </c>
      <c r="O478" s="5">
        <v>45451.954570113048</v>
      </c>
      <c r="P478" s="5">
        <v>83536.241167211992</v>
      </c>
      <c r="Q478" s="5">
        <v>14064.158297039334</v>
      </c>
      <c r="R478" s="5">
        <v>31715.273557891396</v>
      </c>
    </row>
    <row r="479" spans="9:18">
      <c r="I479" s="4">
        <v>464</v>
      </c>
      <c r="J479" s="5">
        <v>31559.699247539775</v>
      </c>
      <c r="K479" s="5">
        <v>15428.770955406064</v>
      </c>
      <c r="L479" s="5">
        <v>13023.361770761438</v>
      </c>
      <c r="M479" s="5">
        <v>19151.339770278159</v>
      </c>
      <c r="N479" s="5">
        <v>14921.795973817481</v>
      </c>
      <c r="O479" s="5">
        <v>24247.516962783076</v>
      </c>
      <c r="P479" s="5">
        <v>38024.168395914428</v>
      </c>
      <c r="Q479" s="5">
        <v>30495.121067047665</v>
      </c>
      <c r="R479" s="5">
        <v>40368.364083205248</v>
      </c>
    </row>
    <row r="480" spans="9:18">
      <c r="I480" s="4">
        <v>465</v>
      </c>
      <c r="J480" s="5">
        <v>12035.382213755307</v>
      </c>
      <c r="K480" s="5">
        <v>9739.7813029644258</v>
      </c>
      <c r="L480" s="5">
        <v>14811.370758813007</v>
      </c>
      <c r="M480" s="5">
        <v>31460.745851561904</v>
      </c>
      <c r="N480" s="5">
        <v>29468.83360104046</v>
      </c>
      <c r="O480" s="5">
        <v>51330.340277512776</v>
      </c>
      <c r="P480" s="5">
        <v>46514.467673254068</v>
      </c>
      <c r="Q480" s="5">
        <v>8474.2603471579441</v>
      </c>
      <c r="R480" s="5">
        <v>29295.938844292672</v>
      </c>
    </row>
    <row r="481" spans="9:18">
      <c r="I481" s="4">
        <v>466</v>
      </c>
      <c r="J481" s="5">
        <v>16305.770155972396</v>
      </c>
      <c r="K481" s="5">
        <v>29672.680843304515</v>
      </c>
      <c r="L481" s="5">
        <v>17716.90539191998</v>
      </c>
      <c r="M481" s="5">
        <v>29834.240613550006</v>
      </c>
      <c r="N481" s="5">
        <v>13909.728487455486</v>
      </c>
      <c r="O481" s="5">
        <v>24369.28567093279</v>
      </c>
      <c r="P481" s="5">
        <v>40377.463755170742</v>
      </c>
      <c r="Q481" s="5">
        <v>19315.033835554255</v>
      </c>
      <c r="R481" s="5">
        <v>5865.9802599669383</v>
      </c>
    </row>
    <row r="482" spans="9:18">
      <c r="I482" s="4">
        <v>467</v>
      </c>
      <c r="J482" s="5">
        <v>28169.050633834027</v>
      </c>
      <c r="K482" s="5">
        <v>13652.224205833634</v>
      </c>
      <c r="L482" s="5">
        <v>19078.910217042379</v>
      </c>
      <c r="M482" s="5">
        <v>12934.591863415189</v>
      </c>
      <c r="N482" s="5">
        <v>12297.015342318469</v>
      </c>
      <c r="O482" s="5">
        <v>18637.945795127704</v>
      </c>
      <c r="P482" s="5">
        <v>54100.778483493887</v>
      </c>
      <c r="Q482" s="5">
        <v>27789.973552634947</v>
      </c>
      <c r="R482" s="5">
        <v>1535.701520095213</v>
      </c>
    </row>
    <row r="483" spans="9:18">
      <c r="I483" s="4">
        <v>468</v>
      </c>
      <c r="J483" s="5">
        <v>15786.811016780619</v>
      </c>
      <c r="K483" s="5">
        <v>10931.803935361211</v>
      </c>
      <c r="L483" s="5">
        <v>16071.478531535273</v>
      </c>
      <c r="M483" s="5">
        <v>16510.442870615672</v>
      </c>
      <c r="N483" s="5">
        <v>11684.605182472778</v>
      </c>
      <c r="O483" s="5">
        <v>24422.445067017139</v>
      </c>
      <c r="P483" s="5">
        <v>38771.994792132391</v>
      </c>
      <c r="Q483" s="5">
        <v>28567.61306643406</v>
      </c>
      <c r="R483" s="5">
        <v>59414.886464347241</v>
      </c>
    </row>
    <row r="484" spans="9:18">
      <c r="I484" s="4">
        <v>469</v>
      </c>
      <c r="J484" s="5">
        <v>14538.277247583976</v>
      </c>
      <c r="K484" s="5">
        <v>11507.182177474708</v>
      </c>
      <c r="L484" s="5">
        <v>13358.459356674217</v>
      </c>
      <c r="M484" s="5">
        <v>15202.972920708273</v>
      </c>
      <c r="N484" s="5">
        <v>11751.639947035985</v>
      </c>
      <c r="O484" s="5">
        <v>66253.993323243907</v>
      </c>
      <c r="P484" s="5">
        <v>17737.38315098183</v>
      </c>
      <c r="Q484" s="5">
        <v>31019.493883163672</v>
      </c>
      <c r="R484" s="5">
        <v>72640.340924600489</v>
      </c>
    </row>
    <row r="485" spans="9:18">
      <c r="I485" s="4">
        <v>470</v>
      </c>
      <c r="J485" s="5">
        <v>14749.343145806102</v>
      </c>
      <c r="K485" s="5">
        <v>18218.584572172625</v>
      </c>
      <c r="L485" s="5">
        <v>15664.99858445921</v>
      </c>
      <c r="M485" s="5">
        <v>12619.198742021435</v>
      </c>
      <c r="N485" s="5">
        <v>22868.569282757788</v>
      </c>
      <c r="O485" s="5">
        <v>13966.178986479143</v>
      </c>
      <c r="P485" s="5">
        <v>38024.168395914428</v>
      </c>
      <c r="Q485" s="5">
        <v>8474.2603471579441</v>
      </c>
      <c r="R485" s="5">
        <v>33290.909836056817</v>
      </c>
    </row>
    <row r="486" spans="9:18">
      <c r="I486" s="4">
        <v>471</v>
      </c>
      <c r="J486" s="5">
        <v>21717.214093683677</v>
      </c>
      <c r="K486" s="5">
        <v>11206.053243692098</v>
      </c>
      <c r="L486" s="5">
        <v>13037.115556745504</v>
      </c>
      <c r="M486" s="5">
        <v>41698.977215629871</v>
      </c>
      <c r="N486" s="5">
        <v>22511.351424689696</v>
      </c>
      <c r="O486" s="5">
        <v>19430.912633256889</v>
      </c>
      <c r="P486" s="5">
        <v>12790.85158217316</v>
      </c>
      <c r="Q486" s="5">
        <v>59964.86015574776</v>
      </c>
      <c r="R486" s="5">
        <v>26783.439354489365</v>
      </c>
    </row>
    <row r="487" spans="9:18">
      <c r="I487" s="4">
        <v>472</v>
      </c>
      <c r="J487" s="5">
        <v>13918.242013140338</v>
      </c>
      <c r="K487" s="5">
        <v>14587.813833513306</v>
      </c>
      <c r="L487" s="5">
        <v>18810.091753970282</v>
      </c>
      <c r="M487" s="5">
        <v>20041.623430301417</v>
      </c>
      <c r="N487" s="5">
        <v>19225.139878706803</v>
      </c>
      <c r="O487" s="5">
        <v>15936.062371781712</v>
      </c>
      <c r="P487" s="5">
        <v>17974.179326980211</v>
      </c>
      <c r="Q487" s="5">
        <v>37101.531383212743</v>
      </c>
      <c r="R487" s="5">
        <v>7201.7586694681067</v>
      </c>
    </row>
    <row r="488" spans="9:18">
      <c r="I488" s="4">
        <v>473</v>
      </c>
      <c r="J488" s="5">
        <v>23517.429992060665</v>
      </c>
      <c r="K488" s="5">
        <v>15051.330276415061</v>
      </c>
      <c r="L488" s="5">
        <v>17683.765335572589</v>
      </c>
      <c r="M488" s="5">
        <v>12619.198742021435</v>
      </c>
      <c r="N488" s="5">
        <v>18410.937863650517</v>
      </c>
      <c r="O488" s="5">
        <v>66253.993323243907</v>
      </c>
      <c r="P488" s="5">
        <v>18963.234565965948</v>
      </c>
      <c r="Q488" s="5">
        <v>37277.391668005912</v>
      </c>
      <c r="R488" s="5">
        <v>3311.4906988006405</v>
      </c>
    </row>
    <row r="489" spans="9:18">
      <c r="I489" s="4">
        <v>474</v>
      </c>
      <c r="J489" s="5">
        <v>14594.990625703947</v>
      </c>
      <c r="K489" s="5">
        <v>16934.093371663999</v>
      </c>
      <c r="L489" s="5">
        <v>18379.634651549037</v>
      </c>
      <c r="M489" s="5">
        <v>18177.175180585615</v>
      </c>
      <c r="N489" s="5">
        <v>24769.339976495565</v>
      </c>
      <c r="O489" s="5">
        <v>35286.662852302201</v>
      </c>
      <c r="P489" s="5">
        <v>17974.179326980211</v>
      </c>
      <c r="Q489" s="5">
        <v>47365.380972950254</v>
      </c>
      <c r="R489" s="5">
        <v>7879.038918914337</v>
      </c>
    </row>
    <row r="490" spans="9:18">
      <c r="I490" s="4">
        <v>475</v>
      </c>
      <c r="J490" s="5">
        <v>14750.660273177687</v>
      </c>
      <c r="K490" s="5">
        <v>26110.948843472826</v>
      </c>
      <c r="L490" s="5">
        <v>15300.182042823812</v>
      </c>
      <c r="M490" s="5">
        <v>22815.60259636537</v>
      </c>
      <c r="N490" s="5">
        <v>23998.040874392525</v>
      </c>
      <c r="O490" s="5">
        <v>24258.192244316608</v>
      </c>
      <c r="P490" s="5">
        <v>23769.190223735484</v>
      </c>
      <c r="Q490" s="5">
        <v>28567.61306643406</v>
      </c>
      <c r="R490" s="5">
        <v>3989.7956692889929</v>
      </c>
    </row>
    <row r="491" spans="9:18">
      <c r="I491" s="4">
        <v>476</v>
      </c>
      <c r="J491" s="5">
        <v>9405.362381917912</v>
      </c>
      <c r="K491" s="5">
        <v>34164.842952759042</v>
      </c>
      <c r="L491" s="5">
        <v>22162.138529251199</v>
      </c>
      <c r="M491" s="5">
        <v>13022.686998540772</v>
      </c>
      <c r="N491" s="5">
        <v>48565.498233359976</v>
      </c>
      <c r="O491" s="5">
        <v>49114.195066822271</v>
      </c>
      <c r="P491" s="5">
        <v>35569.894390728325</v>
      </c>
      <c r="Q491" s="5">
        <v>37101.531383212743</v>
      </c>
      <c r="R491" s="5">
        <v>18720.450716365784</v>
      </c>
    </row>
    <row r="492" spans="9:18">
      <c r="I492" s="4">
        <v>477</v>
      </c>
      <c r="J492" s="5">
        <v>12701.339251949787</v>
      </c>
      <c r="K492" s="5">
        <v>14854.898507619706</v>
      </c>
      <c r="L492" s="5">
        <v>19078.910217042379</v>
      </c>
      <c r="M492" s="5">
        <v>20788.503422877813</v>
      </c>
      <c r="N492" s="5">
        <v>15658.063692994532</v>
      </c>
      <c r="O492" s="5">
        <v>16505.600261180331</v>
      </c>
      <c r="P492" s="5">
        <v>17974.179326980211</v>
      </c>
      <c r="Q492" s="5">
        <v>14064.158297039334</v>
      </c>
      <c r="R492" s="5">
        <v>33290.909836056817</v>
      </c>
    </row>
    <row r="493" spans="9:18">
      <c r="I493" s="4">
        <v>478</v>
      </c>
      <c r="J493" s="5">
        <v>12035.382213755307</v>
      </c>
      <c r="K493" s="5">
        <v>17003.901855709089</v>
      </c>
      <c r="L493" s="5">
        <v>17128.574519497746</v>
      </c>
      <c r="M493" s="5">
        <v>17116.951435661951</v>
      </c>
      <c r="N493" s="5">
        <v>11251.634703629026</v>
      </c>
      <c r="O493" s="5">
        <v>25604.597681740845</v>
      </c>
      <c r="P493" s="5">
        <v>9482.0186426688688</v>
      </c>
      <c r="Q493" s="5">
        <v>14064.158297039334</v>
      </c>
      <c r="R493" s="5">
        <v>18349.337771428582</v>
      </c>
    </row>
    <row r="494" spans="9:18">
      <c r="I494" s="4">
        <v>479</v>
      </c>
      <c r="J494" s="5">
        <v>19467.17453557903</v>
      </c>
      <c r="K494" s="5">
        <v>17128.860847126922</v>
      </c>
      <c r="L494" s="5">
        <v>16071.478531535273</v>
      </c>
      <c r="M494" s="5">
        <v>30785.663999045999</v>
      </c>
      <c r="N494" s="5">
        <v>6130.3882288404347</v>
      </c>
      <c r="O494" s="5">
        <v>30656.031716467984</v>
      </c>
      <c r="P494" s="5">
        <v>55119.366528283317</v>
      </c>
      <c r="Q494" s="5">
        <v>37277.391668005912</v>
      </c>
      <c r="R494" s="5">
        <v>10885.018205103002</v>
      </c>
    </row>
    <row r="495" spans="9:18">
      <c r="I495" s="4">
        <v>480</v>
      </c>
      <c r="J495" s="5">
        <v>7855.2948890116513</v>
      </c>
      <c r="K495" s="5">
        <v>18086.448513145526</v>
      </c>
      <c r="L495" s="5">
        <v>29265.217478369766</v>
      </c>
      <c r="M495" s="5">
        <v>11680.747299075838</v>
      </c>
      <c r="N495" s="5">
        <v>59876.136849941562</v>
      </c>
      <c r="O495" s="5">
        <v>10270.120415297655</v>
      </c>
      <c r="P495" s="5">
        <v>6275.8915673055426</v>
      </c>
      <c r="Q495" s="5">
        <v>30495.121067047665</v>
      </c>
      <c r="R495" s="5">
        <v>12116.34255245842</v>
      </c>
    </row>
    <row r="496" spans="9:18">
      <c r="I496" s="4">
        <v>481</v>
      </c>
      <c r="J496" s="5">
        <v>26634.853073396614</v>
      </c>
      <c r="K496" s="5">
        <v>16199.334613834633</v>
      </c>
      <c r="L496" s="5">
        <v>16071.478531535273</v>
      </c>
      <c r="M496" s="5">
        <v>10111.451009425113</v>
      </c>
      <c r="N496" s="5">
        <v>6130.3882288404347</v>
      </c>
      <c r="O496" s="5">
        <v>94068.324736096256</v>
      </c>
      <c r="P496" s="5">
        <v>18963.234565965948</v>
      </c>
      <c r="Q496" s="5">
        <v>22895.455950885695</v>
      </c>
      <c r="R496" s="5">
        <v>90296.353221228885</v>
      </c>
    </row>
    <row r="497" spans="9:18">
      <c r="I497" s="4">
        <v>482</v>
      </c>
      <c r="J497" s="5">
        <v>14538.277247583976</v>
      </c>
      <c r="K497" s="5">
        <v>16952.949313901812</v>
      </c>
      <c r="L497" s="5">
        <v>24256.352541181568</v>
      </c>
      <c r="M497" s="5">
        <v>20185.026038758231</v>
      </c>
      <c r="N497" s="5">
        <v>20583.564383988036</v>
      </c>
      <c r="O497" s="5">
        <v>83458.030763693328</v>
      </c>
      <c r="P497" s="5">
        <v>27820.721938889761</v>
      </c>
      <c r="Q497" s="5">
        <v>148345.62878828164</v>
      </c>
      <c r="R497" s="5">
        <v>5865.9802599669383</v>
      </c>
    </row>
    <row r="498" spans="9:18">
      <c r="I498" s="4">
        <v>483</v>
      </c>
      <c r="J498" s="5">
        <v>15873.12561080002</v>
      </c>
      <c r="K498" s="5">
        <v>15631.937142257386</v>
      </c>
      <c r="L498" s="5">
        <v>19224.583269019437</v>
      </c>
      <c r="M498" s="5">
        <v>12987.517521908694</v>
      </c>
      <c r="N498" s="5">
        <v>35826.921212852278</v>
      </c>
      <c r="O498" s="5">
        <v>13519.384207850644</v>
      </c>
      <c r="P498" s="5">
        <v>8662.4232458952465</v>
      </c>
      <c r="Q498" s="5">
        <v>28078.365156847896</v>
      </c>
      <c r="R498" s="5">
        <v>12194.45251033065</v>
      </c>
    </row>
    <row r="499" spans="9:18">
      <c r="I499" s="4">
        <v>484</v>
      </c>
      <c r="J499" s="5">
        <v>21888.821432026474</v>
      </c>
      <c r="K499" s="5">
        <v>15051.330276415061</v>
      </c>
      <c r="L499" s="5">
        <v>27144.958215276103</v>
      </c>
      <c r="M499" s="5">
        <v>20185.026038758231</v>
      </c>
      <c r="N499" s="5">
        <v>24314.043643333731</v>
      </c>
      <c r="O499" s="5">
        <v>13550.031670770122</v>
      </c>
      <c r="P499" s="5">
        <v>35569.894390728325</v>
      </c>
      <c r="Q499" s="5">
        <v>54060.5331097772</v>
      </c>
      <c r="R499" s="5">
        <v>20236.767651156802</v>
      </c>
    </row>
    <row r="500" spans="9:18">
      <c r="I500" s="4">
        <v>485</v>
      </c>
      <c r="J500" s="5">
        <v>16088.430030489333</v>
      </c>
      <c r="K500" s="5">
        <v>21527.93129974293</v>
      </c>
      <c r="L500" s="5">
        <v>34748.877779456467</v>
      </c>
      <c r="M500" s="5">
        <v>13139.022167648376</v>
      </c>
      <c r="N500" s="5">
        <v>57711.498171893618</v>
      </c>
      <c r="O500" s="5">
        <v>55264.438774006347</v>
      </c>
      <c r="P500" s="5">
        <v>12790.85158217316</v>
      </c>
      <c r="Q500" s="5">
        <v>22895.455950885695</v>
      </c>
      <c r="R500" s="5">
        <v>44707.053087992797</v>
      </c>
    </row>
    <row r="501" spans="9:18">
      <c r="I501" s="4">
        <v>486</v>
      </c>
      <c r="J501" s="5">
        <v>16511.332839561353</v>
      </c>
      <c r="K501" s="5">
        <v>14351.415257675473</v>
      </c>
      <c r="L501" s="5">
        <v>15832.5469007027</v>
      </c>
      <c r="M501" s="5">
        <v>23515.935489506261</v>
      </c>
      <c r="N501" s="5">
        <v>37309.151967087455</v>
      </c>
      <c r="O501" s="5">
        <v>10676.618215263648</v>
      </c>
      <c r="P501" s="5">
        <v>10966.822219855034</v>
      </c>
      <c r="Q501" s="5">
        <v>70295.978314632754</v>
      </c>
      <c r="R501" s="5">
        <v>20236.767651156802</v>
      </c>
    </row>
    <row r="502" spans="9:18">
      <c r="I502" s="4">
        <v>487</v>
      </c>
      <c r="J502" s="5">
        <v>26634.853073396614</v>
      </c>
      <c r="K502" s="5">
        <v>15347.101709242541</v>
      </c>
      <c r="L502" s="5">
        <v>17128.574519497746</v>
      </c>
      <c r="M502" s="5">
        <v>12735.841453044006</v>
      </c>
      <c r="N502" s="5">
        <v>32184.535272543482</v>
      </c>
      <c r="O502" s="5">
        <v>27084.483614751469</v>
      </c>
      <c r="P502" s="5">
        <v>27708.613526855763</v>
      </c>
      <c r="Q502" s="5">
        <v>148345.62878828164</v>
      </c>
      <c r="R502" s="5">
        <v>181970.23111012415</v>
      </c>
    </row>
    <row r="503" spans="9:18">
      <c r="I503" s="4">
        <v>488</v>
      </c>
      <c r="J503" s="5">
        <v>22370.105711697011</v>
      </c>
      <c r="K503" s="5">
        <v>16199.334613834633</v>
      </c>
      <c r="L503" s="5">
        <v>14175.160754078657</v>
      </c>
      <c r="M503" s="5">
        <v>21332.072353846772</v>
      </c>
      <c r="N503" s="5">
        <v>41563.89847100406</v>
      </c>
      <c r="O503" s="5">
        <v>27068.054847826614</v>
      </c>
      <c r="P503" s="5">
        <v>18862.487147419793</v>
      </c>
      <c r="Q503" s="5">
        <v>56069.347629295014</v>
      </c>
      <c r="R503" s="5">
        <v>3433.6677391851467</v>
      </c>
    </row>
    <row r="504" spans="9:18">
      <c r="I504" s="4">
        <v>489</v>
      </c>
      <c r="J504" s="5">
        <v>13918.242013140338</v>
      </c>
      <c r="K504" s="5">
        <v>15051.330276415061</v>
      </c>
      <c r="L504" s="5">
        <v>14146.191653372813</v>
      </c>
      <c r="M504" s="5">
        <v>29058.117767351498</v>
      </c>
      <c r="N504" s="5">
        <v>21009.255892677338</v>
      </c>
      <c r="O504" s="5">
        <v>13117.417685535194</v>
      </c>
      <c r="P504" s="5">
        <v>14773.185437294762</v>
      </c>
      <c r="Q504" s="5">
        <v>16803.875627203233</v>
      </c>
      <c r="R504" s="5">
        <v>65420.116221752483</v>
      </c>
    </row>
    <row r="505" spans="9:18">
      <c r="I505" s="4">
        <v>490</v>
      </c>
      <c r="J505" s="5">
        <v>16788.081681455456</v>
      </c>
      <c r="K505" s="5">
        <v>11857.447519815871</v>
      </c>
      <c r="L505" s="5">
        <v>17920.486090689363</v>
      </c>
      <c r="M505" s="5">
        <v>18177.175180585615</v>
      </c>
      <c r="N505" s="5">
        <v>24314.043643333731</v>
      </c>
      <c r="O505" s="5">
        <v>67717.30633712461</v>
      </c>
      <c r="P505" s="5">
        <v>18963.234565965948</v>
      </c>
      <c r="Q505" s="5">
        <v>2356.8990887111336</v>
      </c>
      <c r="R505" s="5">
        <v>7201.7586694681067</v>
      </c>
    </row>
    <row r="506" spans="9:18">
      <c r="I506" s="4">
        <v>491</v>
      </c>
      <c r="J506" s="5">
        <v>16544.73779470181</v>
      </c>
      <c r="K506" s="5">
        <v>13520.836427679104</v>
      </c>
      <c r="L506" s="5">
        <v>15922.087958863045</v>
      </c>
      <c r="M506" s="5">
        <v>18816.787977140237</v>
      </c>
      <c r="N506" s="5">
        <v>22868.569282757788</v>
      </c>
      <c r="O506" s="5">
        <v>21930.527973988665</v>
      </c>
      <c r="P506" s="5">
        <v>22601.57564624758</v>
      </c>
      <c r="Q506" s="5">
        <v>22483.395143121877</v>
      </c>
      <c r="R506" s="5">
        <v>17687.533637716911</v>
      </c>
    </row>
    <row r="507" spans="9:18">
      <c r="I507" s="4">
        <v>492</v>
      </c>
      <c r="J507" s="5">
        <v>34933.039312618188</v>
      </c>
      <c r="K507" s="5">
        <v>14579.232378315752</v>
      </c>
      <c r="L507" s="5">
        <v>15225.811035017256</v>
      </c>
      <c r="M507" s="5">
        <v>16001.653036457456</v>
      </c>
      <c r="N507" s="5">
        <v>9209.4418830788036</v>
      </c>
      <c r="O507" s="5">
        <v>24258.192244316608</v>
      </c>
      <c r="P507" s="5">
        <v>23769.190223735484</v>
      </c>
      <c r="Q507" s="5">
        <v>59134.059519022907</v>
      </c>
      <c r="R507" s="5">
        <v>41056.152565483346</v>
      </c>
    </row>
    <row r="508" spans="9:18">
      <c r="I508" s="4">
        <v>493</v>
      </c>
      <c r="J508" s="5">
        <v>11116.191595722205</v>
      </c>
      <c r="K508" s="5">
        <v>15487.124352801369</v>
      </c>
      <c r="L508" s="5">
        <v>15471.738323660695</v>
      </c>
      <c r="M508" s="5">
        <v>31554.722481137964</v>
      </c>
      <c r="N508" s="5">
        <v>11251.634703629026</v>
      </c>
      <c r="O508" s="5">
        <v>32474.063027682765</v>
      </c>
      <c r="P508" s="5">
        <v>77603.711720266961</v>
      </c>
      <c r="Q508" s="5">
        <v>13865.641566869812</v>
      </c>
      <c r="R508" s="5">
        <v>13258.538726001538</v>
      </c>
    </row>
    <row r="509" spans="9:18">
      <c r="I509" s="4">
        <v>494</v>
      </c>
      <c r="J509" s="5">
        <v>14076.209333698853</v>
      </c>
      <c r="K509" s="5">
        <v>15391.837334808681</v>
      </c>
      <c r="L509" s="5">
        <v>14815.394001212817</v>
      </c>
      <c r="M509" s="5">
        <v>21833.004790208965</v>
      </c>
      <c r="N509" s="5">
        <v>22010.718648995869</v>
      </c>
      <c r="O509" s="5">
        <v>9320.7026593487881</v>
      </c>
      <c r="P509" s="5">
        <v>9811.9720599964548</v>
      </c>
      <c r="Q509" s="5">
        <v>7457.1844090365566</v>
      </c>
      <c r="R509" s="5">
        <v>44707.053087992797</v>
      </c>
    </row>
    <row r="510" spans="9:18">
      <c r="I510" s="4">
        <v>495</v>
      </c>
      <c r="J510" s="5">
        <v>14741.240040396578</v>
      </c>
      <c r="K510" s="5">
        <v>21218.439146892688</v>
      </c>
      <c r="L510" s="5">
        <v>16577.562442697115</v>
      </c>
      <c r="M510" s="5">
        <v>31472.019071027709</v>
      </c>
      <c r="N510" s="5">
        <v>17891.96347244953</v>
      </c>
      <c r="O510" s="5">
        <v>32474.063027682765</v>
      </c>
      <c r="P510" s="5">
        <v>22601.57564624758</v>
      </c>
      <c r="Q510" s="5">
        <v>54060.5331097772</v>
      </c>
      <c r="R510" s="5">
        <v>39263.770877572199</v>
      </c>
    </row>
    <row r="511" spans="9:18">
      <c r="I511" s="4">
        <v>496</v>
      </c>
      <c r="J511" s="5">
        <v>9368.8270679249108</v>
      </c>
      <c r="K511" s="5">
        <v>17903.387243834499</v>
      </c>
      <c r="L511" s="5">
        <v>15651.346103181355</v>
      </c>
      <c r="M511" s="5">
        <v>15202.972920708273</v>
      </c>
      <c r="N511" s="5">
        <v>57711.498171893618</v>
      </c>
      <c r="O511" s="5">
        <v>40304.23053285561</v>
      </c>
      <c r="P511" s="5">
        <v>14316.965520592317</v>
      </c>
      <c r="Q511" s="5">
        <v>71213.172792303565</v>
      </c>
      <c r="R511" s="5">
        <v>17991.870496434763</v>
      </c>
    </row>
    <row r="512" spans="9:18">
      <c r="I512" s="4">
        <v>497</v>
      </c>
      <c r="J512" s="5">
        <v>16733.020222212988</v>
      </c>
      <c r="K512" s="5">
        <v>34164.842952759042</v>
      </c>
      <c r="L512" s="5">
        <v>23760.785349782636</v>
      </c>
      <c r="M512" s="5">
        <v>10451.914120098167</v>
      </c>
      <c r="N512" s="5">
        <v>26565.664379767408</v>
      </c>
      <c r="O512" s="5">
        <v>9320.7026593487881</v>
      </c>
      <c r="P512" s="5">
        <v>12639.596794453437</v>
      </c>
      <c r="Q512" s="5">
        <v>20987.925664394581</v>
      </c>
      <c r="R512" s="5">
        <v>35232.418639121184</v>
      </c>
    </row>
    <row r="513" spans="9:18">
      <c r="I513" s="4">
        <v>498</v>
      </c>
      <c r="J513" s="5">
        <v>20002.201347927807</v>
      </c>
      <c r="K513" s="5">
        <v>53937.689698015136</v>
      </c>
      <c r="L513" s="5">
        <v>11827.803406885578</v>
      </c>
      <c r="M513" s="5">
        <v>22961.931350882205</v>
      </c>
      <c r="N513" s="5">
        <v>17214.078970533748</v>
      </c>
      <c r="O513" s="5">
        <v>20489.622805425737</v>
      </c>
      <c r="P513" s="5">
        <v>14773.185437294762</v>
      </c>
      <c r="Q513" s="5">
        <v>3272.4685014937832</v>
      </c>
      <c r="R513" s="5">
        <v>39727.513802035661</v>
      </c>
    </row>
    <row r="514" spans="9:18">
      <c r="I514" s="4">
        <v>499</v>
      </c>
      <c r="J514" s="5">
        <v>73074.062486361407</v>
      </c>
      <c r="K514" s="5">
        <v>17495.743706488822</v>
      </c>
      <c r="L514" s="5">
        <v>15487.970507365942</v>
      </c>
      <c r="M514" s="5">
        <v>20185.026038758231</v>
      </c>
      <c r="N514" s="5">
        <v>8104.6265149430556</v>
      </c>
      <c r="O514" s="5">
        <v>5909.5347260996277</v>
      </c>
      <c r="P514" s="5">
        <v>6275.8915673055426</v>
      </c>
      <c r="Q514" s="5">
        <v>3909.239690544402</v>
      </c>
      <c r="R514" s="5">
        <v>19133.693426869788</v>
      </c>
    </row>
    <row r="515" spans="9:18">
      <c r="I515" s="4">
        <v>500</v>
      </c>
      <c r="J515" s="5">
        <v>16544.73779470181</v>
      </c>
      <c r="K515" s="5">
        <v>18218.584572172625</v>
      </c>
      <c r="L515" s="5">
        <v>15832.5469007027</v>
      </c>
      <c r="M515" s="5">
        <v>12735.841453044006</v>
      </c>
      <c r="N515" s="5">
        <v>16148.901635865295</v>
      </c>
      <c r="O515" s="5">
        <v>19492.655596593511</v>
      </c>
      <c r="P515" s="5">
        <v>12639.596794453437</v>
      </c>
      <c r="Q515" s="5">
        <v>59964.86015574776</v>
      </c>
      <c r="R515" s="5">
        <v>59414.886464347241</v>
      </c>
    </row>
    <row r="516" spans="9:18">
      <c r="I516" s="4">
        <v>501</v>
      </c>
      <c r="J516" s="5">
        <v>14710.037865351254</v>
      </c>
      <c r="K516" s="5">
        <v>15391.837334808681</v>
      </c>
      <c r="L516" s="5">
        <v>14264.23790876064</v>
      </c>
      <c r="M516" s="5">
        <v>23913.435663027711</v>
      </c>
      <c r="N516" s="5">
        <v>11635.644856128632</v>
      </c>
      <c r="O516" s="5">
        <v>51330.340277512776</v>
      </c>
      <c r="P516" s="5">
        <v>38771.994792132391</v>
      </c>
      <c r="Q516" s="5">
        <v>73941.636731325911</v>
      </c>
      <c r="R516" s="5">
        <v>59414.886464347241</v>
      </c>
    </row>
    <row r="517" spans="9:18">
      <c r="I517" s="4">
        <v>502</v>
      </c>
      <c r="J517" s="5">
        <v>13663.281817546009</v>
      </c>
      <c r="K517" s="5">
        <v>11149.572204897504</v>
      </c>
      <c r="L517" s="5">
        <v>14649.721476864312</v>
      </c>
      <c r="M517" s="5">
        <v>15586.009710351766</v>
      </c>
      <c r="N517" s="5">
        <v>24020.875410266352</v>
      </c>
      <c r="O517" s="5">
        <v>55264.438774006347</v>
      </c>
      <c r="P517" s="5">
        <v>38771.994792132391</v>
      </c>
      <c r="Q517" s="5">
        <v>15623.622662102793</v>
      </c>
      <c r="R517" s="5">
        <v>62674.060343500474</v>
      </c>
    </row>
    <row r="518" spans="9:18">
      <c r="I518" s="4">
        <v>503</v>
      </c>
      <c r="J518" s="5">
        <v>22188.291830993156</v>
      </c>
      <c r="K518" s="5">
        <v>14878.52734402675</v>
      </c>
      <c r="L518" s="5">
        <v>25389.332759288587</v>
      </c>
      <c r="M518" s="5">
        <v>23067.94260629595</v>
      </c>
      <c r="N518" s="5">
        <v>13909.728487455486</v>
      </c>
      <c r="O518" s="5">
        <v>20827.029306810669</v>
      </c>
      <c r="P518" s="5">
        <v>8662.4232458952465</v>
      </c>
      <c r="Q518" s="5">
        <v>37073.980790337926</v>
      </c>
      <c r="R518" s="5">
        <v>123773.40402252052</v>
      </c>
    </row>
    <row r="519" spans="9:18">
      <c r="I519" s="4">
        <v>504</v>
      </c>
      <c r="J519" s="5">
        <v>13663.281817546009</v>
      </c>
      <c r="K519" s="5">
        <v>7753.2116148734594</v>
      </c>
      <c r="L519" s="5">
        <v>18602.881797624486</v>
      </c>
      <c r="M519" s="5">
        <v>22961.931350882205</v>
      </c>
      <c r="N519" s="5">
        <v>23008.246229813707</v>
      </c>
      <c r="O519" s="5">
        <v>30608.431994348266</v>
      </c>
      <c r="P519" s="5">
        <v>22601.57564624758</v>
      </c>
      <c r="Q519" s="5">
        <v>3272.4685014937832</v>
      </c>
      <c r="R519" s="5">
        <v>72640.340924600489</v>
      </c>
    </row>
    <row r="520" spans="9:18">
      <c r="I520" s="4">
        <v>505</v>
      </c>
      <c r="J520" s="5">
        <v>15786.811016780619</v>
      </c>
      <c r="K520" s="5">
        <v>35705.595198125673</v>
      </c>
      <c r="L520" s="5">
        <v>14175.160754078657</v>
      </c>
      <c r="M520" s="5">
        <v>13139.022167648376</v>
      </c>
      <c r="N520" s="5">
        <v>18410.937863650517</v>
      </c>
      <c r="O520" s="5">
        <v>8024.6340027919978</v>
      </c>
      <c r="P520" s="5">
        <v>9482.0186426688688</v>
      </c>
      <c r="Q520" s="5">
        <v>7457.1844090365566</v>
      </c>
      <c r="R520" s="5">
        <v>72640.340924600489</v>
      </c>
    </row>
    <row r="521" spans="9:18">
      <c r="I521" s="4">
        <v>506</v>
      </c>
      <c r="J521" s="5">
        <v>13045.114546182727</v>
      </c>
      <c r="K521" s="5">
        <v>15768.312122029349</v>
      </c>
      <c r="L521" s="5">
        <v>25007.552172398639</v>
      </c>
      <c r="M521" s="5">
        <v>16510.442870615672</v>
      </c>
      <c r="N521" s="5">
        <v>11684.605182472778</v>
      </c>
      <c r="O521" s="5">
        <v>59207.798737851255</v>
      </c>
      <c r="P521" s="5">
        <v>54923.423457863879</v>
      </c>
      <c r="Q521" s="5">
        <v>92068.726035424203</v>
      </c>
      <c r="R521" s="5">
        <v>89167.415757270224</v>
      </c>
    </row>
    <row r="522" spans="9:18">
      <c r="I522" s="4">
        <v>507</v>
      </c>
      <c r="J522" s="5">
        <v>16145.071869702888</v>
      </c>
      <c r="K522" s="5">
        <v>15768.312122029349</v>
      </c>
      <c r="L522" s="5">
        <v>15664.99858445921</v>
      </c>
      <c r="M522" s="5">
        <v>41403.687663920646</v>
      </c>
      <c r="N522" s="5">
        <v>15804.474686449519</v>
      </c>
      <c r="O522" s="5">
        <v>25604.597681740845</v>
      </c>
      <c r="P522" s="5">
        <v>34814.458119125498</v>
      </c>
      <c r="Q522" s="5">
        <v>17234.335939857254</v>
      </c>
      <c r="R522" s="5">
        <v>35232.418639121184</v>
      </c>
    </row>
    <row r="523" spans="9:18">
      <c r="I523" s="4">
        <v>508</v>
      </c>
      <c r="J523" s="5">
        <v>19048.674633640545</v>
      </c>
      <c r="K523" s="5">
        <v>16674.541027260992</v>
      </c>
      <c r="L523" s="5">
        <v>25389.332759288587</v>
      </c>
      <c r="M523" s="5">
        <v>13414.385151739983</v>
      </c>
      <c r="N523" s="5">
        <v>27841.916587595573</v>
      </c>
      <c r="O523" s="5">
        <v>20930.098352661731</v>
      </c>
      <c r="P523" s="5">
        <v>21933.779100635442</v>
      </c>
      <c r="Q523" s="5">
        <v>43417.41805414496</v>
      </c>
      <c r="R523" s="5">
        <v>6681.1887184356683</v>
      </c>
    </row>
    <row r="524" spans="9:18">
      <c r="I524" s="4">
        <v>509</v>
      </c>
      <c r="J524" s="5">
        <v>15873.12561080002</v>
      </c>
      <c r="K524" s="5">
        <v>9739.7813029644258</v>
      </c>
      <c r="L524" s="5">
        <v>13358.459356674217</v>
      </c>
      <c r="M524" s="5">
        <v>13414.385151739983</v>
      </c>
      <c r="N524" s="5">
        <v>48565.498233359976</v>
      </c>
      <c r="O524" s="5">
        <v>20721.57544042755</v>
      </c>
      <c r="P524" s="5">
        <v>9633.1652908310007</v>
      </c>
      <c r="Q524" s="5">
        <v>4631.7430487757983</v>
      </c>
      <c r="R524" s="5">
        <v>17991.870496434763</v>
      </c>
    </row>
    <row r="525" spans="9:18">
      <c r="I525" s="4">
        <v>510</v>
      </c>
      <c r="J525" s="5">
        <v>19467.17453557903</v>
      </c>
      <c r="K525" s="5">
        <v>11149.572204897504</v>
      </c>
      <c r="L525" s="5">
        <v>21725.131459372977</v>
      </c>
      <c r="M525" s="5">
        <v>10451.914120098167</v>
      </c>
      <c r="N525" s="5">
        <v>29468.83360104046</v>
      </c>
      <c r="O525" s="5">
        <v>40942.522561879181</v>
      </c>
      <c r="P525" s="5">
        <v>18963.234565965948</v>
      </c>
      <c r="Q525" s="5">
        <v>17493.456269945855</v>
      </c>
      <c r="R525" s="5">
        <v>29295.938844292672</v>
      </c>
    </row>
    <row r="526" spans="9:18">
      <c r="I526" s="4">
        <v>511</v>
      </c>
      <c r="J526" s="5">
        <v>16710.807721801892</v>
      </c>
      <c r="K526" s="5">
        <v>14497.035717129334</v>
      </c>
      <c r="L526" s="5">
        <v>10752.183901283248</v>
      </c>
      <c r="M526" s="5">
        <v>18816.787977140237</v>
      </c>
      <c r="N526" s="5">
        <v>16418.492928415813</v>
      </c>
      <c r="O526" s="5">
        <v>10746.295275180995</v>
      </c>
      <c r="P526" s="5">
        <v>36724.352187786957</v>
      </c>
      <c r="Q526" s="5">
        <v>64585.328088516922</v>
      </c>
      <c r="R526" s="5">
        <v>31715.273557891396</v>
      </c>
    </row>
    <row r="527" spans="9:18">
      <c r="I527" s="4">
        <v>512</v>
      </c>
      <c r="J527" s="5">
        <v>33627.941293959229</v>
      </c>
      <c r="K527" s="5">
        <v>95171.967522309933</v>
      </c>
      <c r="L527" s="5">
        <v>23760.785349782636</v>
      </c>
      <c r="M527" s="5">
        <v>19042.78605337895</v>
      </c>
      <c r="N527" s="5">
        <v>27833.630848857778</v>
      </c>
      <c r="O527" s="5">
        <v>25644.588869829797</v>
      </c>
      <c r="P527" s="5">
        <v>16574.429708560569</v>
      </c>
      <c r="Q527" s="5">
        <v>16803.875627203233</v>
      </c>
      <c r="R527" s="5">
        <v>46004.399892616471</v>
      </c>
    </row>
    <row r="528" spans="9:18">
      <c r="I528" s="4">
        <v>513</v>
      </c>
      <c r="J528" s="5">
        <v>15873.12561080002</v>
      </c>
      <c r="K528" s="5">
        <v>11149.572204897504</v>
      </c>
      <c r="L528" s="5">
        <v>19189.275558866306</v>
      </c>
      <c r="M528" s="5">
        <v>23908.621352410395</v>
      </c>
      <c r="N528" s="5">
        <v>11751.639947035985</v>
      </c>
      <c r="O528" s="5">
        <v>25802.481365323994</v>
      </c>
      <c r="P528" s="5">
        <v>9633.1652908310007</v>
      </c>
      <c r="Q528" s="5">
        <v>31618.396253255491</v>
      </c>
      <c r="R528" s="5">
        <v>2180.6148629084787</v>
      </c>
    </row>
    <row r="529" spans="9:18">
      <c r="I529" s="4">
        <v>514</v>
      </c>
      <c r="J529" s="5">
        <v>12035.382213755307</v>
      </c>
      <c r="K529" s="5">
        <v>16934.093371663999</v>
      </c>
      <c r="L529" s="5">
        <v>15746.942257105531</v>
      </c>
      <c r="M529" s="5">
        <v>33862.836621974391</v>
      </c>
      <c r="N529" s="5">
        <v>15251.140047572881</v>
      </c>
      <c r="O529" s="5">
        <v>41653.890350944224</v>
      </c>
      <c r="P529" s="5">
        <v>26541.896041444568</v>
      </c>
      <c r="Q529" s="5">
        <v>64585.328088516922</v>
      </c>
      <c r="R529" s="5">
        <v>90296.353221228885</v>
      </c>
    </row>
    <row r="530" spans="9:18">
      <c r="I530" s="4">
        <v>515</v>
      </c>
      <c r="J530" s="5">
        <v>9405.362381917912</v>
      </c>
      <c r="K530" s="5">
        <v>9769.3659785458403</v>
      </c>
      <c r="L530" s="5">
        <v>15651.346103181355</v>
      </c>
      <c r="M530" s="5">
        <v>11529.920007560097</v>
      </c>
      <c r="N530" s="5">
        <v>20583.564383988036</v>
      </c>
      <c r="O530" s="5">
        <v>24258.192244316608</v>
      </c>
      <c r="P530" s="5">
        <v>34768.042801665702</v>
      </c>
      <c r="Q530" s="5">
        <v>8474.2603471579441</v>
      </c>
      <c r="R530" s="5">
        <v>19133.693426869788</v>
      </c>
    </row>
    <row r="531" spans="9:18">
      <c r="I531" s="4">
        <v>516</v>
      </c>
      <c r="J531" s="5">
        <v>13663.281817546009</v>
      </c>
      <c r="K531" s="5">
        <v>16873.752266014431</v>
      </c>
      <c r="L531" s="5">
        <v>13417.453622029931</v>
      </c>
      <c r="M531" s="5">
        <v>17542.15972125496</v>
      </c>
      <c r="N531" s="5">
        <v>13745.376566850549</v>
      </c>
      <c r="O531" s="5">
        <v>13613.378495715853</v>
      </c>
      <c r="P531" s="5">
        <v>26126.807131356076</v>
      </c>
      <c r="Q531" s="5">
        <v>148345.62878828164</v>
      </c>
      <c r="R531" s="5">
        <v>3989.7956692889929</v>
      </c>
    </row>
    <row r="532" spans="9:18">
      <c r="I532" s="4">
        <v>517</v>
      </c>
      <c r="J532" s="5">
        <v>16710.807721801892</v>
      </c>
      <c r="K532" s="5">
        <v>14878.52734402675</v>
      </c>
      <c r="L532" s="5">
        <v>13622.976145621742</v>
      </c>
      <c r="M532" s="5">
        <v>31472.019071027709</v>
      </c>
      <c r="N532" s="5">
        <v>36962.805083900916</v>
      </c>
      <c r="O532" s="5">
        <v>41653.890350944224</v>
      </c>
      <c r="P532" s="5">
        <v>3831.1492650071077</v>
      </c>
      <c r="Q532" s="5">
        <v>116445.46783345108</v>
      </c>
      <c r="R532" s="5">
        <v>3433.6677391851467</v>
      </c>
    </row>
    <row r="533" spans="9:18">
      <c r="I533" s="4">
        <v>518</v>
      </c>
      <c r="J533" s="5">
        <v>16088.430030489333</v>
      </c>
      <c r="K533" s="5">
        <v>13719.930466819731</v>
      </c>
      <c r="L533" s="5">
        <v>34748.877779456467</v>
      </c>
      <c r="M533" s="5">
        <v>13139.022167648376</v>
      </c>
      <c r="N533" s="5">
        <v>11751.639947035985</v>
      </c>
      <c r="O533" s="5">
        <v>33720.545907536376</v>
      </c>
      <c r="P533" s="5">
        <v>5735.6883097179207</v>
      </c>
      <c r="Q533" s="5">
        <v>31855.809428519857</v>
      </c>
      <c r="R533" s="5">
        <v>96845.299789249824</v>
      </c>
    </row>
    <row r="534" spans="9:18">
      <c r="I534" s="4">
        <v>519</v>
      </c>
      <c r="J534" s="5">
        <v>19048.674633640545</v>
      </c>
      <c r="K534" s="5">
        <v>9739.7813029644258</v>
      </c>
      <c r="L534" s="5">
        <v>22319.409576580376</v>
      </c>
      <c r="M534" s="5">
        <v>14432.283063351901</v>
      </c>
      <c r="N534" s="5">
        <v>41563.89847100406</v>
      </c>
      <c r="O534" s="5">
        <v>51330.340277512776</v>
      </c>
      <c r="P534" s="5">
        <v>9482.0186426688688</v>
      </c>
      <c r="Q534" s="5">
        <v>53055.59182561023</v>
      </c>
      <c r="R534" s="5">
        <v>93933.045103013996</v>
      </c>
    </row>
    <row r="535" spans="9:18">
      <c r="I535" s="4">
        <v>520</v>
      </c>
      <c r="J535" s="5">
        <v>15873.12561080002</v>
      </c>
      <c r="K535" s="5">
        <v>10931.803935361211</v>
      </c>
      <c r="L535" s="5">
        <v>16071.478531535273</v>
      </c>
      <c r="M535" s="5">
        <v>21833.004790208965</v>
      </c>
      <c r="N535" s="5">
        <v>40377.252444397986</v>
      </c>
      <c r="O535" s="5">
        <v>18637.945795127704</v>
      </c>
      <c r="P535" s="5">
        <v>18963.234565965948</v>
      </c>
      <c r="Q535" s="5">
        <v>22895.455950885695</v>
      </c>
      <c r="R535" s="5">
        <v>2071.5141323269809</v>
      </c>
    </row>
    <row r="536" spans="9:18">
      <c r="I536" s="4">
        <v>521</v>
      </c>
      <c r="J536" s="5">
        <v>43272.831879770602</v>
      </c>
      <c r="K536" s="5">
        <v>15487.124352801369</v>
      </c>
      <c r="L536" s="5">
        <v>16451.333928028147</v>
      </c>
      <c r="M536" s="5">
        <v>23454.775510296178</v>
      </c>
      <c r="N536" s="5">
        <v>25424.029865101274</v>
      </c>
      <c r="O536" s="5">
        <v>16462.170789592048</v>
      </c>
      <c r="P536" s="5">
        <v>5735.6883097179207</v>
      </c>
      <c r="Q536" s="5">
        <v>28078.365156847896</v>
      </c>
      <c r="R536" s="5">
        <v>20303.08745527079</v>
      </c>
    </row>
    <row r="537" spans="9:18">
      <c r="I537" s="4">
        <v>522</v>
      </c>
      <c r="J537" s="5">
        <v>49463.324094345015</v>
      </c>
      <c r="K537" s="5">
        <v>14587.813833513306</v>
      </c>
      <c r="L537" s="5">
        <v>14811.370758813007</v>
      </c>
      <c r="M537" s="5">
        <v>17370.588707072598</v>
      </c>
      <c r="N537" s="5">
        <v>12523.573732460784</v>
      </c>
      <c r="O537" s="5">
        <v>24369.28567093279</v>
      </c>
      <c r="P537" s="5">
        <v>28537.545734403488</v>
      </c>
      <c r="Q537" s="5">
        <v>28776.080424849053</v>
      </c>
      <c r="R537" s="5">
        <v>7952.6989268572033</v>
      </c>
    </row>
    <row r="538" spans="9:18">
      <c r="I538" s="4">
        <v>523</v>
      </c>
      <c r="J538" s="5">
        <v>16544.73779470181</v>
      </c>
      <c r="K538" s="5">
        <v>14674.169276244838</v>
      </c>
      <c r="L538" s="5">
        <v>13358.459356674217</v>
      </c>
      <c r="M538" s="5">
        <v>13139.022167648376</v>
      </c>
      <c r="N538" s="5">
        <v>51261.622558090799</v>
      </c>
      <c r="O538" s="5">
        <v>10369.402667058452</v>
      </c>
      <c r="P538" s="5">
        <v>27452.975716953504</v>
      </c>
      <c r="Q538" s="5">
        <v>29432.473148002948</v>
      </c>
      <c r="R538" s="5">
        <v>2180.6148629084787</v>
      </c>
    </row>
    <row r="539" spans="9:18">
      <c r="I539" s="4">
        <v>524</v>
      </c>
      <c r="J539" s="5">
        <v>16145.071869702888</v>
      </c>
      <c r="K539" s="5">
        <v>14878.52734402675</v>
      </c>
      <c r="L539" s="5">
        <v>22018.381599979773</v>
      </c>
      <c r="M539" s="5">
        <v>20550.782384061673</v>
      </c>
      <c r="N539" s="5">
        <v>11684.605182472778</v>
      </c>
      <c r="O539" s="5">
        <v>41653.890350944224</v>
      </c>
      <c r="P539" s="5">
        <v>54923.423457863879</v>
      </c>
      <c r="Q539" s="5">
        <v>92068.726035424203</v>
      </c>
      <c r="R539" s="5">
        <v>10885.018205103002</v>
      </c>
    </row>
    <row r="540" spans="9:18">
      <c r="I540" s="4">
        <v>525</v>
      </c>
      <c r="J540" s="5">
        <v>11116.191595722205</v>
      </c>
      <c r="K540" s="5">
        <v>8223.1266007477425</v>
      </c>
      <c r="L540" s="5">
        <v>23561.450544884348</v>
      </c>
      <c r="M540" s="5">
        <v>18691.941789825862</v>
      </c>
      <c r="N540" s="5">
        <v>21617.945168312468</v>
      </c>
      <c r="O540" s="5">
        <v>31172.963108652857</v>
      </c>
      <c r="P540" s="5">
        <v>34814.458119125498</v>
      </c>
      <c r="Q540" s="5">
        <v>27018.509959127641</v>
      </c>
      <c r="R540" s="5">
        <v>34970.397641695177</v>
      </c>
    </row>
    <row r="541" spans="9:18">
      <c r="I541" s="4">
        <v>526</v>
      </c>
      <c r="J541" s="5">
        <v>19121.054099180623</v>
      </c>
      <c r="K541" s="5">
        <v>15698.764831033119</v>
      </c>
      <c r="L541" s="5">
        <v>14815.394001212817</v>
      </c>
      <c r="M541" s="5">
        <v>15202.972920708273</v>
      </c>
      <c r="N541" s="5">
        <v>11684.605182472778</v>
      </c>
      <c r="O541" s="5">
        <v>66253.993323243907</v>
      </c>
      <c r="P541" s="5">
        <v>10966.822219855034</v>
      </c>
      <c r="Q541" s="5">
        <v>52421.574537857021</v>
      </c>
      <c r="R541" s="5">
        <v>93933.045103013996</v>
      </c>
    </row>
    <row r="542" spans="9:18">
      <c r="I542" s="4">
        <v>527</v>
      </c>
      <c r="J542" s="5">
        <v>16788.081681455456</v>
      </c>
      <c r="K542" s="5">
        <v>31910.762633549082</v>
      </c>
      <c r="L542" s="5">
        <v>15746.942257105531</v>
      </c>
      <c r="M542" s="5">
        <v>41403.687663920646</v>
      </c>
      <c r="N542" s="5">
        <v>11251.634703629026</v>
      </c>
      <c r="O542" s="5">
        <v>49114.195066822271</v>
      </c>
      <c r="P542" s="5">
        <v>9811.9720599964548</v>
      </c>
      <c r="Q542" s="5">
        <v>52545.991451361173</v>
      </c>
      <c r="R542" s="5">
        <v>2180.6148629084787</v>
      </c>
    </row>
    <row r="543" spans="9:18">
      <c r="I543" s="4">
        <v>528</v>
      </c>
      <c r="J543" s="5">
        <v>13918.242013140338</v>
      </c>
      <c r="K543" s="5">
        <v>12423.491400404893</v>
      </c>
      <c r="L543" s="5">
        <v>16616.161224349555</v>
      </c>
      <c r="M543" s="5">
        <v>21712.71007234112</v>
      </c>
      <c r="N543" s="5">
        <v>20583.564383988036</v>
      </c>
      <c r="O543" s="5">
        <v>27068.054847826614</v>
      </c>
      <c r="P543" s="5">
        <v>83536.241167211992</v>
      </c>
      <c r="Q543" s="5">
        <v>19541.409060825732</v>
      </c>
      <c r="R543" s="5">
        <v>27349.63499959607</v>
      </c>
    </row>
    <row r="544" spans="9:18">
      <c r="I544" s="4">
        <v>529</v>
      </c>
      <c r="J544" s="5">
        <v>15130.594750069789</v>
      </c>
      <c r="K544" s="5">
        <v>32073.547537933715</v>
      </c>
      <c r="L544" s="5">
        <v>14364.472927446199</v>
      </c>
      <c r="M544" s="5">
        <v>21272.00214469912</v>
      </c>
      <c r="N544" s="5">
        <v>39406.658185292261</v>
      </c>
      <c r="O544" s="5">
        <v>20489.622805425737</v>
      </c>
      <c r="P544" s="5">
        <v>22601.57564624758</v>
      </c>
      <c r="Q544" s="5">
        <v>9645.8788061228515</v>
      </c>
      <c r="R544" s="5">
        <v>30571.564004538617</v>
      </c>
    </row>
    <row r="545" spans="9:18">
      <c r="I545" s="4">
        <v>530</v>
      </c>
      <c r="J545" s="5">
        <v>17592.832480262863</v>
      </c>
      <c r="K545" s="5">
        <v>32073.547537933715</v>
      </c>
      <c r="L545" s="5">
        <v>17243.440968229323</v>
      </c>
      <c r="M545" s="5">
        <v>14432.283063351901</v>
      </c>
      <c r="N545" s="5">
        <v>41563.89847100406</v>
      </c>
      <c r="O545" s="5">
        <v>3171.3006415671193</v>
      </c>
      <c r="P545" s="5">
        <v>33500.490132682797</v>
      </c>
      <c r="Q545" s="5">
        <v>22483.395143121877</v>
      </c>
      <c r="R545" s="5">
        <v>87776.138236389699</v>
      </c>
    </row>
    <row r="546" spans="9:18">
      <c r="I546" s="4">
        <v>531</v>
      </c>
      <c r="J546" s="5">
        <v>16544.73779470181</v>
      </c>
      <c r="K546" s="5">
        <v>16273.14570113692</v>
      </c>
      <c r="L546" s="5">
        <v>13358.459356674217</v>
      </c>
      <c r="M546" s="5">
        <v>19042.78605337895</v>
      </c>
      <c r="N546" s="5">
        <v>34295.124147811541</v>
      </c>
      <c r="O546" s="5">
        <v>5444.7598502623823</v>
      </c>
      <c r="P546" s="5">
        <v>8877.9712092977989</v>
      </c>
      <c r="Q546" s="5">
        <v>12451.066014448154</v>
      </c>
      <c r="R546" s="5">
        <v>41418.225609677866</v>
      </c>
    </row>
    <row r="547" spans="9:18">
      <c r="I547" s="4">
        <v>532</v>
      </c>
      <c r="J547" s="5">
        <v>49463.324094345015</v>
      </c>
      <c r="K547" s="5">
        <v>13559.080695844099</v>
      </c>
      <c r="L547" s="5">
        <v>13037.115556745504</v>
      </c>
      <c r="M547" s="5">
        <v>17349.963215818931</v>
      </c>
      <c r="N547" s="5">
        <v>17214.078970533748</v>
      </c>
      <c r="O547" s="5">
        <v>10369.402667058452</v>
      </c>
      <c r="P547" s="5">
        <v>20403.656304140692</v>
      </c>
      <c r="Q547" s="5">
        <v>22895.455950885695</v>
      </c>
      <c r="R547" s="5">
        <v>181970.23111012415</v>
      </c>
    </row>
    <row r="548" spans="9:18">
      <c r="I548" s="4">
        <v>533</v>
      </c>
      <c r="J548" s="5">
        <v>19467.17453557903</v>
      </c>
      <c r="K548" s="5">
        <v>11403.533194020869</v>
      </c>
      <c r="L548" s="5">
        <v>13037.115556745504</v>
      </c>
      <c r="M548" s="5">
        <v>23454.775510296178</v>
      </c>
      <c r="N548" s="5">
        <v>57711.498171893618</v>
      </c>
      <c r="O548" s="5">
        <v>20827.029306810669</v>
      </c>
      <c r="P548" s="5">
        <v>27373.102585108634</v>
      </c>
      <c r="Q548" s="5">
        <v>8832.660767995616</v>
      </c>
      <c r="R548" s="5">
        <v>19133.693426869788</v>
      </c>
    </row>
    <row r="549" spans="9:18">
      <c r="I549" s="4">
        <v>534</v>
      </c>
      <c r="J549" s="5">
        <v>23517.429992060665</v>
      </c>
      <c r="K549" s="5">
        <v>24728.095385476983</v>
      </c>
      <c r="L549" s="5">
        <v>29265.217478369766</v>
      </c>
      <c r="M549" s="5">
        <v>41403.687663920646</v>
      </c>
      <c r="N549" s="5">
        <v>21009.255892677338</v>
      </c>
      <c r="O549" s="5">
        <v>19492.655596593511</v>
      </c>
      <c r="P549" s="5">
        <v>34768.042801665702</v>
      </c>
      <c r="Q549" s="5">
        <v>31902.904306425251</v>
      </c>
      <c r="R549" s="5">
        <v>14051.647494499957</v>
      </c>
    </row>
    <row r="550" spans="9:18">
      <c r="I550" s="4">
        <v>535</v>
      </c>
      <c r="J550" s="5">
        <v>29760.443016608337</v>
      </c>
      <c r="K550" s="5">
        <v>29672.680843304515</v>
      </c>
      <c r="L550" s="5">
        <v>14364.472927446199</v>
      </c>
      <c r="M550" s="5">
        <v>17542.15972125496</v>
      </c>
      <c r="N550" s="5">
        <v>63974.903847153939</v>
      </c>
      <c r="O550" s="5">
        <v>42492.261063288854</v>
      </c>
      <c r="P550" s="5">
        <v>17737.38315098183</v>
      </c>
      <c r="Q550" s="5">
        <v>96632.959478514502</v>
      </c>
      <c r="R550" s="5">
        <v>302760.11878714536</v>
      </c>
    </row>
    <row r="551" spans="9:18">
      <c r="I551" s="4">
        <v>536</v>
      </c>
      <c r="J551" s="5">
        <v>16544.73779470181</v>
      </c>
      <c r="K551" s="5">
        <v>35705.595198125673</v>
      </c>
      <c r="L551" s="5">
        <v>16472.138192556791</v>
      </c>
      <c r="M551" s="5">
        <v>16510.442870615672</v>
      </c>
      <c r="N551" s="5">
        <v>12523.573732460784</v>
      </c>
      <c r="O551" s="5">
        <v>25644.588869829797</v>
      </c>
      <c r="P551" s="5">
        <v>17643.087208586294</v>
      </c>
      <c r="Q551" s="5">
        <v>43417.41805414496</v>
      </c>
      <c r="R551" s="5">
        <v>8720.6503563381029</v>
      </c>
    </row>
    <row r="552" spans="9:18">
      <c r="I552" s="4">
        <v>537</v>
      </c>
      <c r="J552" s="5">
        <v>26634.853073396614</v>
      </c>
      <c r="K552" s="5">
        <v>35705.595198125673</v>
      </c>
      <c r="L552" s="5">
        <v>14364.472927446199</v>
      </c>
      <c r="M552" s="5">
        <v>20229.919588372999</v>
      </c>
      <c r="N552" s="5">
        <v>42744.618431291936</v>
      </c>
      <c r="O552" s="5">
        <v>10746.295275180995</v>
      </c>
      <c r="P552" s="5">
        <v>6275.8915673055426</v>
      </c>
      <c r="Q552" s="5">
        <v>31974.553851773013</v>
      </c>
      <c r="R552" s="5">
        <v>8720.6503563381029</v>
      </c>
    </row>
    <row r="553" spans="9:18">
      <c r="I553" s="4">
        <v>538</v>
      </c>
      <c r="J553" s="5">
        <v>11936.262457073821</v>
      </c>
      <c r="K553" s="5">
        <v>17128.860847126922</v>
      </c>
      <c r="L553" s="5">
        <v>14649.721476864312</v>
      </c>
      <c r="M553" s="5">
        <v>26477.996319655329</v>
      </c>
      <c r="N553" s="5">
        <v>22511.351424689696</v>
      </c>
      <c r="O553" s="5">
        <v>53028.643350899503</v>
      </c>
      <c r="P553" s="5">
        <v>21933.779100635442</v>
      </c>
      <c r="Q553" s="5">
        <v>25156.033327562815</v>
      </c>
      <c r="R553" s="5">
        <v>51358.6267760993</v>
      </c>
    </row>
    <row r="554" spans="9:18">
      <c r="I554" s="4">
        <v>539</v>
      </c>
      <c r="J554" s="5">
        <v>13447.638004246244</v>
      </c>
      <c r="K554" s="5">
        <v>11403.533194020869</v>
      </c>
      <c r="L554" s="5">
        <v>15746.942257105531</v>
      </c>
      <c r="M554" s="5">
        <v>29834.240613550006</v>
      </c>
      <c r="N554" s="5">
        <v>39672.376281023731</v>
      </c>
      <c r="O554" s="5">
        <v>40942.522561879181</v>
      </c>
      <c r="P554" s="5">
        <v>41657.50350099193</v>
      </c>
      <c r="Q554" s="5">
        <v>7457.1844090365566</v>
      </c>
      <c r="R554" s="5">
        <v>7879.038918914337</v>
      </c>
    </row>
    <row r="555" spans="9:18">
      <c r="I555" s="4">
        <v>540</v>
      </c>
      <c r="J555" s="5">
        <v>16156.372629961115</v>
      </c>
      <c r="K555" s="5">
        <v>37822.375317881044</v>
      </c>
      <c r="L555" s="5">
        <v>22412.045018675239</v>
      </c>
      <c r="M555" s="5">
        <v>29058.117767351498</v>
      </c>
      <c r="N555" s="5">
        <v>12523.573732460784</v>
      </c>
      <c r="O555" s="5">
        <v>20721.57544042755</v>
      </c>
      <c r="P555" s="5">
        <v>27708.613526855763</v>
      </c>
      <c r="Q555" s="5">
        <v>31855.809428519857</v>
      </c>
      <c r="R555" s="5">
        <v>23583.884732956092</v>
      </c>
    </row>
    <row r="556" spans="9:18">
      <c r="I556" s="4">
        <v>541</v>
      </c>
      <c r="J556" s="5">
        <v>16088.430030489333</v>
      </c>
      <c r="K556" s="5">
        <v>31910.762633549082</v>
      </c>
      <c r="L556" s="5">
        <v>18810.091753970282</v>
      </c>
      <c r="M556" s="5">
        <v>19262.243095117232</v>
      </c>
      <c r="N556" s="5">
        <v>29468.83360104046</v>
      </c>
      <c r="O556" s="5">
        <v>15936.062371781712</v>
      </c>
      <c r="P556" s="5">
        <v>5735.6883097179207</v>
      </c>
      <c r="Q556" s="5">
        <v>20883.852062640355</v>
      </c>
      <c r="R556" s="5">
        <v>302760.11878714536</v>
      </c>
    </row>
    <row r="557" spans="9:18">
      <c r="I557" s="4">
        <v>542</v>
      </c>
      <c r="J557" s="5">
        <v>14017.326487344162</v>
      </c>
      <c r="K557" s="5">
        <v>15487.124352801369</v>
      </c>
      <c r="L557" s="5">
        <v>19224.583269019437</v>
      </c>
      <c r="M557" s="5">
        <v>18879.640760542785</v>
      </c>
      <c r="N557" s="5">
        <v>19125.360074567652</v>
      </c>
      <c r="O557" s="5">
        <v>16462.170789592048</v>
      </c>
      <c r="P557" s="5">
        <v>12992.105410393709</v>
      </c>
      <c r="Q557" s="5">
        <v>20883.852062640355</v>
      </c>
      <c r="R557" s="5">
        <v>8046.7106309763258</v>
      </c>
    </row>
    <row r="558" spans="9:18">
      <c r="I558" s="4">
        <v>543</v>
      </c>
      <c r="J558" s="5">
        <v>15130.594750069789</v>
      </c>
      <c r="K558" s="5">
        <v>24728.095385476983</v>
      </c>
      <c r="L558" s="5">
        <v>15922.087958863045</v>
      </c>
      <c r="M558" s="5">
        <v>12619.198742021435</v>
      </c>
      <c r="N558" s="5">
        <v>11635.644856128632</v>
      </c>
      <c r="O558" s="5">
        <v>53007.660727727191</v>
      </c>
      <c r="P558" s="5">
        <v>14316.965520592317</v>
      </c>
      <c r="Q558" s="5">
        <v>13099.063525342741</v>
      </c>
      <c r="R558" s="5">
        <v>90296.353221228885</v>
      </c>
    </row>
    <row r="559" spans="9:18">
      <c r="I559" s="4">
        <v>544</v>
      </c>
      <c r="J559" s="5">
        <v>19467.17453557903</v>
      </c>
      <c r="K559" s="5">
        <v>6949.5708823216592</v>
      </c>
      <c r="L559" s="5">
        <v>21725.131459372977</v>
      </c>
      <c r="M559" s="5">
        <v>16510.442870615672</v>
      </c>
      <c r="N559" s="5">
        <v>4770.4216775830728</v>
      </c>
      <c r="O559" s="5">
        <v>20991.103410982985</v>
      </c>
      <c r="P559" s="5">
        <v>12790.85158217316</v>
      </c>
      <c r="Q559" s="5">
        <v>3272.4685014937832</v>
      </c>
      <c r="R559" s="5">
        <v>38898.713625068609</v>
      </c>
    </row>
    <row r="560" spans="9:18">
      <c r="I560" s="4">
        <v>545</v>
      </c>
      <c r="J560" s="5">
        <v>23517.429992060665</v>
      </c>
      <c r="K560" s="5">
        <v>15428.770955406064</v>
      </c>
      <c r="L560" s="5">
        <v>18810.091753970282</v>
      </c>
      <c r="M560" s="5">
        <v>20041.623430301417</v>
      </c>
      <c r="N560" s="5">
        <v>15251.140047572881</v>
      </c>
      <c r="O560" s="5">
        <v>51330.340277512776</v>
      </c>
      <c r="P560" s="5">
        <v>8662.4232458952465</v>
      </c>
      <c r="Q560" s="5">
        <v>13214.632802255031</v>
      </c>
      <c r="R560" s="5">
        <v>19133.693426869788</v>
      </c>
    </row>
    <row r="561" spans="9:18">
      <c r="I561" s="4">
        <v>546</v>
      </c>
      <c r="J561" s="5">
        <v>12035.382213755307</v>
      </c>
      <c r="K561" s="5">
        <v>23543.914024953676</v>
      </c>
      <c r="L561" s="5">
        <v>15359.132481533357</v>
      </c>
      <c r="M561" s="5">
        <v>18816.787977140237</v>
      </c>
      <c r="N561" s="5">
        <v>9563.1256545330361</v>
      </c>
      <c r="O561" s="5">
        <v>77417.02098927302</v>
      </c>
      <c r="P561" s="5">
        <v>14376.883105731285</v>
      </c>
      <c r="Q561" s="5">
        <v>12451.066014448154</v>
      </c>
      <c r="R561" s="5">
        <v>72640.340924600489</v>
      </c>
    </row>
    <row r="562" spans="9:18">
      <c r="I562" s="4">
        <v>547</v>
      </c>
      <c r="J562" s="5">
        <v>13447.638004246244</v>
      </c>
      <c r="K562" s="5">
        <v>16873.752266014431</v>
      </c>
      <c r="L562" s="5">
        <v>25389.332759288587</v>
      </c>
      <c r="M562" s="5">
        <v>6367.5407465007311</v>
      </c>
      <c r="N562" s="5">
        <v>9563.1256545330361</v>
      </c>
      <c r="O562" s="5">
        <v>9708.4497800977806</v>
      </c>
      <c r="P562" s="5">
        <v>26126.807131356076</v>
      </c>
      <c r="Q562" s="5">
        <v>27018.509959127641</v>
      </c>
      <c r="R562" s="5">
        <v>8130.5639219412278</v>
      </c>
    </row>
    <row r="563" spans="9:18">
      <c r="I563" s="4">
        <v>548</v>
      </c>
      <c r="J563" s="5">
        <v>17592.832480262863</v>
      </c>
      <c r="K563" s="5">
        <v>16081.362509465702</v>
      </c>
      <c r="L563" s="5">
        <v>16451.333928028147</v>
      </c>
      <c r="M563" s="5">
        <v>24981.974172352908</v>
      </c>
      <c r="N563" s="5">
        <v>17214.078970533748</v>
      </c>
      <c r="O563" s="5">
        <v>13550.031670770122</v>
      </c>
      <c r="P563" s="5">
        <v>10180.109839011631</v>
      </c>
      <c r="Q563" s="5">
        <v>31019.493883163672</v>
      </c>
      <c r="R563" s="5">
        <v>7394.6358885760465</v>
      </c>
    </row>
    <row r="564" spans="9:18">
      <c r="I564" s="4">
        <v>549</v>
      </c>
      <c r="J564" s="5">
        <v>15648.665245032147</v>
      </c>
      <c r="K564" s="5">
        <v>14611.618478071941</v>
      </c>
      <c r="L564" s="5">
        <v>17128.574519497746</v>
      </c>
      <c r="M564" s="5">
        <v>26477.996319655329</v>
      </c>
      <c r="N564" s="5">
        <v>22511.351424689696</v>
      </c>
      <c r="O564" s="5">
        <v>9708.4497800977806</v>
      </c>
      <c r="P564" s="5">
        <v>16072.735485912413</v>
      </c>
      <c r="Q564" s="5">
        <v>8474.2603471579441</v>
      </c>
      <c r="R564" s="5">
        <v>89167.415757270224</v>
      </c>
    </row>
    <row r="565" spans="9:18">
      <c r="I565" s="4">
        <v>550</v>
      </c>
      <c r="J565" s="5">
        <v>23517.429992060665</v>
      </c>
      <c r="K565" s="5">
        <v>13559.080695844099</v>
      </c>
      <c r="L565" s="5">
        <v>17243.440968229323</v>
      </c>
      <c r="M565" s="5">
        <v>19262.243095117232</v>
      </c>
      <c r="N565" s="5">
        <v>27841.916587595573</v>
      </c>
      <c r="O565" s="5">
        <v>83458.030763693328</v>
      </c>
      <c r="P565" s="5">
        <v>8877.9712092977989</v>
      </c>
      <c r="Q565" s="5">
        <v>47365.380972950254</v>
      </c>
      <c r="R565" s="5">
        <v>44707.053087992797</v>
      </c>
    </row>
    <row r="566" spans="9:18">
      <c r="I566" s="4">
        <v>551</v>
      </c>
      <c r="J566" s="5">
        <v>14594.990625703947</v>
      </c>
      <c r="K566" s="5">
        <v>16132.555399908759</v>
      </c>
      <c r="L566" s="5">
        <v>15746.942257105531</v>
      </c>
      <c r="M566" s="5">
        <v>29834.240613550006</v>
      </c>
      <c r="N566" s="5">
        <v>20558.672182394013</v>
      </c>
      <c r="O566" s="5">
        <v>20489.622805425737</v>
      </c>
      <c r="P566" s="5">
        <v>36724.352187786957</v>
      </c>
      <c r="Q566" s="5">
        <v>59964.86015574776</v>
      </c>
      <c r="R566" s="5">
        <v>51358.6267760993</v>
      </c>
    </row>
    <row r="567" spans="9:18">
      <c r="I567" s="4">
        <v>552</v>
      </c>
      <c r="J567" s="5">
        <v>27392.038553726634</v>
      </c>
      <c r="K567" s="5">
        <v>9769.3659785458403</v>
      </c>
      <c r="L567" s="5">
        <v>16014.071850041886</v>
      </c>
      <c r="M567" s="5">
        <v>13139.022167648376</v>
      </c>
      <c r="N567" s="5">
        <v>9209.4418830788036</v>
      </c>
      <c r="O567" s="5">
        <v>26268.613803794757</v>
      </c>
      <c r="P567" s="5">
        <v>12992.105410393709</v>
      </c>
      <c r="Q567" s="5">
        <v>12253.299944531094</v>
      </c>
      <c r="R567" s="5">
        <v>2071.5141323269809</v>
      </c>
    </row>
    <row r="568" spans="9:18">
      <c r="I568" s="4">
        <v>553</v>
      </c>
      <c r="J568" s="5">
        <v>14750.660273177687</v>
      </c>
      <c r="K568" s="5">
        <v>14095.75230105142</v>
      </c>
      <c r="L568" s="5">
        <v>22018.381599979773</v>
      </c>
      <c r="M568" s="5">
        <v>20550.782384061673</v>
      </c>
      <c r="N568" s="5">
        <v>27841.916587595573</v>
      </c>
      <c r="O568" s="5">
        <v>55264.438774006347</v>
      </c>
      <c r="P568" s="5">
        <v>14316.965520592317</v>
      </c>
      <c r="Q568" s="5">
        <v>54060.5331097772</v>
      </c>
      <c r="R568" s="5">
        <v>17304.847214362417</v>
      </c>
    </row>
    <row r="569" spans="9:18">
      <c r="I569" s="4">
        <v>554</v>
      </c>
      <c r="J569" s="5">
        <v>13391.049101507895</v>
      </c>
      <c r="K569" s="5">
        <v>8223.1266007477425</v>
      </c>
      <c r="L569" s="5">
        <v>17920.486090689363</v>
      </c>
      <c r="M569" s="5">
        <v>21272.00214469912</v>
      </c>
      <c r="N569" s="5">
        <v>22868.569282757788</v>
      </c>
      <c r="O569" s="5">
        <v>16572.483389649329</v>
      </c>
      <c r="P569" s="5">
        <v>44816.412248582856</v>
      </c>
      <c r="Q569" s="5">
        <v>19541.409060825732</v>
      </c>
      <c r="R569" s="5">
        <v>55106.806585409526</v>
      </c>
    </row>
    <row r="570" spans="9:18">
      <c r="I570" s="4">
        <v>555</v>
      </c>
      <c r="J570" s="5">
        <v>21150.169973104224</v>
      </c>
      <c r="K570" s="5">
        <v>14017.262946034314</v>
      </c>
      <c r="L570" s="5">
        <v>15651.346103181355</v>
      </c>
      <c r="M570" s="5">
        <v>17370.588707072598</v>
      </c>
      <c r="N570" s="5">
        <v>14921.795973817481</v>
      </c>
      <c r="O570" s="5">
        <v>31172.963108652857</v>
      </c>
      <c r="P570" s="5">
        <v>35213.322626437533</v>
      </c>
      <c r="Q570" s="5">
        <v>37802.358878968138</v>
      </c>
      <c r="R570" s="5">
        <v>17304.847214362417</v>
      </c>
    </row>
    <row r="571" spans="9:18">
      <c r="I571" s="4">
        <v>556</v>
      </c>
      <c r="J571" s="5">
        <v>16459.003095225507</v>
      </c>
      <c r="K571" s="5">
        <v>34164.842952759042</v>
      </c>
      <c r="L571" s="5">
        <v>18810.091753970282</v>
      </c>
      <c r="M571" s="5">
        <v>23449.501569180404</v>
      </c>
      <c r="N571" s="5">
        <v>23746.795665493762</v>
      </c>
      <c r="O571" s="5">
        <v>40304.23053285561</v>
      </c>
      <c r="P571" s="5">
        <v>25258.981945036445</v>
      </c>
      <c r="Q571" s="5">
        <v>4631.7430487757983</v>
      </c>
      <c r="R571" s="5">
        <v>38898.713625068609</v>
      </c>
    </row>
    <row r="572" spans="9:18">
      <c r="I572" s="4">
        <v>557</v>
      </c>
      <c r="J572" s="5">
        <v>16016.491239086423</v>
      </c>
      <c r="K572" s="5">
        <v>11149.572204897504</v>
      </c>
      <c r="L572" s="5">
        <v>15664.99858445921</v>
      </c>
      <c r="M572" s="5">
        <v>21272.00214469912</v>
      </c>
      <c r="N572" s="5">
        <v>20292.069765667391</v>
      </c>
      <c r="O572" s="5">
        <v>40304.23053285561</v>
      </c>
      <c r="P572" s="5">
        <v>33500.490132682797</v>
      </c>
      <c r="Q572" s="5">
        <v>13865.641566869812</v>
      </c>
      <c r="R572" s="5">
        <v>17991.870496434763</v>
      </c>
    </row>
    <row r="573" spans="9:18">
      <c r="I573" s="4">
        <v>558</v>
      </c>
      <c r="J573" s="5">
        <v>9368.8270679249108</v>
      </c>
      <c r="K573" s="5">
        <v>11149.572204897504</v>
      </c>
      <c r="L573" s="5">
        <v>23561.450544884348</v>
      </c>
      <c r="M573" s="5">
        <v>17542.15972125496</v>
      </c>
      <c r="N573" s="5">
        <v>21931.347680292267</v>
      </c>
      <c r="O573" s="5">
        <v>4231.3144655921506</v>
      </c>
      <c r="P573" s="5">
        <v>41657.50350099193</v>
      </c>
      <c r="Q573" s="5">
        <v>17234.335939857254</v>
      </c>
      <c r="R573" s="5">
        <v>29295.938844292672</v>
      </c>
    </row>
    <row r="574" spans="9:18">
      <c r="I574" s="4">
        <v>559</v>
      </c>
      <c r="J574" s="5">
        <v>16305.770155972396</v>
      </c>
      <c r="K574" s="5">
        <v>23934.551191616061</v>
      </c>
      <c r="L574" s="5">
        <v>17482.478480142941</v>
      </c>
      <c r="M574" s="5">
        <v>15586.009710351766</v>
      </c>
      <c r="N574" s="5">
        <v>15251.140047572881</v>
      </c>
      <c r="O574" s="5">
        <v>31172.963108652857</v>
      </c>
      <c r="P574" s="5">
        <v>21039.927746191301</v>
      </c>
      <c r="Q574" s="5">
        <v>73941.636731325911</v>
      </c>
      <c r="R574" s="5">
        <v>17991.870496434763</v>
      </c>
    </row>
    <row r="575" spans="9:18">
      <c r="I575" s="4">
        <v>560</v>
      </c>
      <c r="J575" s="5">
        <v>23517.429992060665</v>
      </c>
      <c r="K575" s="5">
        <v>6949.5708823216592</v>
      </c>
      <c r="L575" s="5">
        <v>16293.265064857471</v>
      </c>
      <c r="M575" s="5">
        <v>31460.745851561904</v>
      </c>
      <c r="N575" s="5">
        <v>17811.114014514766</v>
      </c>
      <c r="O575" s="5">
        <v>8801.3667015774663</v>
      </c>
      <c r="P575" s="5">
        <v>55152.110177667731</v>
      </c>
      <c r="Q575" s="5">
        <v>20987.925664394581</v>
      </c>
      <c r="R575" s="5">
        <v>46004.399892616471</v>
      </c>
    </row>
    <row r="576" spans="9:18">
      <c r="I576" s="4">
        <v>561</v>
      </c>
      <c r="J576" s="5">
        <v>15064.079707240266</v>
      </c>
      <c r="K576" s="5">
        <v>9739.7813029644258</v>
      </c>
      <c r="L576" s="5">
        <v>18602.881797624486</v>
      </c>
      <c r="M576" s="5">
        <v>11860.862376247747</v>
      </c>
      <c r="N576" s="5">
        <v>45581.602064432409</v>
      </c>
      <c r="O576" s="5">
        <v>27195.510785031525</v>
      </c>
      <c r="P576" s="5">
        <v>32155.527541400057</v>
      </c>
      <c r="Q576" s="5">
        <v>13214.632802255031</v>
      </c>
      <c r="R576" s="5">
        <v>90296.353221228885</v>
      </c>
    </row>
    <row r="577" spans="9:18">
      <c r="I577" s="4">
        <v>562</v>
      </c>
      <c r="J577" s="5">
        <v>20002.201347927807</v>
      </c>
      <c r="K577" s="5">
        <v>21187.174639714212</v>
      </c>
      <c r="L577" s="5">
        <v>15225.811035017256</v>
      </c>
      <c r="M577" s="5">
        <v>13414.385151739983</v>
      </c>
      <c r="N577" s="5">
        <v>20718.434293991453</v>
      </c>
      <c r="O577" s="5">
        <v>59207.798737851255</v>
      </c>
      <c r="P577" s="5">
        <v>14316.965520592317</v>
      </c>
      <c r="Q577" s="5">
        <v>3272.4685014937832</v>
      </c>
      <c r="R577" s="5">
        <v>55106.806585409526</v>
      </c>
    </row>
    <row r="578" spans="9:18">
      <c r="I578" s="4">
        <v>563</v>
      </c>
      <c r="J578" s="5">
        <v>7855.2948890116513</v>
      </c>
      <c r="K578" s="5">
        <v>16199.334613834633</v>
      </c>
      <c r="L578" s="5">
        <v>22319.409576580376</v>
      </c>
      <c r="M578" s="5">
        <v>13616.35938654862</v>
      </c>
      <c r="N578" s="5">
        <v>34295.124147811541</v>
      </c>
      <c r="O578" s="5">
        <v>35865.625349531729</v>
      </c>
      <c r="P578" s="5">
        <v>54100.778483493887</v>
      </c>
      <c r="Q578" s="5">
        <v>70295.978314632754</v>
      </c>
      <c r="R578" s="5">
        <v>50287.76786557267</v>
      </c>
    </row>
    <row r="579" spans="9:18">
      <c r="I579" s="4">
        <v>564</v>
      </c>
      <c r="J579" s="5">
        <v>13045.114546182727</v>
      </c>
      <c r="K579" s="5">
        <v>32294.121255311245</v>
      </c>
      <c r="L579" s="5">
        <v>14344.859750762502</v>
      </c>
      <c r="M579" s="5">
        <v>11680.747299075838</v>
      </c>
      <c r="N579" s="5">
        <v>11251.634703629026</v>
      </c>
      <c r="O579" s="5">
        <v>27068.054847826614</v>
      </c>
      <c r="P579" s="5">
        <v>5836.7810663002319</v>
      </c>
      <c r="Q579" s="5">
        <v>27789.973552634947</v>
      </c>
      <c r="R579" s="5">
        <v>24722.972470599001</v>
      </c>
    </row>
    <row r="580" spans="9:18">
      <c r="I580" s="4">
        <v>565</v>
      </c>
      <c r="J580" s="5">
        <v>9368.8270679249108</v>
      </c>
      <c r="K580" s="5">
        <v>17003.901855709089</v>
      </c>
      <c r="L580" s="5">
        <v>18602.881797624486</v>
      </c>
      <c r="M580" s="5">
        <v>31472.019071027709</v>
      </c>
      <c r="N580" s="5">
        <v>11684.605182472778</v>
      </c>
      <c r="O580" s="5">
        <v>53028.643350899503</v>
      </c>
      <c r="P580" s="5">
        <v>39054.462981000084</v>
      </c>
      <c r="Q580" s="5">
        <v>52545.991451361173</v>
      </c>
      <c r="R580" s="5">
        <v>72640.340924600489</v>
      </c>
    </row>
    <row r="581" spans="9:18">
      <c r="I581" s="4">
        <v>566</v>
      </c>
      <c r="J581" s="5">
        <v>13045.114546182727</v>
      </c>
      <c r="K581" s="5">
        <v>14587.813833513306</v>
      </c>
      <c r="L581" s="5">
        <v>13622.976145621742</v>
      </c>
      <c r="M581" s="5">
        <v>24981.974172352908</v>
      </c>
      <c r="N581" s="5">
        <v>14240.123545764454</v>
      </c>
      <c r="O581" s="5">
        <v>41653.890350944224</v>
      </c>
      <c r="P581" s="5">
        <v>48123.003747643132</v>
      </c>
      <c r="Q581" s="5">
        <v>6386.5227360487288</v>
      </c>
      <c r="R581" s="5">
        <v>81423.874800517297</v>
      </c>
    </row>
    <row r="582" spans="9:18">
      <c r="I582" s="4">
        <v>567</v>
      </c>
      <c r="J582" s="5">
        <v>14680.308400328413</v>
      </c>
      <c r="K582" s="5">
        <v>21527.93129974293</v>
      </c>
      <c r="L582" s="5">
        <v>15664.99858445921</v>
      </c>
      <c r="M582" s="5">
        <v>12619.198742021435</v>
      </c>
      <c r="N582" s="5">
        <v>24020.875410266352</v>
      </c>
      <c r="O582" s="5">
        <v>31172.963108652857</v>
      </c>
      <c r="P582" s="5">
        <v>6275.8915673055426</v>
      </c>
      <c r="Q582" s="5">
        <v>79566.621912742485</v>
      </c>
      <c r="R582" s="5">
        <v>7784.2246210242874</v>
      </c>
    </row>
    <row r="583" spans="9:18">
      <c r="I583" s="4">
        <v>568</v>
      </c>
      <c r="J583" s="5">
        <v>14710.037865351254</v>
      </c>
      <c r="K583" s="5">
        <v>14351.415257675473</v>
      </c>
      <c r="L583" s="5">
        <v>17578.712723867691</v>
      </c>
      <c r="M583" s="5">
        <v>20229.919588372999</v>
      </c>
      <c r="N583" s="5">
        <v>26565.664379767408</v>
      </c>
      <c r="O583" s="5">
        <v>15124.35050053727</v>
      </c>
      <c r="P583" s="5">
        <v>8662.4232458952465</v>
      </c>
      <c r="Q583" s="5">
        <v>73941.636731325911</v>
      </c>
      <c r="R583" s="5">
        <v>216919.53009911609</v>
      </c>
    </row>
    <row r="584" spans="9:18">
      <c r="I584" s="4">
        <v>569</v>
      </c>
      <c r="J584" s="5">
        <v>15648.665245032147</v>
      </c>
      <c r="K584" s="5">
        <v>14579.232378315752</v>
      </c>
      <c r="L584" s="5">
        <v>22412.045018675239</v>
      </c>
      <c r="M584" s="5">
        <v>21712.71007234112</v>
      </c>
      <c r="N584" s="5">
        <v>23998.040874392525</v>
      </c>
      <c r="O584" s="5">
        <v>10369.402667058452</v>
      </c>
      <c r="P584" s="5">
        <v>9965.8330787532959</v>
      </c>
      <c r="Q584" s="5">
        <v>79566.621912742485</v>
      </c>
      <c r="R584" s="5">
        <v>16039.216896723072</v>
      </c>
    </row>
    <row r="585" spans="9:18">
      <c r="I585" s="4">
        <v>570</v>
      </c>
      <c r="J585" s="5">
        <v>12035.382213755307</v>
      </c>
      <c r="K585" s="5">
        <v>23934.551191616061</v>
      </c>
      <c r="L585" s="5">
        <v>19189.275558866306</v>
      </c>
      <c r="M585" s="5">
        <v>14660.631931099009</v>
      </c>
      <c r="N585" s="5">
        <v>26152.705108198839</v>
      </c>
      <c r="O585" s="5">
        <v>24422.445067017139</v>
      </c>
      <c r="P585" s="5">
        <v>22601.57564624758</v>
      </c>
      <c r="Q585" s="5">
        <v>100789.83462564547</v>
      </c>
      <c r="R585" s="5">
        <v>6681.1887184356683</v>
      </c>
    </row>
    <row r="586" spans="9:18">
      <c r="I586" s="4">
        <v>571</v>
      </c>
      <c r="J586" s="5">
        <v>15064.079707240266</v>
      </c>
      <c r="K586" s="5">
        <v>16674.541027260992</v>
      </c>
      <c r="L586" s="5">
        <v>16106.634875163341</v>
      </c>
      <c r="M586" s="5">
        <v>19795.661011456152</v>
      </c>
      <c r="N586" s="5">
        <v>11251.634703629026</v>
      </c>
      <c r="O586" s="5">
        <v>20489.622805425737</v>
      </c>
      <c r="P586" s="5">
        <v>35213.322626437533</v>
      </c>
      <c r="Q586" s="5">
        <v>44911.749632594299</v>
      </c>
      <c r="R586" s="5">
        <v>8046.7106309763258</v>
      </c>
    </row>
    <row r="587" spans="9:18">
      <c r="I587" s="4">
        <v>572</v>
      </c>
      <c r="J587" s="5">
        <v>9368.8270679249108</v>
      </c>
      <c r="K587" s="5">
        <v>20887.307279900142</v>
      </c>
      <c r="L587" s="5">
        <v>22018.381599979773</v>
      </c>
      <c r="M587" s="5">
        <v>10142.860128720422</v>
      </c>
      <c r="N587" s="5">
        <v>21909.120225822895</v>
      </c>
      <c r="O587" s="5">
        <v>62082.6862081785</v>
      </c>
      <c r="P587" s="5">
        <v>45161.732159568586</v>
      </c>
      <c r="Q587" s="5">
        <v>13214.632802255031</v>
      </c>
      <c r="R587" s="5">
        <v>50287.76786557267</v>
      </c>
    </row>
    <row r="588" spans="9:18">
      <c r="I588" s="4">
        <v>573</v>
      </c>
      <c r="J588" s="5">
        <v>15130.594750069789</v>
      </c>
      <c r="K588" s="5">
        <v>16952.949313901812</v>
      </c>
      <c r="L588" s="5">
        <v>16472.138192556791</v>
      </c>
      <c r="M588" s="5">
        <v>29041.83725675238</v>
      </c>
      <c r="N588" s="5">
        <v>41563.89847100406</v>
      </c>
      <c r="O588" s="5">
        <v>24258.192244316608</v>
      </c>
      <c r="P588" s="5">
        <v>9633.1652908310007</v>
      </c>
      <c r="Q588" s="5">
        <v>7349.2234634219121</v>
      </c>
      <c r="R588" s="5">
        <v>17991.870496434763</v>
      </c>
    </row>
    <row r="589" spans="9:18">
      <c r="I589" s="4">
        <v>574</v>
      </c>
      <c r="J589" s="5">
        <v>14710.037865351254</v>
      </c>
      <c r="K589" s="5">
        <v>11149.572204897504</v>
      </c>
      <c r="L589" s="5">
        <v>23760.785349782636</v>
      </c>
      <c r="M589" s="5">
        <v>20550.782384061673</v>
      </c>
      <c r="N589" s="5">
        <v>57711.498171893618</v>
      </c>
      <c r="O589" s="5">
        <v>9869.5889207969612</v>
      </c>
      <c r="P589" s="5">
        <v>16650.229067545235</v>
      </c>
      <c r="Q589" s="5">
        <v>17493.456269945855</v>
      </c>
      <c r="R589" s="5">
        <v>6681.1887184356683</v>
      </c>
    </row>
    <row r="590" spans="9:18">
      <c r="I590" s="4">
        <v>575</v>
      </c>
      <c r="J590" s="5">
        <v>16088.430030489333</v>
      </c>
      <c r="K590" s="5">
        <v>16674.541027260992</v>
      </c>
      <c r="L590" s="5">
        <v>23561.450544884348</v>
      </c>
      <c r="M590" s="5">
        <v>17542.15972125496</v>
      </c>
      <c r="N590" s="5">
        <v>14335.478134989447</v>
      </c>
      <c r="O590" s="5">
        <v>5444.7598502623823</v>
      </c>
      <c r="P590" s="5">
        <v>16650.229067545235</v>
      </c>
      <c r="Q590" s="5">
        <v>2356.8990887111336</v>
      </c>
      <c r="R590" s="5">
        <v>29295.938844292672</v>
      </c>
    </row>
    <row r="591" spans="9:18">
      <c r="I591" s="4">
        <v>576</v>
      </c>
      <c r="J591" s="5">
        <v>28214.771032351968</v>
      </c>
      <c r="K591" s="5">
        <v>14611.618478071941</v>
      </c>
      <c r="L591" s="5">
        <v>10896.494237357269</v>
      </c>
      <c r="M591" s="5">
        <v>13011.820191946215</v>
      </c>
      <c r="N591" s="5">
        <v>39406.658185292261</v>
      </c>
      <c r="O591" s="5">
        <v>62082.6862081785</v>
      </c>
      <c r="P591" s="5">
        <v>3930.0915591834291</v>
      </c>
      <c r="Q591" s="5">
        <v>64585.328088516922</v>
      </c>
      <c r="R591" s="5">
        <v>9913.4206865238284</v>
      </c>
    </row>
    <row r="592" spans="9:18">
      <c r="I592" s="4">
        <v>577</v>
      </c>
      <c r="J592" s="5">
        <v>14710.037865351254</v>
      </c>
      <c r="K592" s="5">
        <v>13559.080695844099</v>
      </c>
      <c r="L592" s="5">
        <v>10752.183901283248</v>
      </c>
      <c r="M592" s="5">
        <v>18879.640760542785</v>
      </c>
      <c r="N592" s="5">
        <v>17891.96347244953</v>
      </c>
      <c r="O592" s="5">
        <v>49114.195066822271</v>
      </c>
      <c r="P592" s="5">
        <v>27708.613526855763</v>
      </c>
      <c r="Q592" s="5">
        <v>22483.395143121877</v>
      </c>
      <c r="R592" s="5">
        <v>51358.6267760993</v>
      </c>
    </row>
    <row r="593" spans="9:18">
      <c r="I593" s="4">
        <v>578</v>
      </c>
      <c r="J593" s="5">
        <v>14594.990625703947</v>
      </c>
      <c r="K593" s="5">
        <v>24728.095385476983</v>
      </c>
      <c r="L593" s="5">
        <v>25007.552172398639</v>
      </c>
      <c r="M593" s="5">
        <v>12934.591863415189</v>
      </c>
      <c r="N593" s="5">
        <v>10882.757905166785</v>
      </c>
      <c r="O593" s="5">
        <v>49114.195066822271</v>
      </c>
      <c r="P593" s="5">
        <v>106091.28270624072</v>
      </c>
      <c r="Q593" s="5">
        <v>59134.059519022907</v>
      </c>
      <c r="R593" s="5">
        <v>12116.34255245842</v>
      </c>
    </row>
    <row r="594" spans="9:18">
      <c r="I594" s="4">
        <v>579</v>
      </c>
      <c r="J594" s="5">
        <v>13045.114546182727</v>
      </c>
      <c r="K594" s="5">
        <v>95171.967522309933</v>
      </c>
      <c r="L594" s="5">
        <v>16577.562442697115</v>
      </c>
      <c r="M594" s="5">
        <v>11680.747299075838</v>
      </c>
      <c r="N594" s="5">
        <v>23583.581287126868</v>
      </c>
      <c r="O594" s="5">
        <v>66253.993323243907</v>
      </c>
      <c r="P594" s="5">
        <v>21813.848941464526</v>
      </c>
      <c r="Q594" s="5">
        <v>73941.636731325911</v>
      </c>
      <c r="R594" s="5">
        <v>55012.315589742022</v>
      </c>
    </row>
    <row r="595" spans="9:18">
      <c r="I595" s="4">
        <v>580</v>
      </c>
      <c r="J595" s="5">
        <v>13918.242013140338</v>
      </c>
      <c r="K595" s="5">
        <v>8124.7965732661823</v>
      </c>
      <c r="L595" s="5">
        <v>15764.107424863063</v>
      </c>
      <c r="M595" s="5">
        <v>13642.678686731051</v>
      </c>
      <c r="N595" s="5">
        <v>46248.895746171031</v>
      </c>
      <c r="O595" s="5">
        <v>5444.7598502623823</v>
      </c>
      <c r="P595" s="5">
        <v>26126.807131356076</v>
      </c>
      <c r="Q595" s="5">
        <v>27018.509959127641</v>
      </c>
      <c r="R595" s="5">
        <v>55012.315589742022</v>
      </c>
    </row>
    <row r="596" spans="9:18">
      <c r="I596" s="4">
        <v>581</v>
      </c>
      <c r="J596" s="5">
        <v>15786.811016780619</v>
      </c>
      <c r="K596" s="5">
        <v>16199.334613834633</v>
      </c>
      <c r="L596" s="5">
        <v>14649.721476864312</v>
      </c>
      <c r="M596" s="5">
        <v>19262.243095117232</v>
      </c>
      <c r="N596" s="5">
        <v>10882.757905166785</v>
      </c>
      <c r="O596" s="5">
        <v>15936.062371781712</v>
      </c>
      <c r="P596" s="5">
        <v>22601.57564624758</v>
      </c>
      <c r="Q596" s="5">
        <v>96632.959478514502</v>
      </c>
      <c r="R596" s="5">
        <v>93933.045103013996</v>
      </c>
    </row>
    <row r="597" spans="9:18">
      <c r="I597" s="4">
        <v>582</v>
      </c>
      <c r="J597" s="5">
        <v>12701.339251949787</v>
      </c>
      <c r="K597" s="5">
        <v>23327.217259521742</v>
      </c>
      <c r="L597" s="5">
        <v>16106.634875163341</v>
      </c>
      <c r="M597" s="5">
        <v>11860.862376247747</v>
      </c>
      <c r="N597" s="5">
        <v>35826.921212852278</v>
      </c>
      <c r="O597" s="5">
        <v>20930.098352661731</v>
      </c>
      <c r="P597" s="5">
        <v>14773.185437294762</v>
      </c>
      <c r="Q597" s="5">
        <v>73941.636731325911</v>
      </c>
      <c r="R597" s="5">
        <v>72561.496699005787</v>
      </c>
    </row>
    <row r="598" spans="9:18">
      <c r="I598" s="4">
        <v>583</v>
      </c>
      <c r="J598" s="5">
        <v>31559.699247539775</v>
      </c>
      <c r="K598" s="5">
        <v>14136.873097602549</v>
      </c>
      <c r="L598" s="5">
        <v>15764.107424863063</v>
      </c>
      <c r="M598" s="5">
        <v>10111.451009425113</v>
      </c>
      <c r="N598" s="5">
        <v>24020.875410266352</v>
      </c>
      <c r="O598" s="5">
        <v>8024.6340027919978</v>
      </c>
      <c r="P598" s="5">
        <v>35213.322626437533</v>
      </c>
      <c r="Q598" s="5">
        <v>53055.59182561023</v>
      </c>
      <c r="R598" s="5">
        <v>96845.299789249824</v>
      </c>
    </row>
    <row r="599" spans="9:18">
      <c r="I599" s="4">
        <v>584</v>
      </c>
      <c r="J599" s="5">
        <v>13918.242013140338</v>
      </c>
      <c r="K599" s="5">
        <v>32294.121255311245</v>
      </c>
      <c r="L599" s="5">
        <v>17243.440968229323</v>
      </c>
      <c r="M599" s="5">
        <v>23515.935489506261</v>
      </c>
      <c r="N599" s="5">
        <v>14335.478134989447</v>
      </c>
      <c r="O599" s="5">
        <v>24369.28567093279</v>
      </c>
      <c r="P599" s="5">
        <v>9826.8369575407578</v>
      </c>
      <c r="Q599" s="5">
        <v>47365.380972950254</v>
      </c>
      <c r="R599" s="5">
        <v>59414.886464347241</v>
      </c>
    </row>
    <row r="600" spans="9:18">
      <c r="I600" s="4">
        <v>585</v>
      </c>
      <c r="J600" s="5">
        <v>20768.286261788198</v>
      </c>
      <c r="K600" s="5">
        <v>7753.2116148734594</v>
      </c>
      <c r="L600" s="5">
        <v>14042.41908879921</v>
      </c>
      <c r="M600" s="5">
        <v>19042.78605337895</v>
      </c>
      <c r="N600" s="5">
        <v>17891.96347244953</v>
      </c>
      <c r="O600" s="5">
        <v>20721.57544042755</v>
      </c>
      <c r="P600" s="5">
        <v>35569.894390728325</v>
      </c>
      <c r="Q600" s="5">
        <v>28776.080424849053</v>
      </c>
      <c r="R600" s="5">
        <v>81423.874800517297</v>
      </c>
    </row>
    <row r="601" spans="9:18">
      <c r="I601" s="4">
        <v>586</v>
      </c>
      <c r="J601" s="5">
        <v>34933.039312618188</v>
      </c>
      <c r="K601" s="5">
        <v>16674.541027260992</v>
      </c>
      <c r="L601" s="5">
        <v>15359.132481533357</v>
      </c>
      <c r="M601" s="5">
        <v>11860.862376247747</v>
      </c>
      <c r="N601" s="5">
        <v>35826.921212852278</v>
      </c>
      <c r="O601" s="5">
        <v>35865.625349531729</v>
      </c>
      <c r="P601" s="5">
        <v>9047.5556949992188</v>
      </c>
      <c r="Q601" s="5">
        <v>13865.641566869812</v>
      </c>
      <c r="R601" s="5">
        <v>12116.34255245842</v>
      </c>
    </row>
    <row r="602" spans="9:18">
      <c r="I602" s="4">
        <v>587</v>
      </c>
      <c r="J602" s="5">
        <v>13045.114546182727</v>
      </c>
      <c r="K602" s="5">
        <v>13719.930466819731</v>
      </c>
      <c r="L602" s="5">
        <v>21954.536591034263</v>
      </c>
      <c r="M602" s="5">
        <v>13642.678686731051</v>
      </c>
      <c r="N602" s="5">
        <v>40377.252444397986</v>
      </c>
      <c r="O602" s="5">
        <v>55264.438774006347</v>
      </c>
      <c r="P602" s="5">
        <v>77603.711720266961</v>
      </c>
      <c r="Q602" s="5">
        <v>15663.43865741136</v>
      </c>
      <c r="R602" s="5">
        <v>3989.7956692889929</v>
      </c>
    </row>
    <row r="603" spans="9:18">
      <c r="I603" s="4">
        <v>588</v>
      </c>
      <c r="J603" s="5">
        <v>16156.372629961115</v>
      </c>
      <c r="K603" s="5">
        <v>11507.182177474708</v>
      </c>
      <c r="L603" s="5">
        <v>14146.191653372813</v>
      </c>
      <c r="M603" s="5">
        <v>26477.996319655329</v>
      </c>
      <c r="N603" s="5">
        <v>24314.043643333731</v>
      </c>
      <c r="O603" s="5">
        <v>30608.431994348266</v>
      </c>
      <c r="P603" s="5">
        <v>40377.463755170742</v>
      </c>
      <c r="Q603" s="5">
        <v>9138.5169630896526</v>
      </c>
      <c r="R603" s="5">
        <v>87776.138236389699</v>
      </c>
    </row>
    <row r="604" spans="9:18">
      <c r="I604" s="4">
        <v>589</v>
      </c>
      <c r="J604" s="5">
        <v>13045.114546182727</v>
      </c>
      <c r="K604" s="5">
        <v>16273.14570113692</v>
      </c>
      <c r="L604" s="5">
        <v>17128.574519497746</v>
      </c>
      <c r="M604" s="5">
        <v>17542.15972125496</v>
      </c>
      <c r="N604" s="5">
        <v>21933.097106966918</v>
      </c>
      <c r="O604" s="5">
        <v>24369.28567093279</v>
      </c>
      <c r="P604" s="5">
        <v>33715.790977629549</v>
      </c>
      <c r="Q604" s="5">
        <v>17493.456269945855</v>
      </c>
      <c r="R604" s="5">
        <v>17304.847214362417</v>
      </c>
    </row>
    <row r="605" spans="9:18">
      <c r="I605" s="4">
        <v>590</v>
      </c>
      <c r="J605" s="5">
        <v>14749.343145806102</v>
      </c>
      <c r="K605" s="5">
        <v>11206.053243692098</v>
      </c>
      <c r="L605" s="5">
        <v>13358.459356674217</v>
      </c>
      <c r="M605" s="5">
        <v>21913.431401527439</v>
      </c>
      <c r="N605" s="5">
        <v>32184.535272543482</v>
      </c>
      <c r="O605" s="5">
        <v>36759.655306288936</v>
      </c>
      <c r="P605" s="5">
        <v>10966.822219855034</v>
      </c>
      <c r="Q605" s="5">
        <v>6386.5227360487288</v>
      </c>
      <c r="R605" s="5">
        <v>1535.701520095213</v>
      </c>
    </row>
    <row r="606" spans="9:18">
      <c r="I606" s="4">
        <v>591</v>
      </c>
      <c r="J606" s="5">
        <v>8580.4413740966302</v>
      </c>
      <c r="K606" s="5">
        <v>30552.499930043898</v>
      </c>
      <c r="L606" s="5">
        <v>14146.191653372813</v>
      </c>
      <c r="M606" s="5">
        <v>14217.48832834715</v>
      </c>
      <c r="N606" s="5">
        <v>9563.1256545330361</v>
      </c>
      <c r="O606" s="5">
        <v>13117.417685535194</v>
      </c>
      <c r="P606" s="5">
        <v>10733.318076105543</v>
      </c>
      <c r="Q606" s="5">
        <v>6386.5227360487288</v>
      </c>
      <c r="R606" s="5">
        <v>91403.228438796665</v>
      </c>
    </row>
    <row r="607" spans="9:18">
      <c r="I607" s="4">
        <v>592</v>
      </c>
      <c r="J607" s="5">
        <v>12035.382213755307</v>
      </c>
      <c r="K607" s="5">
        <v>7753.2116148734594</v>
      </c>
      <c r="L607" s="5">
        <v>14815.394001212817</v>
      </c>
      <c r="M607" s="5">
        <v>21072.983263501868</v>
      </c>
      <c r="N607" s="5">
        <v>26565.664379767408</v>
      </c>
      <c r="O607" s="5">
        <v>9708.4497800977806</v>
      </c>
      <c r="P607" s="5">
        <v>16072.735485912413</v>
      </c>
      <c r="Q607" s="5">
        <v>35525.432376048877</v>
      </c>
      <c r="R607" s="5">
        <v>30571.564004538617</v>
      </c>
    </row>
    <row r="608" spans="9:18">
      <c r="I608" s="4">
        <v>593</v>
      </c>
      <c r="J608" s="5">
        <v>11116.191595722205</v>
      </c>
      <c r="K608" s="5">
        <v>11403.533194020869</v>
      </c>
      <c r="L608" s="5">
        <v>13037.115556745504</v>
      </c>
      <c r="M608" s="5">
        <v>10111.451009425113</v>
      </c>
      <c r="N608" s="5">
        <v>11684.605182472778</v>
      </c>
      <c r="O608" s="5">
        <v>24258.192244316608</v>
      </c>
      <c r="P608" s="5">
        <v>12992.105410393709</v>
      </c>
      <c r="Q608" s="5">
        <v>17153.530968450712</v>
      </c>
      <c r="R608" s="5">
        <v>182942.88598316166</v>
      </c>
    </row>
    <row r="609" spans="9:18">
      <c r="I609" s="4">
        <v>594</v>
      </c>
      <c r="J609" s="5">
        <v>23517.429992060665</v>
      </c>
      <c r="K609" s="5">
        <v>43843.85059185313</v>
      </c>
      <c r="L609" s="5">
        <v>14691.846656953887</v>
      </c>
      <c r="M609" s="5">
        <v>18177.175180585615</v>
      </c>
      <c r="N609" s="5">
        <v>17214.078970533748</v>
      </c>
      <c r="O609" s="5">
        <v>26268.613803794757</v>
      </c>
      <c r="P609" s="5">
        <v>3017.2887813579896</v>
      </c>
      <c r="Q609" s="5">
        <v>116445.46783345108</v>
      </c>
      <c r="R609" s="5">
        <v>39727.513802035661</v>
      </c>
    </row>
    <row r="610" spans="9:18">
      <c r="I610" s="4">
        <v>595</v>
      </c>
      <c r="J610" s="5">
        <v>73074.062486361407</v>
      </c>
      <c r="K610" s="5">
        <v>12026.500118162745</v>
      </c>
      <c r="L610" s="5">
        <v>13358.459356674217</v>
      </c>
      <c r="M610" s="5">
        <v>31460.745851561904</v>
      </c>
      <c r="N610" s="5">
        <v>11635.644856128632</v>
      </c>
      <c r="O610" s="5">
        <v>4231.3144655921506</v>
      </c>
      <c r="P610" s="5">
        <v>26126.807131356076</v>
      </c>
      <c r="Q610" s="5">
        <v>9138.5169630896526</v>
      </c>
      <c r="R610" s="5">
        <v>7952.6989268572033</v>
      </c>
    </row>
    <row r="611" spans="9:18">
      <c r="I611" s="4">
        <v>596</v>
      </c>
      <c r="J611" s="5">
        <v>34933.039312618188</v>
      </c>
      <c r="K611" s="5">
        <v>30552.499930043898</v>
      </c>
      <c r="L611" s="5">
        <v>23561.450544884348</v>
      </c>
      <c r="M611" s="5">
        <v>21712.71007234112</v>
      </c>
      <c r="N611" s="5">
        <v>8555.1229659096207</v>
      </c>
      <c r="O611" s="5">
        <v>30608.431994348266</v>
      </c>
      <c r="P611" s="5">
        <v>10532.667493814919</v>
      </c>
      <c r="Q611" s="5">
        <v>30266.563414010914</v>
      </c>
      <c r="R611" s="5">
        <v>6681.1887184356683</v>
      </c>
    </row>
    <row r="612" spans="9:18">
      <c r="I612" s="4">
        <v>597</v>
      </c>
      <c r="J612" s="5">
        <v>13447.638004246244</v>
      </c>
      <c r="K612" s="5">
        <v>14587.813833513306</v>
      </c>
      <c r="L612" s="5">
        <v>18810.091753970282</v>
      </c>
      <c r="M612" s="5">
        <v>26477.996319655329</v>
      </c>
      <c r="N612" s="5">
        <v>16581.915858379376</v>
      </c>
      <c r="O612" s="5">
        <v>5444.7598502623823</v>
      </c>
      <c r="P612" s="5">
        <v>44816.412248582856</v>
      </c>
      <c r="Q612" s="5">
        <v>100789.83462564547</v>
      </c>
      <c r="R612" s="5">
        <v>9913.4206865238284</v>
      </c>
    </row>
    <row r="613" spans="9:18">
      <c r="I613" s="4">
        <v>598</v>
      </c>
      <c r="J613" s="5">
        <v>14420.293087375476</v>
      </c>
      <c r="K613" s="5">
        <v>15428.770955406064</v>
      </c>
      <c r="L613" s="5">
        <v>14042.41908879921</v>
      </c>
      <c r="M613" s="5">
        <v>9623.0342442006167</v>
      </c>
      <c r="N613" s="5">
        <v>9563.1256545330361</v>
      </c>
      <c r="O613" s="5">
        <v>40581.847217937895</v>
      </c>
      <c r="P613" s="5">
        <v>17643.087208586294</v>
      </c>
      <c r="Q613" s="5">
        <v>22895.455950885695</v>
      </c>
      <c r="R613" s="5">
        <v>17991.870496434763</v>
      </c>
    </row>
    <row r="614" spans="9:18">
      <c r="I614" s="4">
        <v>599</v>
      </c>
      <c r="J614" s="5">
        <v>15873.12561080002</v>
      </c>
      <c r="K614" s="5">
        <v>13652.224205833634</v>
      </c>
      <c r="L614" s="5">
        <v>16071.478531535273</v>
      </c>
      <c r="M614" s="5">
        <v>11529.920007560097</v>
      </c>
      <c r="N614" s="5">
        <v>11751.639947035985</v>
      </c>
      <c r="O614" s="5">
        <v>8121.6248378263163</v>
      </c>
      <c r="P614" s="5">
        <v>14376.883105731285</v>
      </c>
      <c r="Q614" s="5">
        <v>15663.43865741136</v>
      </c>
      <c r="R614" s="5">
        <v>181970.23111012415</v>
      </c>
    </row>
    <row r="615" spans="9:18">
      <c r="I615" s="4">
        <v>600</v>
      </c>
      <c r="J615" s="5">
        <v>16416.142496463777</v>
      </c>
      <c r="K615" s="5">
        <v>14587.813833513306</v>
      </c>
      <c r="L615" s="5">
        <v>13358.459356674217</v>
      </c>
      <c r="M615" s="5">
        <v>19097.39635881727</v>
      </c>
      <c r="N615" s="5">
        <v>8555.1229659096207</v>
      </c>
      <c r="O615" s="5">
        <v>62082.6862081785</v>
      </c>
      <c r="P615" s="5">
        <v>12992.105410393709</v>
      </c>
      <c r="Q615" s="5">
        <v>10151.908492905288</v>
      </c>
      <c r="R615" s="5">
        <v>23583.884732956092</v>
      </c>
    </row>
    <row r="616" spans="9:18">
      <c r="I616" s="4">
        <v>601</v>
      </c>
      <c r="J616" s="5">
        <v>26634.853073396614</v>
      </c>
      <c r="K616" s="5">
        <v>21958.925144875713</v>
      </c>
      <c r="L616" s="5">
        <v>11827.803406885578</v>
      </c>
      <c r="M616" s="5">
        <v>29834.240613550006</v>
      </c>
      <c r="N616" s="5">
        <v>41563.89847100406</v>
      </c>
      <c r="O616" s="5">
        <v>30608.431994348266</v>
      </c>
      <c r="P616" s="5">
        <v>25258.981945036445</v>
      </c>
      <c r="Q616" s="5">
        <v>7457.1844090365566</v>
      </c>
      <c r="R616" s="5">
        <v>10885.018205103002</v>
      </c>
    </row>
    <row r="617" spans="9:18">
      <c r="I617" s="4">
        <v>602</v>
      </c>
      <c r="J617" s="5">
        <v>17005.744061105343</v>
      </c>
      <c r="K617" s="5">
        <v>21187.174639714212</v>
      </c>
      <c r="L617" s="5">
        <v>21954.536591034263</v>
      </c>
      <c r="M617" s="5">
        <v>22961.931350882205</v>
      </c>
      <c r="N617" s="5">
        <v>21909.120225822895</v>
      </c>
      <c r="O617" s="5">
        <v>16524.769946939996</v>
      </c>
      <c r="P617" s="5">
        <v>36724.352187786957</v>
      </c>
      <c r="Q617" s="5">
        <v>56069.347629295014</v>
      </c>
      <c r="R617" s="5">
        <v>7118.1729476780347</v>
      </c>
    </row>
    <row r="618" spans="9:18">
      <c r="I618" s="4">
        <v>603</v>
      </c>
      <c r="J618" s="5">
        <v>16459.003095225507</v>
      </c>
      <c r="K618" s="5">
        <v>14878.52734402675</v>
      </c>
      <c r="L618" s="5">
        <v>13417.453622029931</v>
      </c>
      <c r="M618" s="5">
        <v>21332.072353846772</v>
      </c>
      <c r="N618" s="5">
        <v>41563.89847100406</v>
      </c>
      <c r="O618" s="5">
        <v>25604.597681740845</v>
      </c>
      <c r="P618" s="5">
        <v>28537.545734403488</v>
      </c>
      <c r="Q618" s="5">
        <v>4924.9171270300558</v>
      </c>
      <c r="R618" s="5">
        <v>12130.167062525341</v>
      </c>
    </row>
    <row r="619" spans="9:18">
      <c r="I619" s="4">
        <v>604</v>
      </c>
      <c r="J619" s="5">
        <v>14538.277247583976</v>
      </c>
      <c r="K619" s="5">
        <v>17903.387243834499</v>
      </c>
      <c r="L619" s="5">
        <v>17073.17760523731</v>
      </c>
      <c r="M619" s="5">
        <v>16500.222621933419</v>
      </c>
      <c r="N619" s="5">
        <v>34295.124147811541</v>
      </c>
      <c r="O619" s="5">
        <v>40581.847217937895</v>
      </c>
      <c r="P619" s="5">
        <v>38024.168395914428</v>
      </c>
      <c r="Q619" s="5">
        <v>31618.396253255491</v>
      </c>
      <c r="R619" s="5">
        <v>20303.08745527079</v>
      </c>
    </row>
    <row r="620" spans="9:18">
      <c r="I620" s="4">
        <v>605</v>
      </c>
      <c r="J620" s="5">
        <v>16166.107684907736</v>
      </c>
      <c r="K620" s="5">
        <v>16081.362509465702</v>
      </c>
      <c r="L620" s="5">
        <v>16106.634875163341</v>
      </c>
      <c r="M620" s="5">
        <v>41403.687663920646</v>
      </c>
      <c r="N620" s="5">
        <v>26152.705108198839</v>
      </c>
      <c r="O620" s="5">
        <v>10676.618215263648</v>
      </c>
      <c r="P620" s="5">
        <v>44816.412248582856</v>
      </c>
      <c r="Q620" s="5">
        <v>22895.455950885695</v>
      </c>
      <c r="R620" s="5">
        <v>39788.288251916689</v>
      </c>
    </row>
    <row r="621" spans="9:18">
      <c r="I621" s="4">
        <v>606</v>
      </c>
      <c r="J621" s="5">
        <v>16166.107684907736</v>
      </c>
      <c r="K621" s="5">
        <v>7753.2116148734594</v>
      </c>
      <c r="L621" s="5">
        <v>19189.275558866306</v>
      </c>
      <c r="M621" s="5">
        <v>18816.787977140237</v>
      </c>
      <c r="N621" s="5">
        <v>26565.664379767408</v>
      </c>
      <c r="O621" s="5">
        <v>9956.4031238965053</v>
      </c>
      <c r="P621" s="5">
        <v>5735.6883097179207</v>
      </c>
      <c r="Q621" s="5">
        <v>116445.46783345108</v>
      </c>
      <c r="R621" s="5">
        <v>72640.340924600489</v>
      </c>
    </row>
    <row r="622" spans="9:18">
      <c r="I622" s="4">
        <v>607</v>
      </c>
      <c r="J622" s="5">
        <v>21717.214093683677</v>
      </c>
      <c r="K622" s="5">
        <v>35488.449387009874</v>
      </c>
      <c r="L622" s="5">
        <v>15300.182042823812</v>
      </c>
      <c r="M622" s="5">
        <v>23449.501569180404</v>
      </c>
      <c r="N622" s="5">
        <v>16581.915858379376</v>
      </c>
      <c r="O622" s="5">
        <v>24369.28567093279</v>
      </c>
      <c r="P622" s="5">
        <v>41657.50350099193</v>
      </c>
      <c r="Q622" s="5">
        <v>11173.074396969254</v>
      </c>
      <c r="R622" s="5">
        <v>39263.770877572199</v>
      </c>
    </row>
    <row r="623" spans="9:18">
      <c r="I623" s="4">
        <v>608</v>
      </c>
      <c r="J623" s="5">
        <v>16733.020222212988</v>
      </c>
      <c r="K623" s="5">
        <v>15428.770955406064</v>
      </c>
      <c r="L623" s="5">
        <v>14811.370758813007</v>
      </c>
      <c r="M623" s="5">
        <v>19042.78605337895</v>
      </c>
      <c r="N623" s="5">
        <v>22511.351424689696</v>
      </c>
      <c r="O623" s="5">
        <v>10738.305003664611</v>
      </c>
      <c r="P623" s="5">
        <v>77603.711720266961</v>
      </c>
      <c r="Q623" s="5">
        <v>22145.301831504508</v>
      </c>
      <c r="R623" s="5">
        <v>51141.799458534304</v>
      </c>
    </row>
    <row r="624" spans="9:18">
      <c r="I624" s="4">
        <v>609</v>
      </c>
      <c r="J624" s="5">
        <v>29760.443016608337</v>
      </c>
      <c r="K624" s="5">
        <v>23543.914024953676</v>
      </c>
      <c r="L624" s="5">
        <v>16071.260291253868</v>
      </c>
      <c r="M624" s="5">
        <v>13616.35938654862</v>
      </c>
      <c r="N624" s="5">
        <v>23998.040874392525</v>
      </c>
      <c r="O624" s="5">
        <v>9869.5889207969612</v>
      </c>
      <c r="P624" s="5">
        <v>106091.28270624072</v>
      </c>
      <c r="Q624" s="5">
        <v>47365.380972950254</v>
      </c>
      <c r="R624" s="5">
        <v>12116.34255245842</v>
      </c>
    </row>
    <row r="625" spans="9:18">
      <c r="I625" s="4">
        <v>610</v>
      </c>
      <c r="J625" s="5">
        <v>15417.870921574262</v>
      </c>
      <c r="K625" s="5">
        <v>14674.169276244838</v>
      </c>
      <c r="L625" s="5">
        <v>16106.634875163341</v>
      </c>
      <c r="M625" s="5">
        <v>10451.914120098167</v>
      </c>
      <c r="N625" s="5">
        <v>11635.644856128632</v>
      </c>
      <c r="O625" s="5">
        <v>16524.769946939996</v>
      </c>
      <c r="P625" s="5">
        <v>8662.4232458952465</v>
      </c>
      <c r="Q625" s="5">
        <v>43417.41805414496</v>
      </c>
      <c r="R625" s="5">
        <v>24831.679362998926</v>
      </c>
    </row>
    <row r="626" spans="9:18">
      <c r="I626" s="4">
        <v>611</v>
      </c>
      <c r="J626" s="5">
        <v>28214.771032351968</v>
      </c>
      <c r="K626" s="5">
        <v>18086.448513145526</v>
      </c>
      <c r="L626" s="5">
        <v>13358.459356674217</v>
      </c>
      <c r="M626" s="5">
        <v>17370.588707072598</v>
      </c>
      <c r="N626" s="5">
        <v>9563.1256545330361</v>
      </c>
      <c r="O626" s="5">
        <v>24422.445067017139</v>
      </c>
      <c r="P626" s="5">
        <v>17996.895987204196</v>
      </c>
      <c r="Q626" s="5">
        <v>7457.1844090365566</v>
      </c>
      <c r="R626" s="5">
        <v>5865.9802599669383</v>
      </c>
    </row>
    <row r="627" spans="9:18">
      <c r="I627" s="4">
        <v>612</v>
      </c>
      <c r="J627" s="5">
        <v>13595.404057849493</v>
      </c>
      <c r="K627" s="5">
        <v>13288.692555879701</v>
      </c>
      <c r="L627" s="5">
        <v>14344.859750762502</v>
      </c>
      <c r="M627" s="5">
        <v>12426.949970383979</v>
      </c>
      <c r="N627" s="5">
        <v>12592.300437162297</v>
      </c>
      <c r="O627" s="5">
        <v>14371.728352806511</v>
      </c>
      <c r="P627" s="5">
        <v>5836.7810663002319</v>
      </c>
      <c r="Q627" s="5">
        <v>54060.5331097772</v>
      </c>
      <c r="R627" s="5">
        <v>123773.40402252052</v>
      </c>
    </row>
    <row r="628" spans="9:18">
      <c r="I628" s="4">
        <v>613</v>
      </c>
      <c r="J628" s="5">
        <v>18650.249281571734</v>
      </c>
      <c r="K628" s="5">
        <v>13288.692555879701</v>
      </c>
      <c r="L628" s="5">
        <v>25007.552172398639</v>
      </c>
      <c r="M628" s="5">
        <v>14660.631931099009</v>
      </c>
      <c r="N628" s="5">
        <v>13511.694619545402</v>
      </c>
      <c r="O628" s="5">
        <v>10746.295275180995</v>
      </c>
      <c r="P628" s="5">
        <v>32167.874670939738</v>
      </c>
      <c r="Q628" s="5">
        <v>68168.482468129529</v>
      </c>
      <c r="R628" s="5">
        <v>39727.513802035661</v>
      </c>
    </row>
    <row r="629" spans="9:18">
      <c r="I629" s="4">
        <v>614</v>
      </c>
      <c r="J629" s="5">
        <v>16145.071869702888</v>
      </c>
      <c r="K629" s="5">
        <v>35488.449387009874</v>
      </c>
      <c r="L629" s="5">
        <v>18810.091753970282</v>
      </c>
      <c r="M629" s="5">
        <v>22326.253555179093</v>
      </c>
      <c r="N629" s="5">
        <v>63974.903847153939</v>
      </c>
      <c r="O629" s="5">
        <v>27068.054847826614</v>
      </c>
      <c r="P629" s="5">
        <v>34814.458119125498</v>
      </c>
      <c r="Q629" s="5">
        <v>148345.62878828164</v>
      </c>
      <c r="R629" s="5">
        <v>17304.847214362417</v>
      </c>
    </row>
    <row r="630" spans="9:18">
      <c r="I630" s="4">
        <v>615</v>
      </c>
      <c r="J630" s="5">
        <v>16788.081681455456</v>
      </c>
      <c r="K630" s="5">
        <v>22732.797143159998</v>
      </c>
      <c r="L630" s="5">
        <v>15359.132481533357</v>
      </c>
      <c r="M630" s="5">
        <v>16500.222621933419</v>
      </c>
      <c r="N630" s="5">
        <v>8555.1229659096207</v>
      </c>
      <c r="O630" s="5">
        <v>10746.295275180995</v>
      </c>
      <c r="P630" s="5">
        <v>27820.721938889761</v>
      </c>
      <c r="Q630" s="5">
        <v>17153.530968450712</v>
      </c>
      <c r="R630" s="5">
        <v>7394.6358885760465</v>
      </c>
    </row>
    <row r="631" spans="9:18">
      <c r="I631" s="4">
        <v>616</v>
      </c>
      <c r="J631" s="5">
        <v>15873.12561080002</v>
      </c>
      <c r="K631" s="5">
        <v>29672.680843304515</v>
      </c>
      <c r="L631" s="5">
        <v>15359.132481533357</v>
      </c>
      <c r="M631" s="5">
        <v>19097.39635881727</v>
      </c>
      <c r="N631" s="5">
        <v>24853.247795632611</v>
      </c>
      <c r="O631" s="5">
        <v>26565.882515615398</v>
      </c>
      <c r="P631" s="5">
        <v>54292.749740228588</v>
      </c>
      <c r="Q631" s="5">
        <v>16591.881190929333</v>
      </c>
      <c r="R631" s="5">
        <v>18230.645544621442</v>
      </c>
    </row>
    <row r="632" spans="9:18">
      <c r="I632" s="4">
        <v>617</v>
      </c>
      <c r="J632" s="5">
        <v>22812.564910649318</v>
      </c>
      <c r="K632" s="5">
        <v>56656.842992470461</v>
      </c>
      <c r="L632" s="5">
        <v>19359.475411188432</v>
      </c>
      <c r="M632" s="5">
        <v>42282.977640783138</v>
      </c>
      <c r="N632" s="5">
        <v>22868.569282757788</v>
      </c>
      <c r="O632" s="5">
        <v>10369.402667058452</v>
      </c>
      <c r="P632" s="5">
        <v>38771.994792132391</v>
      </c>
      <c r="Q632" s="5">
        <v>22145.301831504508</v>
      </c>
      <c r="R632" s="5">
        <v>50287.76786557267</v>
      </c>
    </row>
    <row r="633" spans="9:18">
      <c r="I633" s="4">
        <v>618</v>
      </c>
      <c r="J633" s="5">
        <v>11036.461796239426</v>
      </c>
      <c r="K633" s="5">
        <v>56656.842992470461</v>
      </c>
      <c r="L633" s="5">
        <v>16071.478531535273</v>
      </c>
      <c r="M633" s="5">
        <v>13616.35938654862</v>
      </c>
      <c r="N633" s="5">
        <v>21909.120225822895</v>
      </c>
      <c r="O633" s="5">
        <v>11282.178219986479</v>
      </c>
      <c r="P633" s="5">
        <v>9047.5556949992188</v>
      </c>
      <c r="Q633" s="5">
        <v>8880.8074399558282</v>
      </c>
      <c r="R633" s="5">
        <v>302760.11878714536</v>
      </c>
    </row>
    <row r="634" spans="9:18">
      <c r="I634" s="4">
        <v>619</v>
      </c>
      <c r="J634" s="5">
        <v>17005.744061105343</v>
      </c>
      <c r="K634" s="5">
        <v>8124.7965732661823</v>
      </c>
      <c r="L634" s="5">
        <v>16017.890956041876</v>
      </c>
      <c r="M634" s="5">
        <v>18879.640760542785</v>
      </c>
      <c r="N634" s="5">
        <v>45581.602064432409</v>
      </c>
      <c r="O634" s="5">
        <v>26268.613803794757</v>
      </c>
      <c r="P634" s="5">
        <v>9965.8330787532959</v>
      </c>
      <c r="Q634" s="5">
        <v>12451.066014448154</v>
      </c>
      <c r="R634" s="5">
        <v>76851.431017396084</v>
      </c>
    </row>
    <row r="635" spans="9:18">
      <c r="I635" s="4">
        <v>620</v>
      </c>
      <c r="J635" s="5">
        <v>28169.050633834027</v>
      </c>
      <c r="K635" s="5">
        <v>15391.837334808681</v>
      </c>
      <c r="L635" s="5">
        <v>16071.260291253868</v>
      </c>
      <c r="M635" s="5">
        <v>41698.977215629871</v>
      </c>
      <c r="N635" s="5">
        <v>21931.347680292267</v>
      </c>
      <c r="O635" s="5">
        <v>25604.597681740845</v>
      </c>
      <c r="P635" s="5">
        <v>44646.134934589521</v>
      </c>
      <c r="Q635" s="5">
        <v>59964.86015574776</v>
      </c>
      <c r="R635" s="5">
        <v>2180.6148629084787</v>
      </c>
    </row>
    <row r="636" spans="9:18">
      <c r="I636" s="4">
        <v>621</v>
      </c>
      <c r="J636" s="5">
        <v>14749.343145806102</v>
      </c>
      <c r="K636" s="5">
        <v>53937.689698015136</v>
      </c>
      <c r="L636" s="5">
        <v>14811.370758813007</v>
      </c>
      <c r="M636" s="5">
        <v>19262.243095117232</v>
      </c>
      <c r="N636" s="5">
        <v>41563.89847100406</v>
      </c>
      <c r="O636" s="5">
        <v>16505.600261180331</v>
      </c>
      <c r="P636" s="5">
        <v>12992.105410393709</v>
      </c>
      <c r="Q636" s="5">
        <v>48756.323642664109</v>
      </c>
      <c r="R636" s="5">
        <v>17304.847214362417</v>
      </c>
    </row>
    <row r="637" spans="9:18">
      <c r="I637" s="4">
        <v>622</v>
      </c>
      <c r="J637" s="5">
        <v>16145.071869702888</v>
      </c>
      <c r="K637" s="5">
        <v>43843.85059185313</v>
      </c>
      <c r="L637" s="5">
        <v>16017.890956041876</v>
      </c>
      <c r="M637" s="5">
        <v>25580.243606220469</v>
      </c>
      <c r="N637" s="5">
        <v>17811.114014514766</v>
      </c>
      <c r="O637" s="5">
        <v>16505.600261180331</v>
      </c>
      <c r="P637" s="5">
        <v>9826.8369575407578</v>
      </c>
      <c r="Q637" s="5">
        <v>44911.749632594299</v>
      </c>
      <c r="R637" s="5">
        <v>12130.167062525341</v>
      </c>
    </row>
    <row r="638" spans="9:18">
      <c r="I638" s="4">
        <v>623</v>
      </c>
      <c r="J638" s="5">
        <v>15417.870921574262</v>
      </c>
      <c r="K638" s="5">
        <v>19467.955014411935</v>
      </c>
      <c r="L638" s="5">
        <v>17683.765335572589</v>
      </c>
      <c r="M638" s="5">
        <v>14217.48832834715</v>
      </c>
      <c r="N638" s="5">
        <v>35826.921212852278</v>
      </c>
      <c r="O638" s="5">
        <v>8801.3667015774663</v>
      </c>
      <c r="P638" s="5">
        <v>54923.423457863879</v>
      </c>
      <c r="Q638" s="5">
        <v>37073.980790337926</v>
      </c>
      <c r="R638" s="5">
        <v>50287.76786557267</v>
      </c>
    </row>
    <row r="639" spans="9:18">
      <c r="I639" s="4">
        <v>624</v>
      </c>
      <c r="J639" s="5">
        <v>23517.429992060665</v>
      </c>
      <c r="K639" s="5">
        <v>20887.307279900142</v>
      </c>
      <c r="L639" s="5">
        <v>17716.90539191998</v>
      </c>
      <c r="M639" s="5">
        <v>16842.379179328669</v>
      </c>
      <c r="N639" s="5">
        <v>37309.151967087455</v>
      </c>
      <c r="O639" s="5">
        <v>18637.945795127704</v>
      </c>
      <c r="P639" s="5">
        <v>10966.822219855034</v>
      </c>
      <c r="Q639" s="5">
        <v>64585.328088516922</v>
      </c>
      <c r="R639" s="5">
        <v>114016.93673542379</v>
      </c>
    </row>
    <row r="640" spans="9:18">
      <c r="I640" s="4">
        <v>625</v>
      </c>
      <c r="J640" s="5">
        <v>21150.169973104224</v>
      </c>
      <c r="K640" s="5">
        <v>18218.584572172625</v>
      </c>
      <c r="L640" s="5">
        <v>34748.877779456467</v>
      </c>
      <c r="M640" s="5">
        <v>13414.385151739983</v>
      </c>
      <c r="N640" s="5">
        <v>15130.853682762778</v>
      </c>
      <c r="O640" s="5">
        <v>27503.656957929088</v>
      </c>
      <c r="P640" s="5">
        <v>74840.036182179319</v>
      </c>
      <c r="Q640" s="5">
        <v>68168.482468129529</v>
      </c>
      <c r="R640" s="5">
        <v>18230.645544621442</v>
      </c>
    </row>
    <row r="641" spans="9:18">
      <c r="I641" s="4">
        <v>626</v>
      </c>
      <c r="J641" s="5">
        <v>15417.870921574262</v>
      </c>
      <c r="K641" s="5">
        <v>17003.901855709089</v>
      </c>
      <c r="L641" s="5">
        <v>15764.107424863063</v>
      </c>
      <c r="M641" s="5">
        <v>21712.71007234112</v>
      </c>
      <c r="N641" s="5">
        <v>21933.097106966918</v>
      </c>
      <c r="O641" s="5">
        <v>9869.5889207969612</v>
      </c>
      <c r="P641" s="5">
        <v>10532.667493814919</v>
      </c>
      <c r="Q641" s="5">
        <v>59134.059519022907</v>
      </c>
      <c r="R641" s="5">
        <v>20236.767651156802</v>
      </c>
    </row>
    <row r="642" spans="9:18">
      <c r="I642" s="4">
        <v>627</v>
      </c>
      <c r="J642" s="5">
        <v>14710.037865351254</v>
      </c>
      <c r="K642" s="5">
        <v>14136.873097602549</v>
      </c>
      <c r="L642" s="5">
        <v>14175.160754078657</v>
      </c>
      <c r="M642" s="5">
        <v>41403.687663920646</v>
      </c>
      <c r="N642" s="5">
        <v>14921.795973817481</v>
      </c>
      <c r="O642" s="5">
        <v>20827.029306810669</v>
      </c>
      <c r="P642" s="5">
        <v>9633.1652908310007</v>
      </c>
      <c r="Q642" s="5">
        <v>70295.978314632754</v>
      </c>
      <c r="R642" s="5">
        <v>8046.7106309763258</v>
      </c>
    </row>
    <row r="643" spans="9:18">
      <c r="I643" s="4">
        <v>628</v>
      </c>
      <c r="J643" s="5">
        <v>7855.2948890116513</v>
      </c>
      <c r="K643" s="5">
        <v>12026.500118162745</v>
      </c>
      <c r="L643" s="5">
        <v>14364.472927446199</v>
      </c>
      <c r="M643" s="5">
        <v>18691.941789825862</v>
      </c>
      <c r="N643" s="5">
        <v>20558.672182394013</v>
      </c>
      <c r="O643" s="5">
        <v>24369.28567093279</v>
      </c>
      <c r="P643" s="5">
        <v>35569.894390728325</v>
      </c>
      <c r="Q643" s="5">
        <v>4631.7430487757983</v>
      </c>
      <c r="R643" s="5">
        <v>76851.431017396084</v>
      </c>
    </row>
    <row r="644" spans="9:18">
      <c r="I644" s="4">
        <v>629</v>
      </c>
      <c r="J644" s="5">
        <v>31053.540961463306</v>
      </c>
      <c r="K644" s="5">
        <v>13331.01856102917</v>
      </c>
      <c r="L644" s="5">
        <v>34748.877779456467</v>
      </c>
      <c r="M644" s="5">
        <v>16881.579299055</v>
      </c>
      <c r="N644" s="5">
        <v>22735.120948269971</v>
      </c>
      <c r="O644" s="5">
        <v>13117.417685535194</v>
      </c>
      <c r="P644" s="5">
        <v>38771.994792132391</v>
      </c>
      <c r="Q644" s="5">
        <v>42044.890065817184</v>
      </c>
      <c r="R644" s="5">
        <v>6360.7905155660001</v>
      </c>
    </row>
    <row r="645" spans="9:18">
      <c r="I645" s="4">
        <v>630</v>
      </c>
      <c r="J645" s="5">
        <v>14017.326487344162</v>
      </c>
      <c r="K645" s="5">
        <v>13331.01856102917</v>
      </c>
      <c r="L645" s="5">
        <v>14796.875457021113</v>
      </c>
      <c r="M645" s="5">
        <v>22961.931350882205</v>
      </c>
      <c r="N645" s="5">
        <v>27841.916587595573</v>
      </c>
      <c r="O645" s="5">
        <v>24369.28567093279</v>
      </c>
      <c r="P645" s="5">
        <v>27820.721938889761</v>
      </c>
      <c r="Q645" s="5">
        <v>21421.044775857536</v>
      </c>
      <c r="R645" s="5">
        <v>33290.909836056817</v>
      </c>
    </row>
    <row r="646" spans="9:18">
      <c r="I646" s="4">
        <v>631</v>
      </c>
      <c r="J646" s="5">
        <v>73074.062486361407</v>
      </c>
      <c r="K646" s="5">
        <v>17495.743706488822</v>
      </c>
      <c r="L646" s="5">
        <v>15471.738323660695</v>
      </c>
      <c r="M646" s="5">
        <v>19097.39635881727</v>
      </c>
      <c r="N646" s="5">
        <v>37309.151967087455</v>
      </c>
      <c r="O646" s="5">
        <v>30876.675913171162</v>
      </c>
      <c r="P646" s="5">
        <v>21039.927746191301</v>
      </c>
      <c r="Q646" s="5">
        <v>31019.493883163672</v>
      </c>
      <c r="R646" s="5">
        <v>38898.713625068609</v>
      </c>
    </row>
    <row r="647" spans="9:18">
      <c r="I647" s="4">
        <v>632</v>
      </c>
      <c r="J647" s="5">
        <v>18650.249281571734</v>
      </c>
      <c r="K647" s="5">
        <v>9769.3659785458403</v>
      </c>
      <c r="L647" s="5">
        <v>15359.132481533357</v>
      </c>
      <c r="M647" s="5">
        <v>12987.517521908694</v>
      </c>
      <c r="N647" s="5">
        <v>15130.853682762778</v>
      </c>
      <c r="O647" s="5">
        <v>10746.295275180995</v>
      </c>
      <c r="P647" s="5">
        <v>63015.124693769802</v>
      </c>
      <c r="Q647" s="5">
        <v>48866.209623168346</v>
      </c>
      <c r="R647" s="5">
        <v>8130.5639219412278</v>
      </c>
    </row>
    <row r="648" spans="9:18">
      <c r="I648" s="4">
        <v>633</v>
      </c>
      <c r="J648" s="5">
        <v>22188.291830993156</v>
      </c>
      <c r="K648" s="5">
        <v>14351.415257675473</v>
      </c>
      <c r="L648" s="5">
        <v>20698.842353987733</v>
      </c>
      <c r="M648" s="5">
        <v>24981.974172352908</v>
      </c>
      <c r="N648" s="5">
        <v>59876.136849941562</v>
      </c>
      <c r="O648" s="5">
        <v>67717.30633712461</v>
      </c>
      <c r="P648" s="5">
        <v>27820.721938889761</v>
      </c>
      <c r="Q648" s="5">
        <v>8880.8074399558282</v>
      </c>
      <c r="R648" s="5">
        <v>181970.23111012415</v>
      </c>
    </row>
    <row r="649" spans="9:18">
      <c r="I649" s="4">
        <v>634</v>
      </c>
      <c r="J649" s="5">
        <v>12035.382213755307</v>
      </c>
      <c r="K649" s="5">
        <v>35705.595198125673</v>
      </c>
      <c r="L649" s="5">
        <v>19359.475411188432</v>
      </c>
      <c r="M649" s="5">
        <v>21712.71007234112</v>
      </c>
      <c r="N649" s="5">
        <v>25424.029865101274</v>
      </c>
      <c r="O649" s="5">
        <v>26268.613803794757</v>
      </c>
      <c r="P649" s="5">
        <v>25258.981945036445</v>
      </c>
      <c r="Q649" s="5">
        <v>7457.1844090365566</v>
      </c>
      <c r="R649" s="5">
        <v>17687.533637716911</v>
      </c>
    </row>
    <row r="650" spans="9:18">
      <c r="I650" s="4">
        <v>635</v>
      </c>
      <c r="J650" s="5">
        <v>12035.382213755307</v>
      </c>
      <c r="K650" s="5">
        <v>43843.85059185313</v>
      </c>
      <c r="L650" s="5">
        <v>16577.562442697115</v>
      </c>
      <c r="M650" s="5">
        <v>18879.640760542785</v>
      </c>
      <c r="N650" s="5">
        <v>20583.564383988036</v>
      </c>
      <c r="O650" s="5">
        <v>40304.23053285561</v>
      </c>
      <c r="P650" s="5">
        <v>3017.2887813579896</v>
      </c>
      <c r="Q650" s="5">
        <v>56069.347629295014</v>
      </c>
      <c r="R650" s="5">
        <v>33290.909836056817</v>
      </c>
    </row>
    <row r="651" spans="9:18">
      <c r="I651" s="4">
        <v>636</v>
      </c>
      <c r="J651" s="5">
        <v>15064.079707240266</v>
      </c>
      <c r="K651" s="5">
        <v>14579.232378315752</v>
      </c>
      <c r="L651" s="5">
        <v>15746.942257105531</v>
      </c>
      <c r="M651" s="5">
        <v>19042.78605337895</v>
      </c>
      <c r="N651" s="5">
        <v>23746.795665493762</v>
      </c>
      <c r="O651" s="5">
        <v>62082.6862081785</v>
      </c>
      <c r="P651" s="5">
        <v>45161.732159568586</v>
      </c>
      <c r="Q651" s="5">
        <v>8502.450657922871</v>
      </c>
      <c r="R651" s="5">
        <v>18349.337771428582</v>
      </c>
    </row>
    <row r="652" spans="9:18">
      <c r="I652" s="4">
        <v>637</v>
      </c>
      <c r="J652" s="5">
        <v>11936.262457073821</v>
      </c>
      <c r="K652" s="5">
        <v>16199.334613834633</v>
      </c>
      <c r="L652" s="5">
        <v>22319.409576580376</v>
      </c>
      <c r="M652" s="5">
        <v>22326.253555179093</v>
      </c>
      <c r="N652" s="5">
        <v>11684.605182472778</v>
      </c>
      <c r="O652" s="5">
        <v>13117.417685535194</v>
      </c>
      <c r="P652" s="5">
        <v>63015.124693769802</v>
      </c>
      <c r="Q652" s="5">
        <v>31019.493883163672</v>
      </c>
      <c r="R652" s="5">
        <v>39788.288251916689</v>
      </c>
    </row>
    <row r="653" spans="9:18">
      <c r="I653" s="4">
        <v>638</v>
      </c>
      <c r="J653" s="5">
        <v>14749.343145806102</v>
      </c>
      <c r="K653" s="5">
        <v>16605.655749562578</v>
      </c>
      <c r="L653" s="5">
        <v>34748.877779456467</v>
      </c>
      <c r="M653" s="5">
        <v>11860.862376247747</v>
      </c>
      <c r="N653" s="5">
        <v>27833.630848857778</v>
      </c>
      <c r="O653" s="5">
        <v>30876.675913171162</v>
      </c>
      <c r="P653" s="5">
        <v>44646.134934589521</v>
      </c>
      <c r="Q653" s="5">
        <v>71213.172792303565</v>
      </c>
      <c r="R653" s="5">
        <v>7784.2246210242874</v>
      </c>
    </row>
    <row r="654" spans="9:18">
      <c r="I654" s="4">
        <v>639</v>
      </c>
      <c r="J654" s="5">
        <v>12035.382213755307</v>
      </c>
      <c r="K654" s="5">
        <v>56656.842992470461</v>
      </c>
      <c r="L654" s="5">
        <v>14691.846656953887</v>
      </c>
      <c r="M654" s="5">
        <v>18691.941789825862</v>
      </c>
      <c r="N654" s="5">
        <v>32184.535272543482</v>
      </c>
      <c r="O654" s="5">
        <v>27068.054847826614</v>
      </c>
      <c r="P654" s="5">
        <v>14327.191387816954</v>
      </c>
      <c r="Q654" s="5">
        <v>17153.530968450712</v>
      </c>
      <c r="R654" s="5">
        <v>18720.450716365784</v>
      </c>
    </row>
    <row r="655" spans="9:18">
      <c r="I655" s="4">
        <v>640</v>
      </c>
      <c r="J655" s="5">
        <v>13595.404057849493</v>
      </c>
      <c r="K655" s="5">
        <v>14351.415257675473</v>
      </c>
      <c r="L655" s="5">
        <v>14146.191653372813</v>
      </c>
      <c r="M655" s="5">
        <v>25580.243606220469</v>
      </c>
      <c r="N655" s="5">
        <v>9563.1256545330361</v>
      </c>
      <c r="O655" s="5">
        <v>27503.656957929088</v>
      </c>
      <c r="P655" s="5">
        <v>8662.4232458952465</v>
      </c>
      <c r="Q655" s="5">
        <v>8502.450657922871</v>
      </c>
      <c r="R655" s="5">
        <v>2071.5141323269809</v>
      </c>
    </row>
    <row r="656" spans="9:18">
      <c r="I656" s="4">
        <v>641</v>
      </c>
      <c r="J656" s="5">
        <v>43272.831879770602</v>
      </c>
      <c r="K656" s="5">
        <v>15768.312122029349</v>
      </c>
      <c r="L656" s="5">
        <v>15922.087958863045</v>
      </c>
      <c r="M656" s="5">
        <v>10451.914120098167</v>
      </c>
      <c r="N656" s="5">
        <v>39672.376281023731</v>
      </c>
      <c r="O656" s="5">
        <v>35286.662852302201</v>
      </c>
      <c r="P656" s="5">
        <v>41657.50350099193</v>
      </c>
      <c r="Q656" s="5">
        <v>42044.890065817184</v>
      </c>
      <c r="R656" s="5">
        <v>7784.2246210242874</v>
      </c>
    </row>
    <row r="657" spans="9:18">
      <c r="I657" s="4">
        <v>642</v>
      </c>
      <c r="J657" s="5">
        <v>9368.8270679249108</v>
      </c>
      <c r="K657" s="5">
        <v>12777.667398488715</v>
      </c>
      <c r="L657" s="5">
        <v>17482.478480142941</v>
      </c>
      <c r="M657" s="5">
        <v>11680.747299075838</v>
      </c>
      <c r="N657" s="5">
        <v>10882.757905166785</v>
      </c>
      <c r="O657" s="5">
        <v>51330.340277512776</v>
      </c>
      <c r="P657" s="5">
        <v>8877.9712092977989</v>
      </c>
      <c r="Q657" s="5">
        <v>21421.044775857536</v>
      </c>
      <c r="R657" s="5">
        <v>14079.827908007112</v>
      </c>
    </row>
    <row r="658" spans="9:18">
      <c r="I658" s="4">
        <v>643</v>
      </c>
      <c r="J658" s="5">
        <v>15081.728672246438</v>
      </c>
      <c r="K658" s="5">
        <v>15487.124352801369</v>
      </c>
      <c r="L658" s="5">
        <v>14344.859750762502</v>
      </c>
      <c r="M658" s="5">
        <v>13022.686998540772</v>
      </c>
      <c r="N658" s="5">
        <v>21617.945168312468</v>
      </c>
      <c r="O658" s="5">
        <v>6199.3195463515376</v>
      </c>
      <c r="P658" s="5">
        <v>55119.366528283317</v>
      </c>
      <c r="Q658" s="5">
        <v>8474.2603471579441</v>
      </c>
      <c r="R658" s="5">
        <v>72640.340924600489</v>
      </c>
    </row>
    <row r="659" spans="9:18">
      <c r="I659" s="4">
        <v>644</v>
      </c>
      <c r="J659" s="5">
        <v>12701.339251949787</v>
      </c>
      <c r="K659" s="5">
        <v>34058.671324159091</v>
      </c>
      <c r="L659" s="5">
        <v>15746.942257105531</v>
      </c>
      <c r="M659" s="5">
        <v>17349.963215818931</v>
      </c>
      <c r="N659" s="5">
        <v>15130.853682762778</v>
      </c>
      <c r="O659" s="5">
        <v>6199.3195463515376</v>
      </c>
      <c r="P659" s="5">
        <v>14316.965520592317</v>
      </c>
      <c r="Q659" s="5">
        <v>73941.636731325911</v>
      </c>
      <c r="R659" s="5">
        <v>40368.364083205248</v>
      </c>
    </row>
    <row r="660" spans="9:18">
      <c r="I660" s="4">
        <v>645</v>
      </c>
      <c r="J660" s="5">
        <v>16305.770155972396</v>
      </c>
      <c r="K660" s="5">
        <v>16605.655749562578</v>
      </c>
      <c r="L660" s="5">
        <v>16293.265064857471</v>
      </c>
      <c r="M660" s="5">
        <v>21913.431401527439</v>
      </c>
      <c r="N660" s="5">
        <v>25424.029865101274</v>
      </c>
      <c r="O660" s="5">
        <v>25802.481365323994</v>
      </c>
      <c r="P660" s="5">
        <v>33500.490132682797</v>
      </c>
      <c r="Q660" s="5">
        <v>16803.875627203233</v>
      </c>
      <c r="R660" s="5">
        <v>39727.513802035661</v>
      </c>
    </row>
    <row r="661" spans="9:18">
      <c r="I661" s="4">
        <v>646</v>
      </c>
      <c r="J661" s="5">
        <v>14710.037865351254</v>
      </c>
      <c r="K661" s="5">
        <v>21527.93129974293</v>
      </c>
      <c r="L661" s="5">
        <v>14316.474075738101</v>
      </c>
      <c r="M661" s="5">
        <v>13011.820191946215</v>
      </c>
      <c r="N661" s="5">
        <v>20558.672182394013</v>
      </c>
      <c r="O661" s="5">
        <v>66253.993323243907</v>
      </c>
      <c r="P661" s="5">
        <v>14376.883105731285</v>
      </c>
      <c r="Q661" s="5">
        <v>47365.380972950254</v>
      </c>
      <c r="R661" s="5">
        <v>41418.225609677866</v>
      </c>
    </row>
    <row r="662" spans="9:18">
      <c r="I662" s="4">
        <v>647</v>
      </c>
      <c r="J662" s="5">
        <v>19121.054099180623</v>
      </c>
      <c r="K662" s="5">
        <v>21218.439146892688</v>
      </c>
      <c r="L662" s="5">
        <v>15161.007794371622</v>
      </c>
      <c r="M662" s="5">
        <v>20550.782384061673</v>
      </c>
      <c r="N662" s="5">
        <v>18410.937863650517</v>
      </c>
      <c r="O662" s="5">
        <v>13519.384207850644</v>
      </c>
      <c r="P662" s="5">
        <v>3831.1492650071077</v>
      </c>
      <c r="Q662" s="5">
        <v>20987.925664394581</v>
      </c>
      <c r="R662" s="5">
        <v>14051.647494499957</v>
      </c>
    </row>
    <row r="663" spans="9:18">
      <c r="I663" s="4">
        <v>648</v>
      </c>
      <c r="J663" s="5">
        <v>31053.540961463306</v>
      </c>
      <c r="K663" s="5">
        <v>14579.232378315752</v>
      </c>
      <c r="L663" s="5">
        <v>17693.864646288712</v>
      </c>
      <c r="M663" s="5">
        <v>22961.931350882205</v>
      </c>
      <c r="N663" s="5">
        <v>12297.015342318469</v>
      </c>
      <c r="O663" s="5">
        <v>13613.378495715853</v>
      </c>
      <c r="P663" s="5">
        <v>38024.168395914428</v>
      </c>
      <c r="Q663" s="5">
        <v>9454.5906023793759</v>
      </c>
      <c r="R663" s="5">
        <v>3433.6677391851467</v>
      </c>
    </row>
    <row r="664" spans="9:18">
      <c r="I664" s="4">
        <v>649</v>
      </c>
      <c r="J664" s="5">
        <v>22812.564910649318</v>
      </c>
      <c r="K664" s="5">
        <v>14497.035717129334</v>
      </c>
      <c r="L664" s="5">
        <v>17128.574519497746</v>
      </c>
      <c r="M664" s="5">
        <v>17349.963215818931</v>
      </c>
      <c r="N664" s="5">
        <v>26152.705108198839</v>
      </c>
      <c r="O664" s="5">
        <v>19430.912633256889</v>
      </c>
      <c r="P664" s="5">
        <v>34814.458119125498</v>
      </c>
      <c r="Q664" s="5">
        <v>59134.059519022907</v>
      </c>
      <c r="R664" s="5">
        <v>72561.496699005787</v>
      </c>
    </row>
    <row r="665" spans="9:18">
      <c r="I665" s="4">
        <v>650</v>
      </c>
      <c r="J665" s="5">
        <v>13918.242013140338</v>
      </c>
      <c r="K665" s="5">
        <v>12026.500118162745</v>
      </c>
      <c r="L665" s="5">
        <v>25007.552172398639</v>
      </c>
      <c r="M665" s="5">
        <v>41403.687663920646</v>
      </c>
      <c r="N665" s="5">
        <v>25549.748582175915</v>
      </c>
      <c r="O665" s="5">
        <v>11282.178219986479</v>
      </c>
      <c r="P665" s="5">
        <v>28537.545734403488</v>
      </c>
      <c r="Q665" s="5">
        <v>56069.347629295014</v>
      </c>
      <c r="R665" s="5">
        <v>7118.1729476780347</v>
      </c>
    </row>
    <row r="666" spans="9:18">
      <c r="I666" s="4">
        <v>651</v>
      </c>
      <c r="J666" s="5">
        <v>27392.038553726634</v>
      </c>
      <c r="K666" s="5">
        <v>14017.262946034314</v>
      </c>
      <c r="L666" s="5">
        <v>14610.165745300763</v>
      </c>
      <c r="M666" s="5">
        <v>15346.383801976139</v>
      </c>
      <c r="N666" s="5">
        <v>25424.029865101274</v>
      </c>
      <c r="O666" s="5">
        <v>24422.445067017139</v>
      </c>
      <c r="P666" s="5">
        <v>9811.9720599964548</v>
      </c>
      <c r="Q666" s="5">
        <v>35525.432376048877</v>
      </c>
      <c r="R666" s="5">
        <v>29295.938844292672</v>
      </c>
    </row>
    <row r="667" spans="9:18">
      <c r="I667" s="4">
        <v>652</v>
      </c>
      <c r="J667" s="5">
        <v>14538.277247583976</v>
      </c>
      <c r="K667" s="5">
        <v>15768.312122029349</v>
      </c>
      <c r="L667" s="5">
        <v>16451.333928028147</v>
      </c>
      <c r="M667" s="5">
        <v>29058.117767351498</v>
      </c>
      <c r="N667" s="5">
        <v>37309.151967087455</v>
      </c>
      <c r="O667" s="5">
        <v>20489.622805425737</v>
      </c>
      <c r="P667" s="5">
        <v>12639.596794453437</v>
      </c>
      <c r="Q667" s="5">
        <v>28567.61306643406</v>
      </c>
      <c r="R667" s="5">
        <v>18349.337771428582</v>
      </c>
    </row>
    <row r="668" spans="9:18">
      <c r="I668" s="4">
        <v>653</v>
      </c>
      <c r="J668" s="5">
        <v>28590.354879265724</v>
      </c>
      <c r="K668" s="5">
        <v>9739.7813029644258</v>
      </c>
      <c r="L668" s="5">
        <v>15664.99858445921</v>
      </c>
      <c r="M668" s="5">
        <v>16881.579299055</v>
      </c>
      <c r="N668" s="5">
        <v>25424.029865101274</v>
      </c>
      <c r="O668" s="5">
        <v>30876.675913171162</v>
      </c>
      <c r="P668" s="5">
        <v>14773.185437294762</v>
      </c>
      <c r="Q668" s="5">
        <v>12253.299944531094</v>
      </c>
      <c r="R668" s="5">
        <v>35232.418639121184</v>
      </c>
    </row>
    <row r="669" spans="9:18">
      <c r="I669" s="4">
        <v>654</v>
      </c>
      <c r="J669" s="5">
        <v>14594.990625703947</v>
      </c>
      <c r="K669" s="5">
        <v>21958.925144875713</v>
      </c>
      <c r="L669" s="5">
        <v>13622.976145621742</v>
      </c>
      <c r="M669" s="5">
        <v>22961.931350882205</v>
      </c>
      <c r="N669" s="5">
        <v>8104.6265149430556</v>
      </c>
      <c r="O669" s="5">
        <v>33720.545907536376</v>
      </c>
      <c r="P669" s="5">
        <v>5735.6883097179207</v>
      </c>
      <c r="Q669" s="5">
        <v>9796.0979856104404</v>
      </c>
      <c r="R669" s="5">
        <v>16039.216896723072</v>
      </c>
    </row>
    <row r="670" spans="9:18">
      <c r="I670" s="4">
        <v>655</v>
      </c>
      <c r="J670" s="5">
        <v>19121.054099180623</v>
      </c>
      <c r="K670" s="5">
        <v>15347.101709242541</v>
      </c>
      <c r="L670" s="5">
        <v>15764.107424863063</v>
      </c>
      <c r="M670" s="5">
        <v>15346.383801976139</v>
      </c>
      <c r="N670" s="5">
        <v>14240.123545764454</v>
      </c>
      <c r="O670" s="5">
        <v>16524.769946939996</v>
      </c>
      <c r="P670" s="5">
        <v>39054.462981000084</v>
      </c>
      <c r="Q670" s="5">
        <v>48866.209623168346</v>
      </c>
      <c r="R670" s="5">
        <v>65420.116221752483</v>
      </c>
    </row>
    <row r="671" spans="9:18">
      <c r="I671" s="4">
        <v>656</v>
      </c>
      <c r="J671" s="5">
        <v>73074.062486361407</v>
      </c>
      <c r="K671" s="5">
        <v>16674.541027260992</v>
      </c>
      <c r="L671" s="5">
        <v>27144.958215276103</v>
      </c>
      <c r="M671" s="5">
        <v>15346.383801976139</v>
      </c>
      <c r="N671" s="5">
        <v>14335.478134989447</v>
      </c>
      <c r="O671" s="5">
        <v>36759.655306288936</v>
      </c>
      <c r="P671" s="5">
        <v>13793.886507202402</v>
      </c>
      <c r="Q671" s="5">
        <v>59134.059519022907</v>
      </c>
      <c r="R671" s="5">
        <v>13258.538726001538</v>
      </c>
    </row>
    <row r="672" spans="9:18">
      <c r="I672" s="4">
        <v>657</v>
      </c>
      <c r="J672" s="5">
        <v>22812.564910649318</v>
      </c>
      <c r="K672" s="5">
        <v>14136.873097602549</v>
      </c>
      <c r="L672" s="5">
        <v>14811.370758813007</v>
      </c>
      <c r="M672" s="5">
        <v>11680.747299075838</v>
      </c>
      <c r="N672" s="5">
        <v>35826.921212852278</v>
      </c>
      <c r="O672" s="5">
        <v>24258.192244316608</v>
      </c>
      <c r="P672" s="5">
        <v>17643.087208586294</v>
      </c>
      <c r="Q672" s="5">
        <v>64585.328088516922</v>
      </c>
      <c r="R672" s="5">
        <v>7879.038918914337</v>
      </c>
    </row>
    <row r="673" spans="9:18">
      <c r="I673" s="4">
        <v>658</v>
      </c>
      <c r="J673" s="5">
        <v>13841.207384998772</v>
      </c>
      <c r="K673" s="5">
        <v>31910.762633549082</v>
      </c>
      <c r="L673" s="5">
        <v>17128.574519497746</v>
      </c>
      <c r="M673" s="5">
        <v>18879.640760542785</v>
      </c>
      <c r="N673" s="5">
        <v>11635.644856128632</v>
      </c>
      <c r="O673" s="5">
        <v>27062.73412298776</v>
      </c>
      <c r="P673" s="5">
        <v>17974.179326980211</v>
      </c>
      <c r="Q673" s="5">
        <v>8832.660767995616</v>
      </c>
      <c r="R673" s="5">
        <v>12194.45251033065</v>
      </c>
    </row>
    <row r="674" spans="9:18">
      <c r="I674" s="4">
        <v>659</v>
      </c>
      <c r="J674" s="5">
        <v>28214.771032351968</v>
      </c>
      <c r="K674" s="5">
        <v>17495.743706488822</v>
      </c>
      <c r="L674" s="5">
        <v>17716.90539191998</v>
      </c>
      <c r="M674" s="5">
        <v>19795.661011456152</v>
      </c>
      <c r="N674" s="5">
        <v>4770.4216775830728</v>
      </c>
      <c r="O674" s="5">
        <v>12110.196126281628</v>
      </c>
      <c r="P674" s="5">
        <v>33500.490132682797</v>
      </c>
      <c r="Q674" s="5">
        <v>22483.395143121877</v>
      </c>
      <c r="R674" s="5">
        <v>261393.32711858812</v>
      </c>
    </row>
    <row r="675" spans="9:18">
      <c r="I675" s="4">
        <v>660</v>
      </c>
      <c r="J675" s="5">
        <v>17005.744061105343</v>
      </c>
      <c r="K675" s="5">
        <v>14587.813833513306</v>
      </c>
      <c r="L675" s="5">
        <v>13037.115556745504</v>
      </c>
      <c r="M675" s="5">
        <v>13642.678686731051</v>
      </c>
      <c r="N675" s="5">
        <v>11251.634703629026</v>
      </c>
      <c r="O675" s="5">
        <v>25644.588869829797</v>
      </c>
      <c r="P675" s="5">
        <v>9482.0186426688688</v>
      </c>
      <c r="Q675" s="5">
        <v>15623.622662102793</v>
      </c>
      <c r="R675" s="5">
        <v>59414.886464347241</v>
      </c>
    </row>
    <row r="676" spans="9:18">
      <c r="I676" s="4">
        <v>661</v>
      </c>
      <c r="J676" s="5">
        <v>27392.038553726634</v>
      </c>
      <c r="K676" s="5">
        <v>13652.224205833634</v>
      </c>
      <c r="L676" s="5">
        <v>25389.332759288587</v>
      </c>
      <c r="M676" s="5">
        <v>17370.588707072598</v>
      </c>
      <c r="N676" s="5">
        <v>23008.246229813707</v>
      </c>
      <c r="O676" s="5">
        <v>20991.103410982985</v>
      </c>
      <c r="P676" s="5">
        <v>8877.9712092977989</v>
      </c>
      <c r="Q676" s="5">
        <v>30266.563414010914</v>
      </c>
      <c r="R676" s="5">
        <v>12194.45251033065</v>
      </c>
    </row>
    <row r="677" spans="9:18">
      <c r="I677" s="4">
        <v>662</v>
      </c>
      <c r="J677" s="5">
        <v>16145.071869702888</v>
      </c>
      <c r="K677" s="5">
        <v>13719.930466819731</v>
      </c>
      <c r="L677" s="5">
        <v>14649.721476864312</v>
      </c>
      <c r="M677" s="5">
        <v>17542.15972125496</v>
      </c>
      <c r="N677" s="5">
        <v>19125.360074567652</v>
      </c>
      <c r="O677" s="5">
        <v>40304.23053285561</v>
      </c>
      <c r="P677" s="5">
        <v>3930.0915591834291</v>
      </c>
      <c r="Q677" s="5">
        <v>27789.973552634947</v>
      </c>
      <c r="R677" s="5">
        <v>19133.693426869788</v>
      </c>
    </row>
    <row r="678" spans="9:18">
      <c r="I678" s="4">
        <v>663</v>
      </c>
      <c r="J678" s="5">
        <v>28590.354879265724</v>
      </c>
      <c r="K678" s="5">
        <v>8223.1266007477425</v>
      </c>
      <c r="L678" s="5">
        <v>18810.091753970282</v>
      </c>
      <c r="M678" s="5">
        <v>12426.949970383979</v>
      </c>
      <c r="N678" s="5">
        <v>11751.639947035985</v>
      </c>
      <c r="O678" s="5">
        <v>41653.890350944224</v>
      </c>
      <c r="P678" s="5">
        <v>17996.895987204196</v>
      </c>
      <c r="Q678" s="5">
        <v>148345.62878828164</v>
      </c>
      <c r="R678" s="5">
        <v>1535.701520095213</v>
      </c>
    </row>
    <row r="679" spans="9:18">
      <c r="I679" s="4">
        <v>664</v>
      </c>
      <c r="J679" s="5">
        <v>16733.020222212988</v>
      </c>
      <c r="K679" s="5">
        <v>15129.619337591721</v>
      </c>
      <c r="L679" s="5">
        <v>21725.131459372977</v>
      </c>
      <c r="M679" s="5">
        <v>12934.591863415189</v>
      </c>
      <c r="N679" s="5">
        <v>13511.694619545402</v>
      </c>
      <c r="O679" s="5">
        <v>13966.178986479143</v>
      </c>
      <c r="P679" s="5">
        <v>33715.790977629549</v>
      </c>
      <c r="Q679" s="5">
        <v>31618.396253255491</v>
      </c>
      <c r="R679" s="5">
        <v>3433.6677391851467</v>
      </c>
    </row>
    <row r="680" spans="9:18">
      <c r="I680" s="4">
        <v>665</v>
      </c>
      <c r="J680" s="5">
        <v>28590.354879265724</v>
      </c>
      <c r="K680" s="5">
        <v>14021.934268028277</v>
      </c>
      <c r="L680" s="5">
        <v>13037.115556745504</v>
      </c>
      <c r="M680" s="5">
        <v>31460.745851561904</v>
      </c>
      <c r="N680" s="5">
        <v>19125.360074567652</v>
      </c>
      <c r="O680" s="5">
        <v>5444.7598502623823</v>
      </c>
      <c r="P680" s="5">
        <v>18963.234565965948</v>
      </c>
      <c r="Q680" s="5">
        <v>129470.11441833655</v>
      </c>
      <c r="R680" s="5">
        <v>14079.827908007112</v>
      </c>
    </row>
    <row r="681" spans="9:18">
      <c r="I681" s="4">
        <v>666</v>
      </c>
      <c r="J681" s="5">
        <v>15554.996700302558</v>
      </c>
      <c r="K681" s="5">
        <v>14021.934268028277</v>
      </c>
      <c r="L681" s="5">
        <v>15225.811035017256</v>
      </c>
      <c r="M681" s="5">
        <v>32751.734100446065</v>
      </c>
      <c r="N681" s="5">
        <v>13511.694619545402</v>
      </c>
      <c r="O681" s="5">
        <v>16826.763259351828</v>
      </c>
      <c r="P681" s="5">
        <v>9633.1652908310007</v>
      </c>
      <c r="Q681" s="5">
        <v>20987.925664394581</v>
      </c>
      <c r="R681" s="5">
        <v>7201.7586694681067</v>
      </c>
    </row>
    <row r="682" spans="9:18">
      <c r="I682" s="4">
        <v>667</v>
      </c>
      <c r="J682" s="5">
        <v>20768.286261788198</v>
      </c>
      <c r="K682" s="5">
        <v>16952.949313901812</v>
      </c>
      <c r="L682" s="5">
        <v>15764.107424863063</v>
      </c>
      <c r="M682" s="5">
        <v>17370.588707072598</v>
      </c>
      <c r="N682" s="5">
        <v>46248.895746171031</v>
      </c>
      <c r="O682" s="5">
        <v>21930.527973988665</v>
      </c>
      <c r="P682" s="5">
        <v>31127.87225845682</v>
      </c>
      <c r="Q682" s="5">
        <v>64585.328088516922</v>
      </c>
      <c r="R682" s="5">
        <v>12130.167062525341</v>
      </c>
    </row>
    <row r="683" spans="9:18">
      <c r="I683" s="4">
        <v>668</v>
      </c>
      <c r="J683" s="5">
        <v>13663.281817546009</v>
      </c>
      <c r="K683" s="5">
        <v>95171.967522309933</v>
      </c>
      <c r="L683" s="5">
        <v>14691.846656953887</v>
      </c>
      <c r="M683" s="5">
        <v>11860.862376247747</v>
      </c>
      <c r="N683" s="5">
        <v>15786.177386596903</v>
      </c>
      <c r="O683" s="5">
        <v>19430.912633256889</v>
      </c>
      <c r="P683" s="5">
        <v>8877.9712092977989</v>
      </c>
      <c r="Q683" s="5">
        <v>6386.5227360487288</v>
      </c>
      <c r="R683" s="5">
        <v>96845.299789249824</v>
      </c>
    </row>
    <row r="684" spans="9:18">
      <c r="I684" s="4">
        <v>669</v>
      </c>
      <c r="J684" s="5">
        <v>28214.771032351968</v>
      </c>
      <c r="K684" s="5">
        <v>35705.595198125673</v>
      </c>
      <c r="L684" s="5">
        <v>19359.475411188432</v>
      </c>
      <c r="M684" s="5">
        <v>42282.977640783138</v>
      </c>
      <c r="N684" s="5">
        <v>39406.658185292261</v>
      </c>
      <c r="O684" s="5">
        <v>5909.5347260996277</v>
      </c>
      <c r="P684" s="5">
        <v>38024.168395914428</v>
      </c>
      <c r="Q684" s="5">
        <v>8832.660767995616</v>
      </c>
      <c r="R684" s="5">
        <v>8130.5639219412278</v>
      </c>
    </row>
    <row r="685" spans="9:18">
      <c r="I685" s="4">
        <v>670</v>
      </c>
      <c r="J685" s="5">
        <v>15130.594750069789</v>
      </c>
      <c r="K685" s="5">
        <v>16132.555399908759</v>
      </c>
      <c r="L685" s="5">
        <v>18602.881797624486</v>
      </c>
      <c r="M685" s="5">
        <v>23908.621352410395</v>
      </c>
      <c r="N685" s="5">
        <v>11952.903761138405</v>
      </c>
      <c r="O685" s="5">
        <v>59207.798737851255</v>
      </c>
      <c r="P685" s="5">
        <v>31127.87225845682</v>
      </c>
      <c r="Q685" s="5">
        <v>13099.063525342741</v>
      </c>
      <c r="R685" s="5">
        <v>72640.340924600489</v>
      </c>
    </row>
    <row r="686" spans="9:18">
      <c r="I686" s="4">
        <v>671</v>
      </c>
      <c r="J686" s="5">
        <v>16710.807721801892</v>
      </c>
      <c r="K686" s="5">
        <v>9739.7813029644258</v>
      </c>
      <c r="L686" s="5">
        <v>16616.161224349555</v>
      </c>
      <c r="M686" s="5">
        <v>17349.963215818931</v>
      </c>
      <c r="N686" s="5">
        <v>29468.83360104046</v>
      </c>
      <c r="O686" s="5">
        <v>13550.031670770122</v>
      </c>
      <c r="P686" s="5">
        <v>14327.191387816954</v>
      </c>
      <c r="Q686" s="5">
        <v>31902.904306425251</v>
      </c>
      <c r="R686" s="5">
        <v>86510.608303273053</v>
      </c>
    </row>
    <row r="687" spans="9:18">
      <c r="I687" s="4">
        <v>672</v>
      </c>
      <c r="J687" s="5">
        <v>28169.050633834027</v>
      </c>
      <c r="K687" s="5">
        <v>16873.752266014431</v>
      </c>
      <c r="L687" s="5">
        <v>15126.980926457318</v>
      </c>
      <c r="M687" s="5">
        <v>32751.734100446065</v>
      </c>
      <c r="N687" s="5">
        <v>4770.4216775830728</v>
      </c>
      <c r="O687" s="5">
        <v>5909.5347260996277</v>
      </c>
      <c r="P687" s="5">
        <v>27452.975716953504</v>
      </c>
      <c r="Q687" s="5">
        <v>73941.636731325911</v>
      </c>
      <c r="R687" s="5">
        <v>55106.806585409526</v>
      </c>
    </row>
    <row r="688" spans="9:18">
      <c r="I688" s="4">
        <v>673</v>
      </c>
      <c r="J688" s="5">
        <v>34933.039312618188</v>
      </c>
      <c r="K688" s="5">
        <v>17903.387243834499</v>
      </c>
      <c r="L688" s="5">
        <v>29265.217478369766</v>
      </c>
      <c r="M688" s="5">
        <v>18816.787977140237</v>
      </c>
      <c r="N688" s="5">
        <v>20718.434293991453</v>
      </c>
      <c r="O688" s="5">
        <v>30876.675913171162</v>
      </c>
      <c r="P688" s="5">
        <v>18862.487147419793</v>
      </c>
      <c r="Q688" s="5">
        <v>35525.432376048877</v>
      </c>
      <c r="R688" s="5">
        <v>93933.045103013996</v>
      </c>
    </row>
    <row r="689" spans="9:18">
      <c r="I689" s="4">
        <v>674</v>
      </c>
      <c r="J689" s="5">
        <v>22370.105711697011</v>
      </c>
      <c r="K689" s="5">
        <v>11857.447519815871</v>
      </c>
      <c r="L689" s="5">
        <v>14815.394001212817</v>
      </c>
      <c r="M689" s="5">
        <v>29041.83725675238</v>
      </c>
      <c r="N689" s="5">
        <v>22010.718648995869</v>
      </c>
      <c r="O689" s="5">
        <v>27068.054847826614</v>
      </c>
      <c r="P689" s="5">
        <v>35569.894390728325</v>
      </c>
      <c r="Q689" s="5">
        <v>13214.632802255031</v>
      </c>
      <c r="R689" s="5">
        <v>65420.116221752483</v>
      </c>
    </row>
    <row r="690" spans="9:18">
      <c r="I690" s="4">
        <v>675</v>
      </c>
      <c r="J690" s="5">
        <v>15352.465904292809</v>
      </c>
      <c r="K690" s="5">
        <v>29672.680843304515</v>
      </c>
      <c r="L690" s="5">
        <v>11827.803406885578</v>
      </c>
      <c r="M690" s="5">
        <v>18816.787977140237</v>
      </c>
      <c r="N690" s="5">
        <v>8555.1229659096207</v>
      </c>
      <c r="O690" s="5">
        <v>3171.3006415671193</v>
      </c>
      <c r="P690" s="5">
        <v>16072.735485912413</v>
      </c>
      <c r="Q690" s="5">
        <v>52421.574537857021</v>
      </c>
      <c r="R690" s="5">
        <v>261393.32711858812</v>
      </c>
    </row>
    <row r="691" spans="9:18">
      <c r="I691" s="4">
        <v>676</v>
      </c>
      <c r="J691" s="5">
        <v>16544.73779470181</v>
      </c>
      <c r="K691" s="5">
        <v>16132.555399908759</v>
      </c>
      <c r="L691" s="5">
        <v>17683.765335572589</v>
      </c>
      <c r="M691" s="5">
        <v>23449.501569180404</v>
      </c>
      <c r="N691" s="5">
        <v>15130.853682762778</v>
      </c>
      <c r="O691" s="5">
        <v>19430.912633256889</v>
      </c>
      <c r="P691" s="5">
        <v>32155.527541400057</v>
      </c>
      <c r="Q691" s="5">
        <v>9652.8114206999071</v>
      </c>
      <c r="R691" s="5">
        <v>44707.053087992797</v>
      </c>
    </row>
    <row r="692" spans="9:18">
      <c r="I692" s="4">
        <v>677</v>
      </c>
      <c r="J692" s="5">
        <v>17592.832480262863</v>
      </c>
      <c r="K692" s="5">
        <v>95171.967522309933</v>
      </c>
      <c r="L692" s="5">
        <v>17693.864646288712</v>
      </c>
      <c r="M692" s="5">
        <v>19795.661011456152</v>
      </c>
      <c r="N692" s="5">
        <v>63974.903847153939</v>
      </c>
      <c r="O692" s="5">
        <v>20991.103410982985</v>
      </c>
      <c r="P692" s="5">
        <v>14376.883105731285</v>
      </c>
      <c r="Q692" s="5">
        <v>20987.925664394581</v>
      </c>
      <c r="R692" s="5">
        <v>20303.08745527079</v>
      </c>
    </row>
    <row r="693" spans="9:18">
      <c r="I693" s="4">
        <v>678</v>
      </c>
      <c r="J693" s="5">
        <v>16788.081681455456</v>
      </c>
      <c r="K693" s="5">
        <v>13288.692555879701</v>
      </c>
      <c r="L693" s="5">
        <v>17073.17760523731</v>
      </c>
      <c r="M693" s="5">
        <v>36301.422888051464</v>
      </c>
      <c r="N693" s="5">
        <v>51261.622558090799</v>
      </c>
      <c r="O693" s="5">
        <v>3171.3006415671193</v>
      </c>
      <c r="P693" s="5">
        <v>10966.822219855034</v>
      </c>
      <c r="Q693" s="5">
        <v>31974.553851773013</v>
      </c>
      <c r="R693" s="5">
        <v>39263.770877572199</v>
      </c>
    </row>
    <row r="694" spans="9:18">
      <c r="I694" s="4">
        <v>679</v>
      </c>
      <c r="J694" s="5">
        <v>16416.142496463777</v>
      </c>
      <c r="K694" s="5">
        <v>34058.671324159091</v>
      </c>
      <c r="L694" s="5">
        <v>21954.536591034263</v>
      </c>
      <c r="M694" s="5">
        <v>20185.026038758231</v>
      </c>
      <c r="N694" s="5">
        <v>8555.1229659096207</v>
      </c>
      <c r="O694" s="5">
        <v>20489.622805425737</v>
      </c>
      <c r="P694" s="5">
        <v>13793.886507202402</v>
      </c>
      <c r="Q694" s="5">
        <v>17153.530968450712</v>
      </c>
      <c r="R694" s="5">
        <v>3433.6677391851467</v>
      </c>
    </row>
    <row r="695" spans="9:18">
      <c r="I695" s="4">
        <v>680</v>
      </c>
      <c r="J695" s="5">
        <v>33627.941293959229</v>
      </c>
      <c r="K695" s="5">
        <v>11558.357574452555</v>
      </c>
      <c r="L695" s="5">
        <v>18810.091753970282</v>
      </c>
      <c r="M695" s="5">
        <v>13414.385151739983</v>
      </c>
      <c r="N695" s="5">
        <v>21909.120225822895</v>
      </c>
      <c r="O695" s="5">
        <v>30656.031716467984</v>
      </c>
      <c r="P695" s="5">
        <v>14376.883105731285</v>
      </c>
      <c r="Q695" s="5">
        <v>16591.881190929333</v>
      </c>
      <c r="R695" s="5">
        <v>122304.95880137496</v>
      </c>
    </row>
    <row r="696" spans="9:18">
      <c r="I696" s="4">
        <v>681</v>
      </c>
      <c r="J696" s="5">
        <v>31053.540961463306</v>
      </c>
      <c r="K696" s="5">
        <v>13520.836427679104</v>
      </c>
      <c r="L696" s="5">
        <v>16577.562442697115</v>
      </c>
      <c r="M696" s="5">
        <v>18879.640760542785</v>
      </c>
      <c r="N696" s="5">
        <v>11635.644856128632</v>
      </c>
      <c r="O696" s="5">
        <v>30608.431994348266</v>
      </c>
      <c r="P696" s="5">
        <v>23769.190223735484</v>
      </c>
      <c r="Q696" s="5">
        <v>37497.234505125656</v>
      </c>
      <c r="R696" s="5">
        <v>3989.7956692889929</v>
      </c>
    </row>
    <row r="697" spans="9:18">
      <c r="I697" s="4">
        <v>682</v>
      </c>
      <c r="J697" s="5">
        <v>45301.532027110363</v>
      </c>
      <c r="K697" s="5">
        <v>18218.584572172625</v>
      </c>
      <c r="L697" s="5">
        <v>21954.536591034263</v>
      </c>
      <c r="M697" s="5">
        <v>21072.983263501868</v>
      </c>
      <c r="N697" s="5">
        <v>59876.136849941562</v>
      </c>
      <c r="O697" s="5">
        <v>20930.098352661731</v>
      </c>
      <c r="P697" s="5">
        <v>27452.975716953504</v>
      </c>
      <c r="Q697" s="5">
        <v>59134.059519022907</v>
      </c>
      <c r="R697" s="5">
        <v>39727.513802035661</v>
      </c>
    </row>
    <row r="698" spans="9:18">
      <c r="I698" s="4">
        <v>683</v>
      </c>
      <c r="J698" s="5">
        <v>21888.821432026474</v>
      </c>
      <c r="K698" s="5">
        <v>15768.312122029349</v>
      </c>
      <c r="L698" s="5">
        <v>16071.478531535273</v>
      </c>
      <c r="M698" s="5">
        <v>12987.517521908694</v>
      </c>
      <c r="N698" s="5">
        <v>21931.347680292267</v>
      </c>
      <c r="O698" s="5">
        <v>59207.798737851255</v>
      </c>
      <c r="P698" s="5">
        <v>17737.38315098183</v>
      </c>
      <c r="Q698" s="5">
        <v>31019.493883163672</v>
      </c>
      <c r="R698" s="5">
        <v>18349.337771428582</v>
      </c>
    </row>
    <row r="699" spans="9:18">
      <c r="I699" s="4">
        <v>684</v>
      </c>
      <c r="J699" s="5">
        <v>16016.491239086423</v>
      </c>
      <c r="K699" s="5">
        <v>18218.584572172625</v>
      </c>
      <c r="L699" s="5">
        <v>16451.333928028147</v>
      </c>
      <c r="M699" s="5">
        <v>18177.175180585615</v>
      </c>
      <c r="N699" s="5">
        <v>20583.564383988036</v>
      </c>
      <c r="O699" s="5">
        <v>20489.622805425737</v>
      </c>
      <c r="P699" s="5">
        <v>48123.003747643132</v>
      </c>
      <c r="Q699" s="5">
        <v>116445.46783345108</v>
      </c>
      <c r="R699" s="5">
        <v>2180.6148629084787</v>
      </c>
    </row>
    <row r="700" spans="9:18">
      <c r="I700" s="4">
        <v>685</v>
      </c>
      <c r="J700" s="5">
        <v>14594.990625703947</v>
      </c>
      <c r="K700" s="5">
        <v>23543.914024953676</v>
      </c>
      <c r="L700" s="5">
        <v>18379.634651549037</v>
      </c>
      <c r="M700" s="5">
        <v>11860.862376247747</v>
      </c>
      <c r="N700" s="5">
        <v>12297.015342318469</v>
      </c>
      <c r="O700" s="5">
        <v>31172.963108652857</v>
      </c>
      <c r="P700" s="5">
        <v>8662.4232458952465</v>
      </c>
      <c r="Q700" s="5">
        <v>47365.380972950254</v>
      </c>
      <c r="R700" s="5">
        <v>14079.827908007112</v>
      </c>
    </row>
    <row r="701" spans="9:18">
      <c r="I701" s="4">
        <v>686</v>
      </c>
      <c r="J701" s="5">
        <v>15081.728672246438</v>
      </c>
      <c r="K701" s="5">
        <v>15487.124352801369</v>
      </c>
      <c r="L701" s="5">
        <v>16955.349467865559</v>
      </c>
      <c r="M701" s="5">
        <v>19262.243095117232</v>
      </c>
      <c r="N701" s="5">
        <v>42744.618431291936</v>
      </c>
      <c r="O701" s="5">
        <v>30876.675913171162</v>
      </c>
      <c r="P701" s="5">
        <v>22601.57564624758</v>
      </c>
      <c r="Q701" s="5">
        <v>8880.8074399558282</v>
      </c>
      <c r="R701" s="5">
        <v>17687.533637716911</v>
      </c>
    </row>
    <row r="702" spans="9:18">
      <c r="I702" s="4">
        <v>687</v>
      </c>
      <c r="J702" s="5">
        <v>14741.240040396578</v>
      </c>
      <c r="K702" s="5">
        <v>14579.232378315752</v>
      </c>
      <c r="L702" s="5">
        <v>14146.191653372813</v>
      </c>
      <c r="M702" s="5">
        <v>20788.503422877813</v>
      </c>
      <c r="N702" s="5">
        <v>17214.078970533748</v>
      </c>
      <c r="O702" s="5">
        <v>10270.120415297655</v>
      </c>
      <c r="P702" s="5">
        <v>16650.229067545235</v>
      </c>
      <c r="Q702" s="5">
        <v>28567.61306643406</v>
      </c>
      <c r="R702" s="5">
        <v>302760.11878714536</v>
      </c>
    </row>
    <row r="703" spans="9:18">
      <c r="I703" s="4">
        <v>688</v>
      </c>
      <c r="J703" s="5">
        <v>27392.038553726634</v>
      </c>
      <c r="K703" s="5">
        <v>17003.901855709089</v>
      </c>
      <c r="L703" s="5">
        <v>18379.634651549037</v>
      </c>
      <c r="M703" s="5">
        <v>11529.920007560097</v>
      </c>
      <c r="N703" s="5">
        <v>11751.639947035985</v>
      </c>
      <c r="O703" s="5">
        <v>59207.798737851255</v>
      </c>
      <c r="P703" s="5">
        <v>24349.301972630979</v>
      </c>
      <c r="Q703" s="5">
        <v>48866.209623168346</v>
      </c>
      <c r="R703" s="5">
        <v>24722.972470599001</v>
      </c>
    </row>
    <row r="704" spans="9:18">
      <c r="I704" s="4">
        <v>689</v>
      </c>
      <c r="J704" s="5">
        <v>11116.191595722205</v>
      </c>
      <c r="K704" s="5">
        <v>9769.3659785458403</v>
      </c>
      <c r="L704" s="5">
        <v>16014.071850041886</v>
      </c>
      <c r="M704" s="5">
        <v>41698.977215629871</v>
      </c>
      <c r="N704" s="5">
        <v>19125.360074567652</v>
      </c>
      <c r="O704" s="5">
        <v>30656.031716467984</v>
      </c>
      <c r="P704" s="5">
        <v>26541.896041444568</v>
      </c>
      <c r="Q704" s="5">
        <v>22895.455950885695</v>
      </c>
      <c r="R704" s="5">
        <v>3311.4906988006405</v>
      </c>
    </row>
    <row r="705" spans="9:18">
      <c r="I705" s="4">
        <v>690</v>
      </c>
      <c r="J705" s="5">
        <v>15623.733864199699</v>
      </c>
      <c r="K705" s="5">
        <v>13652.224205833634</v>
      </c>
      <c r="L705" s="5">
        <v>19224.583269019437</v>
      </c>
      <c r="M705" s="5">
        <v>12987.517521908694</v>
      </c>
      <c r="N705" s="5">
        <v>27833.630848857778</v>
      </c>
      <c r="O705" s="5">
        <v>53007.660727727191</v>
      </c>
      <c r="P705" s="5">
        <v>34814.458119125498</v>
      </c>
      <c r="Q705" s="5">
        <v>9645.8788061228515</v>
      </c>
      <c r="R705" s="5">
        <v>35232.418639121184</v>
      </c>
    </row>
    <row r="706" spans="9:18">
      <c r="I706" s="4">
        <v>691</v>
      </c>
      <c r="J706" s="5">
        <v>23517.429992060665</v>
      </c>
      <c r="K706" s="5">
        <v>14587.813833513306</v>
      </c>
      <c r="L706" s="5">
        <v>15664.99858445921</v>
      </c>
      <c r="M706" s="5">
        <v>20788.503422877813</v>
      </c>
      <c r="N706" s="5">
        <v>25424.029865101274</v>
      </c>
      <c r="O706" s="5">
        <v>10738.305003664611</v>
      </c>
      <c r="P706" s="5">
        <v>9811.9720599964548</v>
      </c>
      <c r="Q706" s="5">
        <v>8474.2603471579441</v>
      </c>
      <c r="R706" s="5">
        <v>26783.439354489365</v>
      </c>
    </row>
    <row r="707" spans="9:18">
      <c r="I707" s="4">
        <v>692</v>
      </c>
      <c r="J707" s="5">
        <v>33627.941293959229</v>
      </c>
      <c r="K707" s="5">
        <v>16674.541027260992</v>
      </c>
      <c r="L707" s="5">
        <v>21954.536591034263</v>
      </c>
      <c r="M707" s="5">
        <v>26477.996319655329</v>
      </c>
      <c r="N707" s="5">
        <v>15130.853682762778</v>
      </c>
      <c r="O707" s="5">
        <v>20991.103410982985</v>
      </c>
      <c r="P707" s="5">
        <v>14316.965520592317</v>
      </c>
      <c r="Q707" s="5">
        <v>4924.9171270300558</v>
      </c>
      <c r="R707" s="5">
        <v>14706.681111065362</v>
      </c>
    </row>
    <row r="708" spans="9:18">
      <c r="I708" s="4">
        <v>693</v>
      </c>
      <c r="J708" s="5">
        <v>11116.191595722205</v>
      </c>
      <c r="K708" s="5">
        <v>19467.955014411935</v>
      </c>
      <c r="L708" s="5">
        <v>15471.738323660695</v>
      </c>
      <c r="M708" s="5">
        <v>21072.983263501868</v>
      </c>
      <c r="N708" s="5">
        <v>24314.043643333731</v>
      </c>
      <c r="O708" s="5">
        <v>5909.5347260996277</v>
      </c>
      <c r="P708" s="5">
        <v>27820.721938889761</v>
      </c>
      <c r="Q708" s="5">
        <v>17493.456269945855</v>
      </c>
      <c r="R708" s="5">
        <v>6681.1887184356683</v>
      </c>
    </row>
    <row r="709" spans="9:18">
      <c r="I709" s="4">
        <v>694</v>
      </c>
      <c r="J709" s="5">
        <v>20768.286261788198</v>
      </c>
      <c r="K709" s="5">
        <v>16952.949313901812</v>
      </c>
      <c r="L709" s="5">
        <v>14175.160754078657</v>
      </c>
      <c r="M709" s="5">
        <v>10451.914120098167</v>
      </c>
      <c r="N709" s="5">
        <v>15786.177386596903</v>
      </c>
      <c r="O709" s="5">
        <v>41800.463215706819</v>
      </c>
      <c r="P709" s="5">
        <v>16650.229067545235</v>
      </c>
      <c r="Q709" s="5">
        <v>4631.7430487757983</v>
      </c>
      <c r="R709" s="5">
        <v>18349.337771428582</v>
      </c>
    </row>
    <row r="710" spans="9:18">
      <c r="I710" s="4">
        <v>695</v>
      </c>
      <c r="J710" s="5">
        <v>12035.382213755307</v>
      </c>
      <c r="K710" s="5">
        <v>32294.121255311245</v>
      </c>
      <c r="L710" s="5">
        <v>19189.275558866306</v>
      </c>
      <c r="M710" s="5">
        <v>22815.60259636537</v>
      </c>
      <c r="N710" s="5">
        <v>20583.564383988036</v>
      </c>
      <c r="O710" s="5">
        <v>15124.35050053727</v>
      </c>
      <c r="P710" s="5">
        <v>16072.735485912413</v>
      </c>
      <c r="Q710" s="5">
        <v>16591.881190929333</v>
      </c>
      <c r="R710" s="5">
        <v>18230.645544621442</v>
      </c>
    </row>
    <row r="711" spans="9:18">
      <c r="I711" s="4">
        <v>696</v>
      </c>
      <c r="J711" s="5">
        <v>16166.107684907736</v>
      </c>
      <c r="K711" s="5">
        <v>14017.262946034314</v>
      </c>
      <c r="L711" s="5">
        <v>16106.634875163341</v>
      </c>
      <c r="M711" s="5">
        <v>14217.48832834715</v>
      </c>
      <c r="N711" s="5">
        <v>14335.478134989447</v>
      </c>
      <c r="O711" s="5">
        <v>10270.120415297655</v>
      </c>
      <c r="P711" s="5">
        <v>83536.241167211992</v>
      </c>
      <c r="Q711" s="5">
        <v>37802.358878968138</v>
      </c>
      <c r="R711" s="5">
        <v>5865.9802599669383</v>
      </c>
    </row>
    <row r="712" spans="9:18">
      <c r="I712" s="4">
        <v>697</v>
      </c>
      <c r="J712" s="5">
        <v>19048.674633640545</v>
      </c>
      <c r="K712" s="5">
        <v>17903.387243834499</v>
      </c>
      <c r="L712" s="5">
        <v>16071.260291253868</v>
      </c>
      <c r="M712" s="5">
        <v>7334.8610818348589</v>
      </c>
      <c r="N712" s="5">
        <v>11251.634703629026</v>
      </c>
      <c r="O712" s="5">
        <v>20489.622805425737</v>
      </c>
      <c r="P712" s="5">
        <v>24349.301972630979</v>
      </c>
      <c r="Q712" s="5">
        <v>13099.063525342741</v>
      </c>
      <c r="R712" s="5">
        <v>50287.76786557267</v>
      </c>
    </row>
    <row r="713" spans="9:18">
      <c r="I713" s="4">
        <v>698</v>
      </c>
      <c r="J713" s="5">
        <v>13663.281817546009</v>
      </c>
      <c r="K713" s="5">
        <v>14854.898507619706</v>
      </c>
      <c r="L713" s="5">
        <v>27144.958215276103</v>
      </c>
      <c r="M713" s="5">
        <v>19890.009981657669</v>
      </c>
      <c r="N713" s="5">
        <v>9209.4418830788036</v>
      </c>
      <c r="O713" s="5">
        <v>27195.510785031525</v>
      </c>
      <c r="P713" s="5">
        <v>33500.490132682797</v>
      </c>
      <c r="Q713" s="5">
        <v>37101.531383212743</v>
      </c>
      <c r="R713" s="5">
        <v>123773.40402252052</v>
      </c>
    </row>
    <row r="714" spans="9:18">
      <c r="I714" s="4">
        <v>699</v>
      </c>
      <c r="J714" s="5">
        <v>18650.249281571734</v>
      </c>
      <c r="K714" s="5">
        <v>11403.533194020869</v>
      </c>
      <c r="L714" s="5">
        <v>17073.17760523731</v>
      </c>
      <c r="M714" s="5">
        <v>10111.451009425113</v>
      </c>
      <c r="N714" s="5">
        <v>20583.564383988036</v>
      </c>
      <c r="O714" s="5">
        <v>9956.4031238965053</v>
      </c>
      <c r="P714" s="5">
        <v>55152.110177667731</v>
      </c>
      <c r="Q714" s="5">
        <v>64585.328088516922</v>
      </c>
      <c r="R714" s="5">
        <v>23583.884732956092</v>
      </c>
    </row>
    <row r="715" spans="9:18">
      <c r="I715" s="4">
        <v>700</v>
      </c>
      <c r="J715" s="5">
        <v>31559.699247539775</v>
      </c>
      <c r="K715" s="5">
        <v>16273.14570113692</v>
      </c>
      <c r="L715" s="5">
        <v>15759.954187048656</v>
      </c>
      <c r="M715" s="5">
        <v>14660.631931099009</v>
      </c>
      <c r="N715" s="5">
        <v>12297.015342318469</v>
      </c>
      <c r="O715" s="5">
        <v>30656.031716467984</v>
      </c>
      <c r="P715" s="5">
        <v>9482.0186426688688</v>
      </c>
      <c r="Q715" s="5">
        <v>16803.875627203233</v>
      </c>
      <c r="R715" s="5">
        <v>31715.273557891396</v>
      </c>
    </row>
    <row r="716" spans="9:18">
      <c r="I716" s="4">
        <v>701</v>
      </c>
      <c r="J716" s="5">
        <v>9368.8270679249108</v>
      </c>
      <c r="K716" s="5">
        <v>61827.107730316675</v>
      </c>
      <c r="L716" s="5">
        <v>15832.5469007027</v>
      </c>
      <c r="M716" s="5">
        <v>23454.775510296178</v>
      </c>
      <c r="N716" s="5">
        <v>10882.757905166785</v>
      </c>
      <c r="O716" s="5">
        <v>55264.438774006347</v>
      </c>
      <c r="P716" s="5">
        <v>14316.965520592317</v>
      </c>
      <c r="Q716" s="5">
        <v>2356.8990887111336</v>
      </c>
      <c r="R716" s="5">
        <v>51358.6267760993</v>
      </c>
    </row>
    <row r="717" spans="9:18">
      <c r="I717" s="4">
        <v>702</v>
      </c>
      <c r="J717" s="5">
        <v>7855.2948890116513</v>
      </c>
      <c r="K717" s="5">
        <v>16605.655749562578</v>
      </c>
      <c r="L717" s="5">
        <v>23561.450544884348</v>
      </c>
      <c r="M717" s="5">
        <v>31460.745851561904</v>
      </c>
      <c r="N717" s="5">
        <v>59876.136849941562</v>
      </c>
      <c r="O717" s="5">
        <v>26268.613803794757</v>
      </c>
      <c r="P717" s="5">
        <v>66904.018529955298</v>
      </c>
      <c r="Q717" s="5">
        <v>73941.636731325911</v>
      </c>
      <c r="R717" s="5">
        <v>8720.6503563381029</v>
      </c>
    </row>
    <row r="718" spans="9:18">
      <c r="I718" s="4">
        <v>703</v>
      </c>
      <c r="J718" s="5">
        <v>15064.079707240266</v>
      </c>
      <c r="K718" s="5">
        <v>18086.448513145526</v>
      </c>
      <c r="L718" s="5">
        <v>16777.996633299583</v>
      </c>
      <c r="M718" s="5">
        <v>13414.385151739983</v>
      </c>
      <c r="N718" s="5">
        <v>16418.492928415813</v>
      </c>
      <c r="O718" s="5">
        <v>10270.120415297655</v>
      </c>
      <c r="P718" s="5">
        <v>13793.886507202402</v>
      </c>
      <c r="Q718" s="5">
        <v>73941.636731325911</v>
      </c>
      <c r="R718" s="5">
        <v>55012.315589742022</v>
      </c>
    </row>
    <row r="719" spans="9:18">
      <c r="I719" s="4">
        <v>704</v>
      </c>
      <c r="J719" s="5">
        <v>14538.277247583976</v>
      </c>
      <c r="K719" s="5">
        <v>43843.85059185313</v>
      </c>
      <c r="L719" s="5">
        <v>18602.881797624486</v>
      </c>
      <c r="M719" s="5">
        <v>13642.678686731051</v>
      </c>
      <c r="N719" s="5">
        <v>25424.029865101274</v>
      </c>
      <c r="O719" s="5">
        <v>18637.945795127704</v>
      </c>
      <c r="P719" s="5">
        <v>17996.895987204196</v>
      </c>
      <c r="Q719" s="5">
        <v>37277.391668005912</v>
      </c>
      <c r="R719" s="5">
        <v>12130.167062525341</v>
      </c>
    </row>
    <row r="720" spans="9:18">
      <c r="I720" s="4">
        <v>705</v>
      </c>
      <c r="J720" s="5">
        <v>34933.039312618188</v>
      </c>
      <c r="K720" s="5">
        <v>23543.914024953676</v>
      </c>
      <c r="L720" s="5">
        <v>16106.634875163341</v>
      </c>
      <c r="M720" s="5">
        <v>32497.510405113037</v>
      </c>
      <c r="N720" s="5">
        <v>59876.136849941562</v>
      </c>
      <c r="O720" s="5">
        <v>11282.178219986479</v>
      </c>
      <c r="P720" s="5">
        <v>8662.4232458952465</v>
      </c>
      <c r="Q720" s="5">
        <v>22483.395143121877</v>
      </c>
      <c r="R720" s="5">
        <v>8130.5639219412278</v>
      </c>
    </row>
    <row r="721" spans="9:18">
      <c r="I721" s="4">
        <v>706</v>
      </c>
      <c r="J721" s="5">
        <v>15554.996700302558</v>
      </c>
      <c r="K721" s="5">
        <v>13719.930466819731</v>
      </c>
      <c r="L721" s="5">
        <v>14796.875457021113</v>
      </c>
      <c r="M721" s="5">
        <v>10451.914120098167</v>
      </c>
      <c r="N721" s="5">
        <v>6130.3882288404347</v>
      </c>
      <c r="O721" s="5">
        <v>62082.6862081785</v>
      </c>
      <c r="P721" s="5">
        <v>14327.191387816954</v>
      </c>
      <c r="Q721" s="5">
        <v>129470.11441833655</v>
      </c>
      <c r="R721" s="5">
        <v>6360.7905155660001</v>
      </c>
    </row>
    <row r="722" spans="9:18">
      <c r="I722" s="4">
        <v>707</v>
      </c>
      <c r="J722" s="5">
        <v>19121.054099180623</v>
      </c>
      <c r="K722" s="5">
        <v>17003.901855709089</v>
      </c>
      <c r="L722" s="5">
        <v>16777.996633299583</v>
      </c>
      <c r="M722" s="5">
        <v>36301.422888051464</v>
      </c>
      <c r="N722" s="5">
        <v>15130.853682762778</v>
      </c>
      <c r="O722" s="5">
        <v>27503.656957929088</v>
      </c>
      <c r="P722" s="5">
        <v>25258.981945036445</v>
      </c>
      <c r="Q722" s="5">
        <v>11173.074396969254</v>
      </c>
      <c r="R722" s="5">
        <v>10885.018205103002</v>
      </c>
    </row>
    <row r="723" spans="9:18">
      <c r="I723" s="4">
        <v>708</v>
      </c>
      <c r="J723" s="5">
        <v>16016.491239086423</v>
      </c>
      <c r="K723" s="5">
        <v>16873.752266014431</v>
      </c>
      <c r="L723" s="5">
        <v>15359.132481533357</v>
      </c>
      <c r="M723" s="5">
        <v>9623.0342442006167</v>
      </c>
      <c r="N723" s="5">
        <v>23043.345403059295</v>
      </c>
      <c r="O723" s="5">
        <v>59207.798737851255</v>
      </c>
      <c r="P723" s="5">
        <v>13452.921824087563</v>
      </c>
      <c r="Q723" s="5">
        <v>31974.553851773013</v>
      </c>
      <c r="R723" s="5">
        <v>24722.972470599001</v>
      </c>
    </row>
    <row r="724" spans="9:18">
      <c r="I724" s="4">
        <v>709</v>
      </c>
      <c r="J724" s="5">
        <v>13595.404057849493</v>
      </c>
      <c r="K724" s="5">
        <v>15631.937142257386</v>
      </c>
      <c r="L724" s="5">
        <v>17693.864646288712</v>
      </c>
      <c r="M724" s="5">
        <v>23449.501569180404</v>
      </c>
      <c r="N724" s="5">
        <v>22735.120948269971</v>
      </c>
      <c r="O724" s="5">
        <v>35865.625349531729</v>
      </c>
      <c r="P724" s="5">
        <v>22601.57564624758</v>
      </c>
      <c r="Q724" s="5">
        <v>20987.925664394581</v>
      </c>
      <c r="R724" s="5">
        <v>182942.88598316166</v>
      </c>
    </row>
    <row r="725" spans="9:18">
      <c r="I725" s="4">
        <v>710</v>
      </c>
      <c r="J725" s="5">
        <v>14750.660273177687</v>
      </c>
      <c r="K725" s="5">
        <v>61827.107730316675</v>
      </c>
      <c r="L725" s="5">
        <v>16472.138192556791</v>
      </c>
      <c r="M725" s="5">
        <v>31554.722481137964</v>
      </c>
      <c r="N725" s="5">
        <v>24853.247795632611</v>
      </c>
      <c r="O725" s="5">
        <v>77417.02098927302</v>
      </c>
      <c r="P725" s="5">
        <v>46514.467673254068</v>
      </c>
      <c r="Q725" s="5">
        <v>48756.323642664109</v>
      </c>
      <c r="R725" s="5">
        <v>30571.564004538617</v>
      </c>
    </row>
    <row r="726" spans="9:18">
      <c r="I726" s="4">
        <v>711</v>
      </c>
      <c r="J726" s="5">
        <v>14960.076233580705</v>
      </c>
      <c r="K726" s="5">
        <v>16873.752266014431</v>
      </c>
      <c r="L726" s="5">
        <v>19078.910217042379</v>
      </c>
      <c r="M726" s="5">
        <v>20550.782384061673</v>
      </c>
      <c r="N726" s="5">
        <v>17811.114014514766</v>
      </c>
      <c r="O726" s="5">
        <v>62082.6862081785</v>
      </c>
      <c r="P726" s="5">
        <v>10733.318076105543</v>
      </c>
      <c r="Q726" s="5">
        <v>19541.409060825732</v>
      </c>
      <c r="R726" s="5">
        <v>7952.6989268572033</v>
      </c>
    </row>
    <row r="727" spans="9:18">
      <c r="I727" s="4">
        <v>712</v>
      </c>
      <c r="J727" s="5">
        <v>20002.201347927807</v>
      </c>
      <c r="K727" s="5">
        <v>17128.860847126922</v>
      </c>
      <c r="L727" s="5">
        <v>15126.980926457318</v>
      </c>
      <c r="M727" s="5">
        <v>29041.83725675238</v>
      </c>
      <c r="N727" s="5">
        <v>34295.124147811541</v>
      </c>
      <c r="O727" s="5">
        <v>16826.763259351828</v>
      </c>
      <c r="P727" s="5">
        <v>35569.894390728325</v>
      </c>
      <c r="Q727" s="5">
        <v>15663.43865741136</v>
      </c>
      <c r="R727" s="5">
        <v>216919.53009911609</v>
      </c>
    </row>
    <row r="728" spans="9:18">
      <c r="I728" s="4">
        <v>713</v>
      </c>
      <c r="J728" s="5">
        <v>43272.831879770602</v>
      </c>
      <c r="K728" s="5">
        <v>14136.873097602549</v>
      </c>
      <c r="L728" s="5">
        <v>20698.842353987733</v>
      </c>
      <c r="M728" s="5">
        <v>20185.026038758231</v>
      </c>
      <c r="N728" s="5">
        <v>36962.805083900916</v>
      </c>
      <c r="O728" s="5">
        <v>20930.098352661731</v>
      </c>
      <c r="P728" s="5">
        <v>21813.848941464526</v>
      </c>
      <c r="Q728" s="5">
        <v>13865.641566869812</v>
      </c>
      <c r="R728" s="5">
        <v>30571.564004538617</v>
      </c>
    </row>
    <row r="729" spans="9:18">
      <c r="I729" s="4">
        <v>714</v>
      </c>
      <c r="J729" s="5">
        <v>11843.28062342474</v>
      </c>
      <c r="K729" s="5">
        <v>13559.080695844099</v>
      </c>
      <c r="L729" s="5">
        <v>22018.381599979773</v>
      </c>
      <c r="M729" s="5">
        <v>15202.972920708273</v>
      </c>
      <c r="N729" s="5">
        <v>22010.718648995869</v>
      </c>
      <c r="O729" s="5">
        <v>66253.993323243907</v>
      </c>
      <c r="P729" s="5">
        <v>8662.4232458952465</v>
      </c>
      <c r="Q729" s="5">
        <v>54060.5331097772</v>
      </c>
      <c r="R729" s="5">
        <v>96845.299789249824</v>
      </c>
    </row>
    <row r="730" spans="9:18">
      <c r="I730" s="4">
        <v>715</v>
      </c>
      <c r="J730" s="5">
        <v>12888.204629170894</v>
      </c>
      <c r="K730" s="5">
        <v>21527.93129974293</v>
      </c>
      <c r="L730" s="5">
        <v>14815.394001212817</v>
      </c>
      <c r="M730" s="5">
        <v>11860.862376247747</v>
      </c>
      <c r="N730" s="5">
        <v>24314.043643333731</v>
      </c>
      <c r="O730" s="5">
        <v>24369.28567093279</v>
      </c>
      <c r="P730" s="5">
        <v>35569.894390728325</v>
      </c>
      <c r="Q730" s="5">
        <v>59134.059519022907</v>
      </c>
      <c r="R730" s="5">
        <v>39263.770877572199</v>
      </c>
    </row>
    <row r="731" spans="9:18">
      <c r="I731" s="4">
        <v>716</v>
      </c>
      <c r="J731" s="5">
        <v>13595.404057849493</v>
      </c>
      <c r="K731" s="5">
        <v>16934.093371663999</v>
      </c>
      <c r="L731" s="5">
        <v>17243.440968229323</v>
      </c>
      <c r="M731" s="5">
        <v>30830.81083227017</v>
      </c>
      <c r="N731" s="5">
        <v>21931.347680292267</v>
      </c>
      <c r="O731" s="5">
        <v>15124.35050053727</v>
      </c>
      <c r="P731" s="5">
        <v>33715.790977629549</v>
      </c>
      <c r="Q731" s="5">
        <v>96632.959478514502</v>
      </c>
      <c r="R731" s="5">
        <v>261393.32711858812</v>
      </c>
    </row>
    <row r="732" spans="9:18">
      <c r="I732" s="4">
        <v>717</v>
      </c>
      <c r="J732" s="5">
        <v>13841.207384998772</v>
      </c>
      <c r="K732" s="5">
        <v>17903.387243834499</v>
      </c>
      <c r="L732" s="5">
        <v>17311.244744664215</v>
      </c>
      <c r="M732" s="5">
        <v>29834.240613550006</v>
      </c>
      <c r="N732" s="5">
        <v>26152.705108198839</v>
      </c>
      <c r="O732" s="5">
        <v>53007.660727727191</v>
      </c>
      <c r="P732" s="5">
        <v>18963.234565965948</v>
      </c>
      <c r="Q732" s="5">
        <v>8502.450657922871</v>
      </c>
      <c r="R732" s="5">
        <v>12194.45251033065</v>
      </c>
    </row>
    <row r="733" spans="9:18">
      <c r="I733" s="4">
        <v>718</v>
      </c>
      <c r="J733" s="5">
        <v>13663.281817546009</v>
      </c>
      <c r="K733" s="5">
        <v>12026.500118162745</v>
      </c>
      <c r="L733" s="5">
        <v>17482.478480142941</v>
      </c>
      <c r="M733" s="5">
        <v>10451.914120098167</v>
      </c>
      <c r="N733" s="5">
        <v>32184.535272543482</v>
      </c>
      <c r="O733" s="5">
        <v>49114.195066822271</v>
      </c>
      <c r="P733" s="5">
        <v>36724.352187786957</v>
      </c>
      <c r="Q733" s="5">
        <v>4924.9171270300558</v>
      </c>
      <c r="R733" s="5">
        <v>123773.40402252052</v>
      </c>
    </row>
    <row r="734" spans="9:18">
      <c r="I734" s="4">
        <v>719</v>
      </c>
      <c r="J734" s="5">
        <v>19121.054099180623</v>
      </c>
      <c r="K734" s="5">
        <v>15428.770955406064</v>
      </c>
      <c r="L734" s="5">
        <v>18602.881797624486</v>
      </c>
      <c r="M734" s="5">
        <v>22326.253555179093</v>
      </c>
      <c r="N734" s="5">
        <v>11251.634703629026</v>
      </c>
      <c r="O734" s="5">
        <v>14371.728352806511</v>
      </c>
      <c r="P734" s="5">
        <v>10733.318076105543</v>
      </c>
      <c r="Q734" s="5">
        <v>7349.2234634219121</v>
      </c>
      <c r="R734" s="5">
        <v>8046.7106309763258</v>
      </c>
    </row>
    <row r="735" spans="9:18">
      <c r="I735" s="4">
        <v>720</v>
      </c>
      <c r="J735" s="5">
        <v>34933.039312618188</v>
      </c>
      <c r="K735" s="5">
        <v>11857.447519815871</v>
      </c>
      <c r="L735" s="5">
        <v>14811.370758813007</v>
      </c>
      <c r="M735" s="5">
        <v>14660.631931099009</v>
      </c>
      <c r="N735" s="5">
        <v>9989.086510768735</v>
      </c>
      <c r="O735" s="5">
        <v>9320.7026593487881</v>
      </c>
      <c r="P735" s="5">
        <v>55152.110177667731</v>
      </c>
      <c r="Q735" s="5">
        <v>17493.456269945855</v>
      </c>
      <c r="R735" s="5">
        <v>33863.04333215439</v>
      </c>
    </row>
    <row r="736" spans="9:18">
      <c r="I736" s="4">
        <v>721</v>
      </c>
      <c r="J736" s="5">
        <v>14960.076233580705</v>
      </c>
      <c r="K736" s="5">
        <v>15631.937142257386</v>
      </c>
      <c r="L736" s="5">
        <v>16071.478531535273</v>
      </c>
      <c r="M736" s="5">
        <v>20185.026038758231</v>
      </c>
      <c r="N736" s="5">
        <v>25424.029865101274</v>
      </c>
      <c r="O736" s="5">
        <v>20489.622805425737</v>
      </c>
      <c r="P736" s="5">
        <v>83536.241167211992</v>
      </c>
      <c r="Q736" s="5">
        <v>31902.904306425251</v>
      </c>
      <c r="R736" s="5">
        <v>1535.701520095213</v>
      </c>
    </row>
    <row r="737" spans="9:18">
      <c r="I737" s="4">
        <v>722</v>
      </c>
      <c r="J737" s="5">
        <v>9368.8270679249108</v>
      </c>
      <c r="K737" s="5">
        <v>21218.439146892688</v>
      </c>
      <c r="L737" s="5">
        <v>15300.182042823812</v>
      </c>
      <c r="M737" s="5">
        <v>7334.8610818348589</v>
      </c>
      <c r="N737" s="5">
        <v>11604.12831603515</v>
      </c>
      <c r="O737" s="5">
        <v>8801.3667015774663</v>
      </c>
      <c r="P737" s="5">
        <v>55152.110177667731</v>
      </c>
      <c r="Q737" s="5">
        <v>9796.0979856104404</v>
      </c>
      <c r="R737" s="5">
        <v>181970.23111012415</v>
      </c>
    </row>
    <row r="738" spans="9:18">
      <c r="I738" s="4">
        <v>723</v>
      </c>
      <c r="J738" s="5">
        <v>14076.209333698853</v>
      </c>
      <c r="K738" s="5">
        <v>35488.449387009874</v>
      </c>
      <c r="L738" s="5">
        <v>21428.663623484812</v>
      </c>
      <c r="M738" s="5">
        <v>17542.15972125496</v>
      </c>
      <c r="N738" s="5">
        <v>15251.140047572881</v>
      </c>
      <c r="O738" s="5">
        <v>3171.3006415671193</v>
      </c>
      <c r="P738" s="5">
        <v>54923.423457863879</v>
      </c>
      <c r="Q738" s="5">
        <v>13214.632802255031</v>
      </c>
      <c r="R738" s="5">
        <v>9913.4206865238284</v>
      </c>
    </row>
    <row r="739" spans="9:18">
      <c r="I739" s="4">
        <v>724</v>
      </c>
      <c r="J739" s="5">
        <v>26634.853073396614</v>
      </c>
      <c r="K739" s="5">
        <v>15631.937142257386</v>
      </c>
      <c r="L739" s="5">
        <v>27144.958215276103</v>
      </c>
      <c r="M739" s="5">
        <v>11680.747299075838</v>
      </c>
      <c r="N739" s="5">
        <v>21933.097106966918</v>
      </c>
      <c r="O739" s="5">
        <v>9956.4031238965053</v>
      </c>
      <c r="P739" s="5">
        <v>36724.352187786957</v>
      </c>
      <c r="Q739" s="5">
        <v>7349.2234634219121</v>
      </c>
      <c r="R739" s="5">
        <v>31715.273557891396</v>
      </c>
    </row>
    <row r="740" spans="9:18">
      <c r="I740" s="4">
        <v>725</v>
      </c>
      <c r="J740" s="5">
        <v>21717.214093683677</v>
      </c>
      <c r="K740" s="5">
        <v>23327.217259521742</v>
      </c>
      <c r="L740" s="5">
        <v>15060.431658965737</v>
      </c>
      <c r="M740" s="5">
        <v>21712.71007234112</v>
      </c>
      <c r="N740" s="5">
        <v>11751.639947035985</v>
      </c>
      <c r="O740" s="5">
        <v>13966.178986479143</v>
      </c>
      <c r="P740" s="5">
        <v>83536.241167211992</v>
      </c>
      <c r="Q740" s="5">
        <v>64585.328088516922</v>
      </c>
      <c r="R740" s="5">
        <v>41418.225609677866</v>
      </c>
    </row>
    <row r="741" spans="9:18">
      <c r="I741" s="4">
        <v>726</v>
      </c>
      <c r="J741" s="5">
        <v>14741.240040396578</v>
      </c>
      <c r="K741" s="5">
        <v>14674.169276244838</v>
      </c>
      <c r="L741" s="5">
        <v>18379.634651549037</v>
      </c>
      <c r="M741" s="5">
        <v>42282.977640783138</v>
      </c>
      <c r="N741" s="5">
        <v>17214.078970533748</v>
      </c>
      <c r="O741" s="5">
        <v>49114.195066822271</v>
      </c>
      <c r="P741" s="5">
        <v>35213.322626437533</v>
      </c>
      <c r="Q741" s="5">
        <v>30495.121067047665</v>
      </c>
      <c r="R741" s="5">
        <v>12194.45251033065</v>
      </c>
    </row>
    <row r="742" spans="9:18">
      <c r="I742" s="4">
        <v>727</v>
      </c>
      <c r="J742" s="5">
        <v>15623.733864199699</v>
      </c>
      <c r="K742" s="5">
        <v>11558.357574452555</v>
      </c>
      <c r="L742" s="5">
        <v>13417.453622029931</v>
      </c>
      <c r="M742" s="5">
        <v>16500.222621933419</v>
      </c>
      <c r="N742" s="5">
        <v>25424.029865101274</v>
      </c>
      <c r="O742" s="5">
        <v>10369.402667058452</v>
      </c>
      <c r="P742" s="5">
        <v>49519.098753410741</v>
      </c>
      <c r="Q742" s="5">
        <v>9652.8114206999071</v>
      </c>
      <c r="R742" s="5">
        <v>122304.95880137496</v>
      </c>
    </row>
    <row r="743" spans="9:18">
      <c r="I743" s="4">
        <v>728</v>
      </c>
      <c r="J743" s="5">
        <v>9405.362381917912</v>
      </c>
      <c r="K743" s="5">
        <v>11558.357574452555</v>
      </c>
      <c r="L743" s="5">
        <v>21954.536591034263</v>
      </c>
      <c r="M743" s="5">
        <v>12426.949970383979</v>
      </c>
      <c r="N743" s="5">
        <v>12297.015342318469</v>
      </c>
      <c r="O743" s="5">
        <v>11282.178219986479</v>
      </c>
      <c r="P743" s="5">
        <v>54100.778483493887</v>
      </c>
      <c r="Q743" s="5">
        <v>53055.59182561023</v>
      </c>
      <c r="R743" s="5">
        <v>50287.76786557267</v>
      </c>
    </row>
    <row r="744" spans="9:18">
      <c r="I744" s="4">
        <v>729</v>
      </c>
      <c r="J744" s="5">
        <v>14741.240040396578</v>
      </c>
      <c r="K744" s="5">
        <v>21958.925144875713</v>
      </c>
      <c r="L744" s="5">
        <v>14796.875457021113</v>
      </c>
      <c r="M744" s="5">
        <v>23515.935489506261</v>
      </c>
      <c r="N744" s="5">
        <v>11788.341482962171</v>
      </c>
      <c r="O744" s="5">
        <v>13550.031670770122</v>
      </c>
      <c r="P744" s="5">
        <v>20403.656304140692</v>
      </c>
      <c r="Q744" s="5">
        <v>37497.234505125656</v>
      </c>
      <c r="R744" s="5">
        <v>39788.288251916689</v>
      </c>
    </row>
    <row r="745" spans="9:18">
      <c r="I745" s="4">
        <v>730</v>
      </c>
      <c r="J745" s="5">
        <v>15786.811016780619</v>
      </c>
      <c r="K745" s="5">
        <v>16132.555399908759</v>
      </c>
      <c r="L745" s="5">
        <v>22018.381599979773</v>
      </c>
      <c r="M745" s="5">
        <v>17349.963215818931</v>
      </c>
      <c r="N745" s="5">
        <v>12523.573732460784</v>
      </c>
      <c r="O745" s="5">
        <v>51330.340277512776</v>
      </c>
      <c r="P745" s="5">
        <v>23769.190223735484</v>
      </c>
      <c r="Q745" s="5">
        <v>129470.11441833655</v>
      </c>
      <c r="R745" s="5">
        <v>27349.63499959607</v>
      </c>
    </row>
    <row r="746" spans="9:18">
      <c r="I746" s="4">
        <v>731</v>
      </c>
      <c r="J746" s="5">
        <v>11854.381651026555</v>
      </c>
      <c r="K746" s="5">
        <v>13520.836427679104</v>
      </c>
      <c r="L746" s="5">
        <v>11827.803406885578</v>
      </c>
      <c r="M746" s="5">
        <v>32751.734100446065</v>
      </c>
      <c r="N746" s="5">
        <v>11604.12831603515</v>
      </c>
      <c r="O746" s="5">
        <v>28431.436490368542</v>
      </c>
      <c r="P746" s="5">
        <v>49519.098753410741</v>
      </c>
      <c r="Q746" s="5">
        <v>20987.925664394581</v>
      </c>
      <c r="R746" s="5">
        <v>44707.053087992797</v>
      </c>
    </row>
    <row r="747" spans="9:18">
      <c r="I747" s="4">
        <v>732</v>
      </c>
      <c r="J747" s="5">
        <v>15623.733864199699</v>
      </c>
      <c r="K747" s="5">
        <v>6949.5708823216592</v>
      </c>
      <c r="L747" s="5">
        <v>13358.459356674217</v>
      </c>
      <c r="M747" s="5">
        <v>31460.745851561904</v>
      </c>
      <c r="N747" s="5">
        <v>22735.120948269971</v>
      </c>
      <c r="O747" s="5">
        <v>20721.57544042755</v>
      </c>
      <c r="P747" s="5">
        <v>17974.179326980211</v>
      </c>
      <c r="Q747" s="5">
        <v>59134.059519022907</v>
      </c>
      <c r="R747" s="5">
        <v>216919.53009911609</v>
      </c>
    </row>
    <row r="748" spans="9:18">
      <c r="I748" s="4">
        <v>733</v>
      </c>
      <c r="J748" s="5">
        <v>9405.362381917912</v>
      </c>
      <c r="K748" s="5">
        <v>21218.439146892688</v>
      </c>
      <c r="L748" s="5">
        <v>11827.803406885578</v>
      </c>
      <c r="M748" s="5">
        <v>16500.222621933419</v>
      </c>
      <c r="N748" s="5">
        <v>16418.492928415813</v>
      </c>
      <c r="O748" s="5">
        <v>55264.438774006347</v>
      </c>
      <c r="P748" s="5">
        <v>22708.601480587709</v>
      </c>
      <c r="Q748" s="5">
        <v>6386.5227360487288</v>
      </c>
      <c r="R748" s="5">
        <v>17304.847214362417</v>
      </c>
    </row>
    <row r="749" spans="9:18">
      <c r="I749" s="4">
        <v>734</v>
      </c>
      <c r="J749" s="5">
        <v>9405.362381917912</v>
      </c>
      <c r="K749" s="5">
        <v>11507.182177474708</v>
      </c>
      <c r="L749" s="5">
        <v>11827.803406885578</v>
      </c>
      <c r="M749" s="5">
        <v>9623.0342442006167</v>
      </c>
      <c r="N749" s="5">
        <v>25424.029865101274</v>
      </c>
      <c r="O749" s="5">
        <v>79848.944504816522</v>
      </c>
      <c r="P749" s="5">
        <v>6275.8915673055426</v>
      </c>
      <c r="Q749" s="5">
        <v>27018.509959127641</v>
      </c>
      <c r="R749" s="5">
        <v>87776.138236389699</v>
      </c>
    </row>
    <row r="750" spans="9:18">
      <c r="I750" s="4">
        <v>735</v>
      </c>
      <c r="J750" s="5">
        <v>20768.286261788198</v>
      </c>
      <c r="K750" s="5">
        <v>15487.124352801369</v>
      </c>
      <c r="L750" s="5">
        <v>16955.349467865559</v>
      </c>
      <c r="M750" s="5">
        <v>33862.836621974391</v>
      </c>
      <c r="N750" s="5">
        <v>11604.12831603515</v>
      </c>
      <c r="O750" s="5">
        <v>41800.463215706819</v>
      </c>
      <c r="P750" s="5">
        <v>31127.87225845682</v>
      </c>
      <c r="Q750" s="5">
        <v>42044.890065817184</v>
      </c>
      <c r="R750" s="5">
        <v>181970.23111012415</v>
      </c>
    </row>
    <row r="751" spans="9:18">
      <c r="I751" s="4">
        <v>736</v>
      </c>
      <c r="J751" s="5">
        <v>15352.465904292809</v>
      </c>
      <c r="K751" s="5">
        <v>24728.095385476983</v>
      </c>
      <c r="L751" s="5">
        <v>13417.453622029931</v>
      </c>
      <c r="M751" s="5">
        <v>19795.661011456152</v>
      </c>
      <c r="N751" s="5">
        <v>17811.114014514766</v>
      </c>
      <c r="O751" s="5">
        <v>53028.643350899503</v>
      </c>
      <c r="P751" s="5">
        <v>45161.732159568586</v>
      </c>
      <c r="Q751" s="5">
        <v>37101.531383212743</v>
      </c>
      <c r="R751" s="5">
        <v>2180.6148629084787</v>
      </c>
    </row>
    <row r="752" spans="9:18">
      <c r="I752" s="4">
        <v>737</v>
      </c>
      <c r="J752" s="5">
        <v>15081.728672246438</v>
      </c>
      <c r="K752" s="5">
        <v>14611.618478071941</v>
      </c>
      <c r="L752" s="5">
        <v>23561.450544884348</v>
      </c>
      <c r="M752" s="5">
        <v>21833.004790208965</v>
      </c>
      <c r="N752" s="5">
        <v>11604.12831603515</v>
      </c>
      <c r="O752" s="5">
        <v>4231.3144655921506</v>
      </c>
      <c r="P752" s="5">
        <v>10733.318076105543</v>
      </c>
      <c r="Q752" s="5">
        <v>56069.347629295014</v>
      </c>
      <c r="R752" s="5">
        <v>34970.397641695177</v>
      </c>
    </row>
    <row r="753" spans="9:18">
      <c r="I753" s="4">
        <v>738</v>
      </c>
      <c r="J753" s="5">
        <v>22188.291830993156</v>
      </c>
      <c r="K753" s="5">
        <v>11403.533194020869</v>
      </c>
      <c r="L753" s="5">
        <v>21954.536591034263</v>
      </c>
      <c r="M753" s="5">
        <v>17349.963215818931</v>
      </c>
      <c r="N753" s="5">
        <v>37309.151967087455</v>
      </c>
      <c r="O753" s="5">
        <v>9869.5889207969612</v>
      </c>
      <c r="P753" s="5">
        <v>22601.57564624758</v>
      </c>
      <c r="Q753" s="5">
        <v>71213.172792303565</v>
      </c>
      <c r="R753" s="5">
        <v>114016.93673542379</v>
      </c>
    </row>
    <row r="754" spans="9:18">
      <c r="I754" s="4">
        <v>739</v>
      </c>
      <c r="J754" s="5">
        <v>16459.003095225507</v>
      </c>
      <c r="K754" s="5">
        <v>11403.533194020869</v>
      </c>
      <c r="L754" s="5">
        <v>15746.942257105531</v>
      </c>
      <c r="M754" s="5">
        <v>10142.860128720422</v>
      </c>
      <c r="N754" s="5">
        <v>51261.622558090799</v>
      </c>
      <c r="O754" s="5">
        <v>13519.384207850644</v>
      </c>
      <c r="P754" s="5">
        <v>27820.721938889761</v>
      </c>
      <c r="Q754" s="5">
        <v>48756.323642664109</v>
      </c>
      <c r="R754" s="5">
        <v>39727.513802035661</v>
      </c>
    </row>
    <row r="755" spans="9:18">
      <c r="I755" s="4">
        <v>740</v>
      </c>
      <c r="J755" s="5">
        <v>16416.142496463777</v>
      </c>
      <c r="K755" s="5">
        <v>21958.925144875713</v>
      </c>
      <c r="L755" s="5">
        <v>16071.260291253868</v>
      </c>
      <c r="M755" s="5">
        <v>32497.510405113037</v>
      </c>
      <c r="N755" s="5">
        <v>22868.569282757788</v>
      </c>
      <c r="O755" s="5">
        <v>27503.656957929088</v>
      </c>
      <c r="P755" s="5">
        <v>10532.667493814919</v>
      </c>
      <c r="Q755" s="5">
        <v>73941.636731325911</v>
      </c>
      <c r="R755" s="5">
        <v>24722.972470599001</v>
      </c>
    </row>
    <row r="756" spans="9:18">
      <c r="I756" s="4">
        <v>741</v>
      </c>
      <c r="J756" s="5">
        <v>49463.324094345015</v>
      </c>
      <c r="K756" s="5">
        <v>43843.85059185313</v>
      </c>
      <c r="L756" s="5">
        <v>14811.370758813007</v>
      </c>
      <c r="M756" s="5">
        <v>15586.009710351766</v>
      </c>
      <c r="N756" s="5">
        <v>51261.622558090799</v>
      </c>
      <c r="O756" s="5">
        <v>9869.5889207969612</v>
      </c>
      <c r="P756" s="5">
        <v>25258.981945036445</v>
      </c>
      <c r="Q756" s="5">
        <v>31019.493883163672</v>
      </c>
      <c r="R756" s="5">
        <v>5865.9802599669383</v>
      </c>
    </row>
    <row r="757" spans="9:18">
      <c r="I757" s="4">
        <v>742</v>
      </c>
      <c r="J757" s="5">
        <v>16156.372629961115</v>
      </c>
      <c r="K757" s="5">
        <v>13652.224205833634</v>
      </c>
      <c r="L757" s="5">
        <v>15664.99858445921</v>
      </c>
      <c r="M757" s="5">
        <v>10111.451009425113</v>
      </c>
      <c r="N757" s="5">
        <v>9989.086510768735</v>
      </c>
      <c r="O757" s="5">
        <v>41653.890350944224</v>
      </c>
      <c r="P757" s="5">
        <v>12639.596794453437</v>
      </c>
      <c r="Q757" s="5">
        <v>31618.396253255491</v>
      </c>
      <c r="R757" s="5">
        <v>27349.63499959607</v>
      </c>
    </row>
    <row r="758" spans="9:18">
      <c r="I758" s="4">
        <v>743</v>
      </c>
      <c r="J758" s="5">
        <v>14594.990625703947</v>
      </c>
      <c r="K758" s="5">
        <v>15631.937142257386</v>
      </c>
      <c r="L758" s="5">
        <v>21954.536591034263</v>
      </c>
      <c r="M758" s="5">
        <v>11680.747299075838</v>
      </c>
      <c r="N758" s="5">
        <v>15251.140047572881</v>
      </c>
      <c r="O758" s="5">
        <v>30608.431994348266</v>
      </c>
      <c r="P758" s="5">
        <v>33500.490132682797</v>
      </c>
      <c r="Q758" s="5">
        <v>52545.991451361173</v>
      </c>
      <c r="R758" s="5">
        <v>31715.273557891396</v>
      </c>
    </row>
    <row r="759" spans="9:18">
      <c r="I759" s="4">
        <v>744</v>
      </c>
      <c r="J759" s="5">
        <v>19048.674633640545</v>
      </c>
      <c r="K759" s="5">
        <v>11507.182177474708</v>
      </c>
      <c r="L759" s="5">
        <v>16293.265064857471</v>
      </c>
      <c r="M759" s="5">
        <v>30785.663999045999</v>
      </c>
      <c r="N759" s="5">
        <v>8555.1229659096207</v>
      </c>
      <c r="O759" s="5">
        <v>16505.600261180331</v>
      </c>
      <c r="P759" s="5">
        <v>17737.38315098183</v>
      </c>
      <c r="Q759" s="5">
        <v>31902.904306425251</v>
      </c>
      <c r="R759" s="5">
        <v>41418.225609677866</v>
      </c>
    </row>
    <row r="760" spans="9:18">
      <c r="I760" s="4">
        <v>745</v>
      </c>
      <c r="J760" s="5">
        <v>12888.204629170894</v>
      </c>
      <c r="K760" s="5">
        <v>22732.797143159998</v>
      </c>
      <c r="L760" s="5">
        <v>16616.161224349555</v>
      </c>
      <c r="M760" s="5">
        <v>12619.198742021435</v>
      </c>
      <c r="N760" s="5">
        <v>28426.778914975595</v>
      </c>
      <c r="O760" s="5">
        <v>30656.031716467984</v>
      </c>
      <c r="P760" s="5">
        <v>29283.825979394511</v>
      </c>
      <c r="Q760" s="5">
        <v>28797.29222718185</v>
      </c>
      <c r="R760" s="5">
        <v>72640.340924600489</v>
      </c>
    </row>
    <row r="761" spans="9:18">
      <c r="I761" s="4">
        <v>746</v>
      </c>
      <c r="J761" s="5">
        <v>14710.037865351254</v>
      </c>
      <c r="K761" s="5">
        <v>29672.680843304515</v>
      </c>
      <c r="L761" s="5">
        <v>13417.453622029931</v>
      </c>
      <c r="M761" s="5">
        <v>20185.026038758231</v>
      </c>
      <c r="N761" s="5">
        <v>45581.602064432409</v>
      </c>
      <c r="O761" s="5">
        <v>55264.438774006347</v>
      </c>
      <c r="P761" s="5">
        <v>9633.1652908310007</v>
      </c>
      <c r="Q761" s="5">
        <v>71213.172792303565</v>
      </c>
      <c r="R761" s="5">
        <v>7879.038918914337</v>
      </c>
    </row>
    <row r="762" spans="9:18">
      <c r="I762" s="4">
        <v>747</v>
      </c>
      <c r="J762" s="5">
        <v>14750.660273177687</v>
      </c>
      <c r="K762" s="5">
        <v>14017.262946034314</v>
      </c>
      <c r="L762" s="5">
        <v>23760.785349782636</v>
      </c>
      <c r="M762" s="5">
        <v>22326.253555179093</v>
      </c>
      <c r="N762" s="5">
        <v>24769.339976495565</v>
      </c>
      <c r="O762" s="5">
        <v>28431.436490368542</v>
      </c>
      <c r="P762" s="5">
        <v>5836.7810663002319</v>
      </c>
      <c r="Q762" s="5">
        <v>28776.080424849053</v>
      </c>
      <c r="R762" s="5">
        <v>12194.45251033065</v>
      </c>
    </row>
    <row r="763" spans="9:18">
      <c r="I763" s="4">
        <v>748</v>
      </c>
      <c r="J763" s="5">
        <v>13391.049101507895</v>
      </c>
      <c r="K763" s="5">
        <v>13719.930466819731</v>
      </c>
      <c r="L763" s="5">
        <v>17073.17760523731</v>
      </c>
      <c r="M763" s="5">
        <v>16500.222621933419</v>
      </c>
      <c r="N763" s="5">
        <v>16148.901635865295</v>
      </c>
      <c r="O763" s="5">
        <v>9320.7026593487881</v>
      </c>
      <c r="P763" s="5">
        <v>9047.5556949992188</v>
      </c>
      <c r="Q763" s="5">
        <v>10151.908492905288</v>
      </c>
      <c r="R763" s="5">
        <v>87776.138236389699</v>
      </c>
    </row>
    <row r="764" spans="9:18">
      <c r="I764" s="4">
        <v>749</v>
      </c>
      <c r="J764" s="5">
        <v>16145.071869702888</v>
      </c>
      <c r="K764" s="5">
        <v>15347.101709242541</v>
      </c>
      <c r="L764" s="5">
        <v>20698.842353987733</v>
      </c>
      <c r="M764" s="5">
        <v>19097.39635881727</v>
      </c>
      <c r="N764" s="5">
        <v>14240.123545764454</v>
      </c>
      <c r="O764" s="5">
        <v>27062.73412298776</v>
      </c>
      <c r="P764" s="5">
        <v>9826.8369575407578</v>
      </c>
      <c r="Q764" s="5">
        <v>6386.5227360487288</v>
      </c>
      <c r="R764" s="5">
        <v>3989.7956692889929</v>
      </c>
    </row>
    <row r="765" spans="9:18">
      <c r="I765" s="4">
        <v>750</v>
      </c>
      <c r="J765" s="5">
        <v>14017.326487344162</v>
      </c>
      <c r="K765" s="5">
        <v>35705.595198125673</v>
      </c>
      <c r="L765" s="5">
        <v>17693.864646288712</v>
      </c>
      <c r="M765" s="5">
        <v>20788.503422877813</v>
      </c>
      <c r="N765" s="5">
        <v>13511.694619545402</v>
      </c>
      <c r="O765" s="5">
        <v>30608.431994348266</v>
      </c>
      <c r="P765" s="5">
        <v>3930.0915591834291</v>
      </c>
      <c r="Q765" s="5">
        <v>8880.8074399558282</v>
      </c>
      <c r="R765" s="5">
        <v>18720.450716365784</v>
      </c>
    </row>
    <row r="766" spans="9:18">
      <c r="I766" s="4">
        <v>751</v>
      </c>
      <c r="J766" s="5">
        <v>17592.832480262863</v>
      </c>
      <c r="K766" s="5">
        <v>15631.937142257386</v>
      </c>
      <c r="L766" s="5">
        <v>15746.942257105531</v>
      </c>
      <c r="M766" s="5">
        <v>13414.385151739983</v>
      </c>
      <c r="N766" s="5">
        <v>15786.177386596903</v>
      </c>
      <c r="O766" s="5">
        <v>19492.655596593511</v>
      </c>
      <c r="P766" s="5">
        <v>41657.50350099193</v>
      </c>
      <c r="Q766" s="5">
        <v>9645.8788061228515</v>
      </c>
      <c r="R766" s="5">
        <v>13258.538726001538</v>
      </c>
    </row>
    <row r="767" spans="9:18">
      <c r="I767" s="4">
        <v>752</v>
      </c>
      <c r="J767" s="5">
        <v>11036.461796239426</v>
      </c>
      <c r="K767" s="5">
        <v>35705.595198125673</v>
      </c>
      <c r="L767" s="5">
        <v>13037.115556745504</v>
      </c>
      <c r="M767" s="5">
        <v>29058.117767351498</v>
      </c>
      <c r="N767" s="5">
        <v>11788.341482962171</v>
      </c>
      <c r="O767" s="5">
        <v>20930.098352661731</v>
      </c>
      <c r="P767" s="5">
        <v>33715.790977629549</v>
      </c>
      <c r="Q767" s="5">
        <v>28567.61306643406</v>
      </c>
      <c r="R767" s="5">
        <v>65420.116221752483</v>
      </c>
    </row>
    <row r="768" spans="9:18">
      <c r="I768" s="4">
        <v>753</v>
      </c>
      <c r="J768" s="5">
        <v>13447.638004246244</v>
      </c>
      <c r="K768" s="5">
        <v>9769.3659785458403</v>
      </c>
      <c r="L768" s="5">
        <v>23561.450544884348</v>
      </c>
      <c r="M768" s="5">
        <v>23454.775510296178</v>
      </c>
      <c r="N768" s="5">
        <v>23583.581287126868</v>
      </c>
      <c r="O768" s="5">
        <v>27084.483614751469</v>
      </c>
      <c r="P768" s="5">
        <v>49519.098753410741</v>
      </c>
      <c r="Q768" s="5">
        <v>92068.726035424203</v>
      </c>
      <c r="R768" s="5">
        <v>84289.422255274636</v>
      </c>
    </row>
    <row r="769" spans="9:18">
      <c r="I769" s="4">
        <v>754</v>
      </c>
      <c r="J769" s="5">
        <v>20768.286261788198</v>
      </c>
      <c r="K769" s="5">
        <v>14587.813833513306</v>
      </c>
      <c r="L769" s="5">
        <v>15300.182042823812</v>
      </c>
      <c r="M769" s="5">
        <v>14660.631931099009</v>
      </c>
      <c r="N769" s="5">
        <v>39672.376281023731</v>
      </c>
      <c r="O769" s="5">
        <v>13966.178986479143</v>
      </c>
      <c r="P769" s="5">
        <v>16072.735485912413</v>
      </c>
      <c r="Q769" s="5">
        <v>18097.768262249352</v>
      </c>
      <c r="R769" s="5">
        <v>35232.418639121184</v>
      </c>
    </row>
    <row r="770" spans="9:18">
      <c r="I770" s="4">
        <v>755</v>
      </c>
      <c r="J770" s="5">
        <v>23517.429992060665</v>
      </c>
      <c r="K770" s="5">
        <v>32294.121255311245</v>
      </c>
      <c r="L770" s="5">
        <v>14610.165745300763</v>
      </c>
      <c r="M770" s="5">
        <v>32497.510405113037</v>
      </c>
      <c r="N770" s="5">
        <v>63974.903847153939</v>
      </c>
      <c r="O770" s="5">
        <v>16524.769946939996</v>
      </c>
      <c r="P770" s="5">
        <v>44816.412248582856</v>
      </c>
      <c r="Q770" s="5">
        <v>56069.347629295014</v>
      </c>
      <c r="R770" s="5">
        <v>34970.397641695177</v>
      </c>
    </row>
    <row r="771" spans="9:18">
      <c r="I771" s="4">
        <v>756</v>
      </c>
      <c r="J771" s="5">
        <v>45301.532027110363</v>
      </c>
      <c r="K771" s="5">
        <v>29672.680843304515</v>
      </c>
      <c r="L771" s="5">
        <v>27289.607394458035</v>
      </c>
      <c r="M771" s="5">
        <v>13011.820191946215</v>
      </c>
      <c r="N771" s="5">
        <v>23583.581287126868</v>
      </c>
      <c r="O771" s="5">
        <v>20991.103410982985</v>
      </c>
      <c r="P771" s="5">
        <v>106091.28270624072</v>
      </c>
      <c r="Q771" s="5">
        <v>14064.158297039334</v>
      </c>
      <c r="R771" s="5">
        <v>8130.5639219412278</v>
      </c>
    </row>
    <row r="772" spans="9:18">
      <c r="I772" s="4">
        <v>757</v>
      </c>
      <c r="J772" s="5">
        <v>11036.461796239426</v>
      </c>
      <c r="K772" s="5">
        <v>15428.770955406064</v>
      </c>
      <c r="L772" s="5">
        <v>15300.182042823812</v>
      </c>
      <c r="M772" s="5">
        <v>19151.339770278159</v>
      </c>
      <c r="N772" s="5">
        <v>15658.063692994532</v>
      </c>
      <c r="O772" s="5">
        <v>40304.23053285561</v>
      </c>
      <c r="P772" s="5">
        <v>13793.886507202402</v>
      </c>
      <c r="Q772" s="5">
        <v>44911.749632594299</v>
      </c>
      <c r="R772" s="5">
        <v>14051.647494499957</v>
      </c>
    </row>
    <row r="773" spans="9:18">
      <c r="I773" s="4">
        <v>758</v>
      </c>
      <c r="J773" s="5">
        <v>22370.105711697011</v>
      </c>
      <c r="K773" s="5">
        <v>15631.937142257386</v>
      </c>
      <c r="L773" s="5">
        <v>16106.634875163341</v>
      </c>
      <c r="M773" s="5">
        <v>23067.94260629595</v>
      </c>
      <c r="N773" s="5">
        <v>24314.043643333731</v>
      </c>
      <c r="O773" s="5">
        <v>11282.178219986479</v>
      </c>
      <c r="P773" s="5">
        <v>27452.975716953504</v>
      </c>
      <c r="Q773" s="5">
        <v>22483.395143121877</v>
      </c>
      <c r="R773" s="5">
        <v>12130.167062525341</v>
      </c>
    </row>
    <row r="774" spans="9:18">
      <c r="I774" s="4">
        <v>759</v>
      </c>
      <c r="J774" s="5">
        <v>16305.770155972396</v>
      </c>
      <c r="K774" s="5">
        <v>16199.334613834633</v>
      </c>
      <c r="L774" s="5">
        <v>17683.765335572589</v>
      </c>
      <c r="M774" s="5">
        <v>29058.117767351498</v>
      </c>
      <c r="N774" s="5">
        <v>13511.694619545402</v>
      </c>
      <c r="O774" s="5">
        <v>33720.545907536376</v>
      </c>
      <c r="P774" s="5">
        <v>9482.0186426688688</v>
      </c>
      <c r="Q774" s="5">
        <v>59134.059519022907</v>
      </c>
      <c r="R774" s="5">
        <v>89167.415757270224</v>
      </c>
    </row>
    <row r="775" spans="9:18">
      <c r="I775" s="4">
        <v>760</v>
      </c>
      <c r="J775" s="5">
        <v>9368.8270679249108</v>
      </c>
      <c r="K775" s="5">
        <v>11149.572204897504</v>
      </c>
      <c r="L775" s="5">
        <v>16777.996633299583</v>
      </c>
      <c r="M775" s="5">
        <v>21072.983263501868</v>
      </c>
      <c r="N775" s="5">
        <v>11251.634703629026</v>
      </c>
      <c r="O775" s="5">
        <v>30656.031716467984</v>
      </c>
      <c r="P775" s="5">
        <v>106091.28270624072</v>
      </c>
      <c r="Q775" s="5">
        <v>25156.033327562815</v>
      </c>
      <c r="R775" s="5">
        <v>6360.7905155660001</v>
      </c>
    </row>
    <row r="776" spans="9:18">
      <c r="I776" s="4">
        <v>761</v>
      </c>
      <c r="J776" s="5">
        <v>13447.638004246244</v>
      </c>
      <c r="K776" s="5">
        <v>14017.262946034314</v>
      </c>
      <c r="L776" s="5">
        <v>14796.875457021113</v>
      </c>
      <c r="M776" s="5">
        <v>18043.539897080744</v>
      </c>
      <c r="N776" s="5">
        <v>22010.718648995869</v>
      </c>
      <c r="O776" s="5">
        <v>27503.656957929088</v>
      </c>
      <c r="P776" s="5">
        <v>35569.894390728325</v>
      </c>
      <c r="Q776" s="5">
        <v>9652.8114206999071</v>
      </c>
      <c r="R776" s="5">
        <v>84289.422255274636</v>
      </c>
    </row>
    <row r="777" spans="9:18">
      <c r="I777" s="4">
        <v>762</v>
      </c>
      <c r="J777" s="5">
        <v>9368.8270679249108</v>
      </c>
      <c r="K777" s="5">
        <v>61827.107730316675</v>
      </c>
      <c r="L777" s="5">
        <v>14146.191653372813</v>
      </c>
      <c r="M777" s="5">
        <v>23908.621352410395</v>
      </c>
      <c r="N777" s="5">
        <v>15658.063692994532</v>
      </c>
      <c r="O777" s="5">
        <v>16826.763259351828</v>
      </c>
      <c r="P777" s="5">
        <v>8662.4232458952465</v>
      </c>
      <c r="Q777" s="5">
        <v>129470.11441833655</v>
      </c>
      <c r="R777" s="5">
        <v>55012.315589742022</v>
      </c>
    </row>
    <row r="778" spans="9:18">
      <c r="I778" s="4">
        <v>763</v>
      </c>
      <c r="J778" s="5">
        <v>20002.201347927807</v>
      </c>
      <c r="K778" s="5">
        <v>16199.334613834633</v>
      </c>
      <c r="L778" s="5">
        <v>17073.17760523731</v>
      </c>
      <c r="M778" s="5">
        <v>19795.661011456152</v>
      </c>
      <c r="N778" s="5">
        <v>14921.795973817481</v>
      </c>
      <c r="O778" s="5">
        <v>18637.945795127704</v>
      </c>
      <c r="P778" s="5">
        <v>22708.601480587709</v>
      </c>
      <c r="Q778" s="5">
        <v>16591.881190929333</v>
      </c>
      <c r="R778" s="5">
        <v>10885.018205103002</v>
      </c>
    </row>
    <row r="779" spans="9:18">
      <c r="I779" s="4">
        <v>764</v>
      </c>
      <c r="J779" s="5">
        <v>26634.853073396614</v>
      </c>
      <c r="K779" s="5">
        <v>11149.572204897504</v>
      </c>
      <c r="L779" s="5">
        <v>24256.352541181568</v>
      </c>
      <c r="M779" s="5">
        <v>24981.974172352908</v>
      </c>
      <c r="N779" s="5">
        <v>35826.921212852278</v>
      </c>
      <c r="O779" s="5">
        <v>10270.120415297655</v>
      </c>
      <c r="P779" s="5">
        <v>5836.7810663002319</v>
      </c>
      <c r="Q779" s="5">
        <v>42044.890065817184</v>
      </c>
      <c r="R779" s="5">
        <v>8720.6503563381029</v>
      </c>
    </row>
    <row r="780" spans="9:18">
      <c r="I780" s="4">
        <v>765</v>
      </c>
      <c r="J780" s="5">
        <v>16733.020222212988</v>
      </c>
      <c r="K780" s="5">
        <v>16674.541027260992</v>
      </c>
      <c r="L780" s="5">
        <v>18475.258050488967</v>
      </c>
      <c r="M780" s="5">
        <v>14432.283063351901</v>
      </c>
      <c r="N780" s="5">
        <v>20718.434293991453</v>
      </c>
      <c r="O780" s="5">
        <v>19430.912633256889</v>
      </c>
      <c r="P780" s="5">
        <v>3017.2887813579896</v>
      </c>
      <c r="Q780" s="5">
        <v>129470.11441833655</v>
      </c>
      <c r="R780" s="5">
        <v>13258.538726001538</v>
      </c>
    </row>
    <row r="781" spans="9:18">
      <c r="I781" s="4">
        <v>766</v>
      </c>
      <c r="J781" s="5">
        <v>14749.343145806102</v>
      </c>
      <c r="K781" s="5">
        <v>15428.770955406064</v>
      </c>
      <c r="L781" s="5">
        <v>14264.23790876064</v>
      </c>
      <c r="M781" s="5">
        <v>20041.623430301417</v>
      </c>
      <c r="N781" s="5">
        <v>39672.376281023731</v>
      </c>
      <c r="O781" s="5">
        <v>10369.402667058452</v>
      </c>
      <c r="P781" s="5">
        <v>16072.735485912413</v>
      </c>
      <c r="Q781" s="5">
        <v>56069.347629295014</v>
      </c>
      <c r="R781" s="5">
        <v>6360.7905155660001</v>
      </c>
    </row>
    <row r="782" spans="9:18">
      <c r="I782" s="4">
        <v>767</v>
      </c>
      <c r="J782" s="5">
        <v>17005.744061105343</v>
      </c>
      <c r="K782" s="5">
        <v>24728.095385476983</v>
      </c>
      <c r="L782" s="5">
        <v>18634.523182776735</v>
      </c>
      <c r="M782" s="5">
        <v>15202.972920708273</v>
      </c>
      <c r="N782" s="5">
        <v>23583.581287126868</v>
      </c>
      <c r="O782" s="5">
        <v>27062.73412298776</v>
      </c>
      <c r="P782" s="5">
        <v>55152.110177667731</v>
      </c>
      <c r="Q782" s="5">
        <v>47365.380972950254</v>
      </c>
      <c r="R782" s="5">
        <v>41418.225609677866</v>
      </c>
    </row>
    <row r="783" spans="9:18">
      <c r="I783" s="4">
        <v>768</v>
      </c>
      <c r="J783" s="5">
        <v>16166.107684907736</v>
      </c>
      <c r="K783" s="5">
        <v>21527.93129974293</v>
      </c>
      <c r="L783" s="5">
        <v>16071.260291253868</v>
      </c>
      <c r="M783" s="5">
        <v>21272.00214469912</v>
      </c>
      <c r="N783" s="5">
        <v>12523.573732460784</v>
      </c>
      <c r="O783" s="5">
        <v>16572.483389649329</v>
      </c>
      <c r="P783" s="5">
        <v>27708.613526855763</v>
      </c>
      <c r="Q783" s="5">
        <v>48756.323642664109</v>
      </c>
      <c r="R783" s="5">
        <v>2180.6148629084787</v>
      </c>
    </row>
    <row r="784" spans="9:18">
      <c r="I784" s="4">
        <v>769</v>
      </c>
      <c r="J784" s="5">
        <v>13595.404057849493</v>
      </c>
      <c r="K784" s="5">
        <v>11857.447519815871</v>
      </c>
      <c r="L784" s="5">
        <v>16071.260291253868</v>
      </c>
      <c r="M784" s="5">
        <v>36301.422888051464</v>
      </c>
      <c r="N784" s="5">
        <v>39406.658185292261</v>
      </c>
      <c r="O784" s="5">
        <v>25802.481365323994</v>
      </c>
      <c r="P784" s="5">
        <v>10180.109839011631</v>
      </c>
      <c r="Q784" s="5">
        <v>11928.872068442162</v>
      </c>
      <c r="R784" s="5">
        <v>12116.34255245842</v>
      </c>
    </row>
    <row r="785" spans="9:18">
      <c r="I785" s="4">
        <v>770</v>
      </c>
      <c r="J785" s="5">
        <v>14420.293087375476</v>
      </c>
      <c r="K785" s="5">
        <v>16665.1498926479</v>
      </c>
      <c r="L785" s="5">
        <v>15126.980926457318</v>
      </c>
      <c r="M785" s="5">
        <v>13616.35938654862</v>
      </c>
      <c r="N785" s="5">
        <v>12297.015342318469</v>
      </c>
      <c r="O785" s="5">
        <v>45451.954570113048</v>
      </c>
      <c r="P785" s="5">
        <v>55152.110177667731</v>
      </c>
      <c r="Q785" s="5">
        <v>64585.328088516922</v>
      </c>
      <c r="R785" s="5">
        <v>89167.415757270224</v>
      </c>
    </row>
    <row r="786" spans="9:18">
      <c r="I786" s="4">
        <v>771</v>
      </c>
      <c r="J786" s="5">
        <v>13447.638004246244</v>
      </c>
      <c r="K786" s="5">
        <v>14579.232378315752</v>
      </c>
      <c r="L786" s="5">
        <v>15161.007794371622</v>
      </c>
      <c r="M786" s="5">
        <v>31460.745851561904</v>
      </c>
      <c r="N786" s="5">
        <v>28426.778914975595</v>
      </c>
      <c r="O786" s="5">
        <v>16524.769946939996</v>
      </c>
      <c r="P786" s="5">
        <v>27452.975716953504</v>
      </c>
      <c r="Q786" s="5">
        <v>27789.973552634947</v>
      </c>
      <c r="R786" s="5">
        <v>33290.909836056817</v>
      </c>
    </row>
    <row r="787" spans="9:18">
      <c r="I787" s="4">
        <v>772</v>
      </c>
      <c r="J787" s="5">
        <v>13663.281817546009</v>
      </c>
      <c r="K787" s="5">
        <v>17495.743706488822</v>
      </c>
      <c r="L787" s="5">
        <v>25007.552172398639</v>
      </c>
      <c r="M787" s="5">
        <v>22326.253555179093</v>
      </c>
      <c r="N787" s="5">
        <v>22010.718648995869</v>
      </c>
      <c r="O787" s="5">
        <v>25644.588869829797</v>
      </c>
      <c r="P787" s="5">
        <v>9482.0186426688688</v>
      </c>
      <c r="Q787" s="5">
        <v>25156.033327562815</v>
      </c>
      <c r="R787" s="5">
        <v>182942.88598316166</v>
      </c>
    </row>
    <row r="788" spans="9:18">
      <c r="I788" s="4">
        <v>773</v>
      </c>
      <c r="J788" s="5">
        <v>14960.076233580705</v>
      </c>
      <c r="K788" s="5">
        <v>22732.797143159998</v>
      </c>
      <c r="L788" s="5">
        <v>19224.583269019437</v>
      </c>
      <c r="M788" s="5">
        <v>23913.435663027711</v>
      </c>
      <c r="N788" s="5">
        <v>20718.434293991453</v>
      </c>
      <c r="O788" s="5">
        <v>30656.031716467984</v>
      </c>
      <c r="P788" s="5">
        <v>10180.109839011631</v>
      </c>
      <c r="Q788" s="5">
        <v>28078.365156847896</v>
      </c>
      <c r="R788" s="5">
        <v>17991.870496434763</v>
      </c>
    </row>
    <row r="789" spans="9:18">
      <c r="I789" s="4">
        <v>774</v>
      </c>
      <c r="J789" s="5">
        <v>13841.207384998772</v>
      </c>
      <c r="K789" s="5">
        <v>13520.836427679104</v>
      </c>
      <c r="L789" s="5">
        <v>21954.536591034263</v>
      </c>
      <c r="M789" s="5">
        <v>24981.974172352908</v>
      </c>
      <c r="N789" s="5">
        <v>23283.854578052265</v>
      </c>
      <c r="O789" s="5">
        <v>53007.660727727191</v>
      </c>
      <c r="P789" s="5">
        <v>40377.463755170742</v>
      </c>
      <c r="Q789" s="5">
        <v>3272.4685014937832</v>
      </c>
      <c r="R789" s="5">
        <v>19133.693426869788</v>
      </c>
    </row>
    <row r="790" spans="9:18">
      <c r="I790" s="4">
        <v>775</v>
      </c>
      <c r="J790" s="5">
        <v>19121.054099180623</v>
      </c>
      <c r="K790" s="5">
        <v>11149.572204897504</v>
      </c>
      <c r="L790" s="5">
        <v>14649.721476864312</v>
      </c>
      <c r="M790" s="5">
        <v>37411.178129764201</v>
      </c>
      <c r="N790" s="5">
        <v>15251.140047572881</v>
      </c>
      <c r="O790" s="5">
        <v>13840.304699955392</v>
      </c>
      <c r="P790" s="5">
        <v>10180.109839011631</v>
      </c>
      <c r="Q790" s="5">
        <v>6386.5227360487288</v>
      </c>
      <c r="R790" s="5">
        <v>7394.6358885760465</v>
      </c>
    </row>
    <row r="791" spans="9:18">
      <c r="I791" s="4">
        <v>776</v>
      </c>
      <c r="J791" s="5">
        <v>13841.207384998772</v>
      </c>
      <c r="K791" s="5">
        <v>14854.898507619706</v>
      </c>
      <c r="L791" s="5">
        <v>16577.562442697115</v>
      </c>
      <c r="M791" s="5">
        <v>19262.243095117232</v>
      </c>
      <c r="N791" s="5">
        <v>24853.247795632611</v>
      </c>
      <c r="O791" s="5">
        <v>27195.510785031525</v>
      </c>
      <c r="P791" s="5">
        <v>20403.656304140692</v>
      </c>
      <c r="Q791" s="5">
        <v>8474.2603471579441</v>
      </c>
      <c r="R791" s="5">
        <v>51358.6267760993</v>
      </c>
    </row>
    <row r="792" spans="9:18">
      <c r="I792" s="4">
        <v>777</v>
      </c>
      <c r="J792" s="5">
        <v>33627.941293959229</v>
      </c>
      <c r="K792" s="5">
        <v>13719.930466819731</v>
      </c>
      <c r="L792" s="5">
        <v>17243.440968229323</v>
      </c>
      <c r="M792" s="5">
        <v>21072.983263501868</v>
      </c>
      <c r="N792" s="5">
        <v>15130.853682762778</v>
      </c>
      <c r="O792" s="5">
        <v>4231.3144655921506</v>
      </c>
      <c r="P792" s="5">
        <v>95486.196907583406</v>
      </c>
      <c r="Q792" s="5">
        <v>25156.033327562815</v>
      </c>
      <c r="R792" s="5">
        <v>12194.45251033065</v>
      </c>
    </row>
    <row r="793" spans="9:18">
      <c r="I793" s="4">
        <v>778</v>
      </c>
      <c r="J793" s="5">
        <v>12035.382213755307</v>
      </c>
      <c r="K793" s="5">
        <v>15391.837334808681</v>
      </c>
      <c r="L793" s="5">
        <v>16472.138192556791</v>
      </c>
      <c r="M793" s="5">
        <v>12987.517521908694</v>
      </c>
      <c r="N793" s="5">
        <v>35826.921212852278</v>
      </c>
      <c r="O793" s="5">
        <v>33720.545907536376</v>
      </c>
      <c r="P793" s="5">
        <v>9633.1652908310007</v>
      </c>
      <c r="Q793" s="5">
        <v>96632.959478514502</v>
      </c>
      <c r="R793" s="5">
        <v>26783.439354489365</v>
      </c>
    </row>
    <row r="794" spans="9:18">
      <c r="I794" s="4">
        <v>779</v>
      </c>
      <c r="J794" s="5">
        <v>34933.039312618188</v>
      </c>
      <c r="K794" s="5">
        <v>17495.743706488822</v>
      </c>
      <c r="L794" s="5">
        <v>14796.875457021113</v>
      </c>
      <c r="M794" s="5">
        <v>12735.841453044006</v>
      </c>
      <c r="N794" s="5">
        <v>21617.945168312468</v>
      </c>
      <c r="O794" s="5">
        <v>24422.445067017139</v>
      </c>
      <c r="P794" s="5">
        <v>13452.921824087563</v>
      </c>
      <c r="Q794" s="5">
        <v>37497.234505125656</v>
      </c>
      <c r="R794" s="5">
        <v>20236.767651156802</v>
      </c>
    </row>
    <row r="795" spans="9:18">
      <c r="I795" s="4">
        <v>780</v>
      </c>
      <c r="J795" s="5">
        <v>21150.169973104224</v>
      </c>
      <c r="K795" s="5">
        <v>34058.671324159091</v>
      </c>
      <c r="L795" s="5">
        <v>34748.877779456467</v>
      </c>
      <c r="M795" s="5">
        <v>25580.243606220469</v>
      </c>
      <c r="N795" s="5">
        <v>14240.123545764454</v>
      </c>
      <c r="O795" s="5">
        <v>35286.662852302201</v>
      </c>
      <c r="P795" s="5">
        <v>22601.57564624758</v>
      </c>
      <c r="Q795" s="5">
        <v>7457.1844090365566</v>
      </c>
      <c r="R795" s="5">
        <v>39727.513802035661</v>
      </c>
    </row>
    <row r="796" spans="9:18">
      <c r="I796" s="4">
        <v>781</v>
      </c>
      <c r="J796" s="5">
        <v>43272.831879770602</v>
      </c>
      <c r="K796" s="5">
        <v>11206.053243692098</v>
      </c>
      <c r="L796" s="5">
        <v>22018.381599979773</v>
      </c>
      <c r="M796" s="5">
        <v>26477.996319655329</v>
      </c>
      <c r="N796" s="5">
        <v>22868.569282757788</v>
      </c>
      <c r="O796" s="5">
        <v>10369.402667058452</v>
      </c>
      <c r="P796" s="5">
        <v>13793.886507202402</v>
      </c>
      <c r="Q796" s="5">
        <v>52545.991451361173</v>
      </c>
      <c r="R796" s="5">
        <v>9913.4206865238284</v>
      </c>
    </row>
    <row r="797" spans="9:18">
      <c r="I797" s="4">
        <v>782</v>
      </c>
      <c r="J797" s="5">
        <v>11036.461796239426</v>
      </c>
      <c r="K797" s="5">
        <v>14587.813833513306</v>
      </c>
      <c r="L797" s="5">
        <v>10896.494237357269</v>
      </c>
      <c r="M797" s="5">
        <v>21833.004790208965</v>
      </c>
      <c r="N797" s="5">
        <v>36962.805083900916</v>
      </c>
      <c r="O797" s="5">
        <v>16524.769946939996</v>
      </c>
      <c r="P797" s="5">
        <v>49519.098753410741</v>
      </c>
      <c r="Q797" s="5">
        <v>8832.660767995616</v>
      </c>
      <c r="R797" s="5">
        <v>39727.513802035661</v>
      </c>
    </row>
    <row r="798" spans="9:18">
      <c r="I798" s="4">
        <v>783</v>
      </c>
      <c r="J798" s="5">
        <v>16788.081681455456</v>
      </c>
      <c r="K798" s="5">
        <v>16199.334613834633</v>
      </c>
      <c r="L798" s="5">
        <v>17845.207337527903</v>
      </c>
      <c r="M798" s="5">
        <v>30785.663999045999</v>
      </c>
      <c r="N798" s="5">
        <v>17891.96347244953</v>
      </c>
      <c r="O798" s="5">
        <v>24422.445067017139</v>
      </c>
      <c r="P798" s="5">
        <v>44646.134934589521</v>
      </c>
      <c r="Q798" s="5">
        <v>11928.872068442162</v>
      </c>
      <c r="R798" s="5">
        <v>35232.418639121184</v>
      </c>
    </row>
    <row r="799" spans="9:18">
      <c r="I799" s="4">
        <v>784</v>
      </c>
      <c r="J799" s="5">
        <v>20768.286261788198</v>
      </c>
      <c r="K799" s="5">
        <v>15768.312122029349</v>
      </c>
      <c r="L799" s="5">
        <v>16472.138192556791</v>
      </c>
      <c r="M799" s="5">
        <v>13414.385151739983</v>
      </c>
      <c r="N799" s="5">
        <v>32184.535272543482</v>
      </c>
      <c r="O799" s="5">
        <v>94068.324736096256</v>
      </c>
      <c r="P799" s="5">
        <v>33715.790977629549</v>
      </c>
      <c r="Q799" s="5">
        <v>37073.980790337926</v>
      </c>
      <c r="R799" s="5">
        <v>29295.938844292672</v>
      </c>
    </row>
    <row r="800" spans="9:18">
      <c r="I800" s="4">
        <v>785</v>
      </c>
      <c r="J800" s="5">
        <v>9368.8270679249108</v>
      </c>
      <c r="K800" s="5">
        <v>16665.1498926479</v>
      </c>
      <c r="L800" s="5">
        <v>11827.803406885578</v>
      </c>
      <c r="M800" s="5">
        <v>7334.8610818348589</v>
      </c>
      <c r="N800" s="5">
        <v>15658.063692994532</v>
      </c>
      <c r="O800" s="5">
        <v>27084.483614751469</v>
      </c>
      <c r="P800" s="5">
        <v>54100.778483493887</v>
      </c>
      <c r="Q800" s="5">
        <v>52421.574537857021</v>
      </c>
      <c r="R800" s="5">
        <v>6360.7905155660001</v>
      </c>
    </row>
    <row r="801" spans="9:18">
      <c r="I801" s="4">
        <v>786</v>
      </c>
      <c r="J801" s="5">
        <v>15352.465904292809</v>
      </c>
      <c r="K801" s="5">
        <v>14587.813833513306</v>
      </c>
      <c r="L801" s="5">
        <v>16106.634875163341</v>
      </c>
      <c r="M801" s="5">
        <v>18177.175180585615</v>
      </c>
      <c r="N801" s="5">
        <v>48565.498233359976</v>
      </c>
      <c r="O801" s="5">
        <v>24247.516962783076</v>
      </c>
      <c r="P801" s="5">
        <v>26541.896041444568</v>
      </c>
      <c r="Q801" s="5">
        <v>28776.080424849053</v>
      </c>
      <c r="R801" s="5">
        <v>20303.08745527079</v>
      </c>
    </row>
    <row r="802" spans="9:18">
      <c r="I802" s="4">
        <v>787</v>
      </c>
      <c r="J802" s="5">
        <v>13663.281817546009</v>
      </c>
      <c r="K802" s="5">
        <v>35488.449387009874</v>
      </c>
      <c r="L802" s="5">
        <v>16017.890956041876</v>
      </c>
      <c r="M802" s="5">
        <v>42282.977640783138</v>
      </c>
      <c r="N802" s="5">
        <v>8104.6265149430556</v>
      </c>
      <c r="O802" s="5">
        <v>41653.890350944224</v>
      </c>
      <c r="P802" s="5">
        <v>27820.721938889761</v>
      </c>
      <c r="Q802" s="5">
        <v>37101.531383212743</v>
      </c>
      <c r="R802" s="5">
        <v>7118.1729476780347</v>
      </c>
    </row>
    <row r="803" spans="9:18">
      <c r="I803" s="4">
        <v>788</v>
      </c>
      <c r="J803" s="5">
        <v>22370.105711697011</v>
      </c>
      <c r="K803" s="5">
        <v>32294.121255311245</v>
      </c>
      <c r="L803" s="5">
        <v>14811.370758813007</v>
      </c>
      <c r="M803" s="5">
        <v>9623.0342442006167</v>
      </c>
      <c r="N803" s="5">
        <v>21909.120225822895</v>
      </c>
      <c r="O803" s="5">
        <v>67717.30633712461</v>
      </c>
      <c r="P803" s="5">
        <v>40377.463755170742</v>
      </c>
      <c r="Q803" s="5">
        <v>29432.473148002948</v>
      </c>
      <c r="R803" s="5">
        <v>86510.608303273053</v>
      </c>
    </row>
    <row r="804" spans="9:18">
      <c r="I804" s="4">
        <v>789</v>
      </c>
      <c r="J804" s="5">
        <v>19048.674633640545</v>
      </c>
      <c r="K804" s="5">
        <v>10931.803935361211</v>
      </c>
      <c r="L804" s="5">
        <v>34748.877779456467</v>
      </c>
      <c r="M804" s="5">
        <v>19433.64679949253</v>
      </c>
      <c r="N804" s="5">
        <v>23583.581287126868</v>
      </c>
      <c r="O804" s="5">
        <v>25644.588869829797</v>
      </c>
      <c r="P804" s="5">
        <v>5836.7810663002319</v>
      </c>
      <c r="Q804" s="5">
        <v>19315.033835554255</v>
      </c>
      <c r="R804" s="5">
        <v>18230.645544621442</v>
      </c>
    </row>
    <row r="805" spans="9:18">
      <c r="I805" s="4">
        <v>790</v>
      </c>
      <c r="J805" s="5">
        <v>12056.41843703942</v>
      </c>
      <c r="K805" s="5">
        <v>8223.1266007477425</v>
      </c>
      <c r="L805" s="5">
        <v>10752.183901283248</v>
      </c>
      <c r="M805" s="5">
        <v>41403.687663920646</v>
      </c>
      <c r="N805" s="5">
        <v>9563.1256545330361</v>
      </c>
      <c r="O805" s="5">
        <v>59207.798737851255</v>
      </c>
      <c r="P805" s="5">
        <v>44816.412248582856</v>
      </c>
      <c r="Q805" s="5">
        <v>18097.768262249352</v>
      </c>
      <c r="R805" s="5">
        <v>8105.1944146993656</v>
      </c>
    </row>
    <row r="806" spans="9:18">
      <c r="I806" s="4">
        <v>791</v>
      </c>
      <c r="J806" s="5">
        <v>11936.262457073821</v>
      </c>
      <c r="K806" s="5">
        <v>9769.3659785458403</v>
      </c>
      <c r="L806" s="5">
        <v>13417.453622029931</v>
      </c>
      <c r="M806" s="5">
        <v>32751.734100446065</v>
      </c>
      <c r="N806" s="5">
        <v>39672.376281023731</v>
      </c>
      <c r="O806" s="5">
        <v>30608.431994348266</v>
      </c>
      <c r="P806" s="5">
        <v>9047.5556949992188</v>
      </c>
      <c r="Q806" s="5">
        <v>18097.768262249352</v>
      </c>
      <c r="R806" s="5">
        <v>19133.693426869788</v>
      </c>
    </row>
    <row r="807" spans="9:18">
      <c r="I807" s="4">
        <v>792</v>
      </c>
      <c r="J807" s="5">
        <v>14538.277247583976</v>
      </c>
      <c r="K807" s="5">
        <v>31910.762633549082</v>
      </c>
      <c r="L807" s="5">
        <v>17693.864646288712</v>
      </c>
      <c r="M807" s="5">
        <v>13414.385151739983</v>
      </c>
      <c r="N807" s="5">
        <v>24853.247795632611</v>
      </c>
      <c r="O807" s="5">
        <v>77417.02098927302</v>
      </c>
      <c r="P807" s="5">
        <v>16072.735485912413</v>
      </c>
      <c r="Q807" s="5">
        <v>30266.563414010914</v>
      </c>
      <c r="R807" s="5">
        <v>7879.038918914337</v>
      </c>
    </row>
    <row r="808" spans="9:18">
      <c r="I808" s="4">
        <v>793</v>
      </c>
      <c r="J808" s="5">
        <v>14076.209333698853</v>
      </c>
      <c r="K808" s="5">
        <v>61827.107730316675</v>
      </c>
      <c r="L808" s="5">
        <v>27144.958215276103</v>
      </c>
      <c r="M808" s="5">
        <v>21913.431401527439</v>
      </c>
      <c r="N808" s="5">
        <v>11788.341482962171</v>
      </c>
      <c r="O808" s="5">
        <v>24258.192244316608</v>
      </c>
      <c r="P808" s="5">
        <v>28537.545734403488</v>
      </c>
      <c r="Q808" s="5">
        <v>30495.121067047665</v>
      </c>
      <c r="R808" s="5">
        <v>216919.53009911609</v>
      </c>
    </row>
    <row r="809" spans="9:18">
      <c r="I809" s="4">
        <v>794</v>
      </c>
      <c r="J809" s="5">
        <v>21888.821432026474</v>
      </c>
      <c r="K809" s="5">
        <v>13559.080695844099</v>
      </c>
      <c r="L809" s="5">
        <v>18634.523182776735</v>
      </c>
      <c r="M809" s="5">
        <v>15586.009710351766</v>
      </c>
      <c r="N809" s="5">
        <v>9209.4418830788036</v>
      </c>
      <c r="O809" s="5">
        <v>77417.02098927302</v>
      </c>
      <c r="P809" s="5">
        <v>106091.28270624072</v>
      </c>
      <c r="Q809" s="5">
        <v>31019.493883163672</v>
      </c>
      <c r="R809" s="5">
        <v>26783.439354489365</v>
      </c>
    </row>
    <row r="810" spans="9:18">
      <c r="I810" s="4">
        <v>795</v>
      </c>
      <c r="J810" s="5">
        <v>22370.105711697011</v>
      </c>
      <c r="K810" s="5">
        <v>9769.3659785458403</v>
      </c>
      <c r="L810" s="5">
        <v>23760.785349782636</v>
      </c>
      <c r="M810" s="5">
        <v>15586.009710351766</v>
      </c>
      <c r="N810" s="5">
        <v>6130.3882288404347</v>
      </c>
      <c r="O810" s="5">
        <v>20930.098352661731</v>
      </c>
      <c r="P810" s="5">
        <v>38771.994792132391</v>
      </c>
      <c r="Q810" s="5">
        <v>129470.11441833655</v>
      </c>
      <c r="R810" s="5">
        <v>81423.874800517297</v>
      </c>
    </row>
    <row r="811" spans="9:18">
      <c r="I811" s="4">
        <v>796</v>
      </c>
      <c r="J811" s="5">
        <v>16145.071869702888</v>
      </c>
      <c r="K811" s="5">
        <v>23327.217259521742</v>
      </c>
      <c r="L811" s="5">
        <v>25007.552172398639</v>
      </c>
      <c r="M811" s="5">
        <v>10142.860128720422</v>
      </c>
      <c r="N811" s="5">
        <v>24314.043643333731</v>
      </c>
      <c r="O811" s="5">
        <v>8801.3667015774663</v>
      </c>
      <c r="P811" s="5">
        <v>44816.412248582856</v>
      </c>
      <c r="Q811" s="5">
        <v>43417.41805414496</v>
      </c>
      <c r="R811" s="5">
        <v>2180.6148629084787</v>
      </c>
    </row>
    <row r="812" spans="9:18">
      <c r="I812" s="4">
        <v>797</v>
      </c>
      <c r="J812" s="5">
        <v>20002.201347927807</v>
      </c>
      <c r="K812" s="5">
        <v>15782.544184844044</v>
      </c>
      <c r="L812" s="5">
        <v>20698.842353987733</v>
      </c>
      <c r="M812" s="5">
        <v>30830.81083227017</v>
      </c>
      <c r="N812" s="5">
        <v>11788.341482962171</v>
      </c>
      <c r="O812" s="5">
        <v>79848.944504816522</v>
      </c>
      <c r="P812" s="5">
        <v>9811.9720599964548</v>
      </c>
      <c r="Q812" s="5">
        <v>3909.239690544402</v>
      </c>
      <c r="R812" s="5">
        <v>55106.806585409526</v>
      </c>
    </row>
    <row r="813" spans="9:18">
      <c r="I813" s="4">
        <v>798</v>
      </c>
      <c r="J813" s="5">
        <v>31559.699247539775</v>
      </c>
      <c r="K813" s="5">
        <v>13520.836427679104</v>
      </c>
      <c r="L813" s="5">
        <v>25007.552172398639</v>
      </c>
      <c r="M813" s="5">
        <v>12735.841453044006</v>
      </c>
      <c r="N813" s="5">
        <v>8104.6265149430556</v>
      </c>
      <c r="O813" s="5">
        <v>13613.378495715853</v>
      </c>
      <c r="P813" s="5">
        <v>55152.110177667731</v>
      </c>
      <c r="Q813" s="5">
        <v>42044.890065817184</v>
      </c>
      <c r="R813" s="5">
        <v>6360.7905155660001</v>
      </c>
    </row>
    <row r="814" spans="9:18">
      <c r="I814" s="4">
        <v>799</v>
      </c>
      <c r="J814" s="5">
        <v>14671.176405938595</v>
      </c>
      <c r="K814" s="5">
        <v>29672.680843304515</v>
      </c>
      <c r="L814" s="5">
        <v>16577.562442697115</v>
      </c>
      <c r="M814" s="5">
        <v>12619.198742021435</v>
      </c>
      <c r="N814" s="5">
        <v>34295.124147811541</v>
      </c>
      <c r="O814" s="5">
        <v>42492.261063288854</v>
      </c>
      <c r="P814" s="5">
        <v>9047.5556949992188</v>
      </c>
      <c r="Q814" s="5">
        <v>19541.409060825732</v>
      </c>
      <c r="R814" s="5">
        <v>13258.538726001538</v>
      </c>
    </row>
    <row r="815" spans="9:18">
      <c r="I815" s="4">
        <v>800</v>
      </c>
      <c r="J815" s="5">
        <v>14017.326487344162</v>
      </c>
      <c r="K815" s="5">
        <v>15698.764831033119</v>
      </c>
      <c r="L815" s="5">
        <v>15764.107424863063</v>
      </c>
      <c r="M815" s="5">
        <v>22815.60259636537</v>
      </c>
      <c r="N815" s="5">
        <v>16148.901635865295</v>
      </c>
      <c r="O815" s="5">
        <v>67717.30633712461</v>
      </c>
      <c r="P815" s="5">
        <v>9047.5556949992188</v>
      </c>
      <c r="Q815" s="5">
        <v>37073.980790337926</v>
      </c>
      <c r="R815" s="5">
        <v>5865.9802599669383</v>
      </c>
    </row>
    <row r="816" spans="9:18">
      <c r="I816" s="4">
        <v>801</v>
      </c>
      <c r="J816" s="5">
        <v>11116.191595722205</v>
      </c>
      <c r="K816" s="5">
        <v>16273.14570113692</v>
      </c>
      <c r="L816" s="5">
        <v>19189.275558866306</v>
      </c>
      <c r="M816" s="5">
        <v>19042.78605337895</v>
      </c>
      <c r="N816" s="5">
        <v>59876.136849941562</v>
      </c>
      <c r="O816" s="5">
        <v>16462.170789592048</v>
      </c>
      <c r="P816" s="5">
        <v>24349.301972630979</v>
      </c>
      <c r="Q816" s="5">
        <v>71213.172792303565</v>
      </c>
      <c r="R816" s="5">
        <v>31715.273557891396</v>
      </c>
    </row>
    <row r="817" spans="9:18">
      <c r="I817" s="4">
        <v>802</v>
      </c>
      <c r="J817" s="5">
        <v>13595.404057849493</v>
      </c>
      <c r="K817" s="5">
        <v>16605.655749562578</v>
      </c>
      <c r="L817" s="5">
        <v>15161.007794371622</v>
      </c>
      <c r="M817" s="5">
        <v>20229.919588372999</v>
      </c>
      <c r="N817" s="5">
        <v>37309.151967087455</v>
      </c>
      <c r="O817" s="5">
        <v>6199.3195463515376</v>
      </c>
      <c r="P817" s="5">
        <v>39054.462981000084</v>
      </c>
      <c r="Q817" s="5">
        <v>9454.5906023793759</v>
      </c>
      <c r="R817" s="5">
        <v>12194.45251033065</v>
      </c>
    </row>
    <row r="818" spans="9:18">
      <c r="I818" s="4">
        <v>803</v>
      </c>
      <c r="J818" s="5">
        <v>18650.249281571734</v>
      </c>
      <c r="K818" s="5">
        <v>14017.262946034314</v>
      </c>
      <c r="L818" s="5">
        <v>15487.970507365942</v>
      </c>
      <c r="M818" s="5">
        <v>14660.631931099009</v>
      </c>
      <c r="N818" s="5">
        <v>25549.748582175915</v>
      </c>
      <c r="O818" s="5">
        <v>40581.847217937895</v>
      </c>
      <c r="P818" s="5">
        <v>54923.423457863879</v>
      </c>
      <c r="Q818" s="5">
        <v>35525.432376048877</v>
      </c>
      <c r="R818" s="5">
        <v>86510.608303273053</v>
      </c>
    </row>
    <row r="819" spans="9:18">
      <c r="I819" s="4">
        <v>804</v>
      </c>
      <c r="J819" s="5">
        <v>15064.079707240266</v>
      </c>
      <c r="K819" s="5">
        <v>13559.080695844099</v>
      </c>
      <c r="L819" s="5">
        <v>15923.549351835489</v>
      </c>
      <c r="M819" s="5">
        <v>18879.640760542785</v>
      </c>
      <c r="N819" s="5">
        <v>11788.341482962171</v>
      </c>
      <c r="O819" s="5">
        <v>16524.769946939996</v>
      </c>
      <c r="P819" s="5">
        <v>23769.190223735484</v>
      </c>
      <c r="Q819" s="5">
        <v>7349.2234634219121</v>
      </c>
      <c r="R819" s="5">
        <v>10885.018205103002</v>
      </c>
    </row>
    <row r="820" spans="9:18">
      <c r="I820" s="4">
        <v>805</v>
      </c>
      <c r="J820" s="5">
        <v>27392.038553726634</v>
      </c>
      <c r="K820" s="5">
        <v>21187.174639714212</v>
      </c>
      <c r="L820" s="5">
        <v>19078.910217042379</v>
      </c>
      <c r="M820" s="5">
        <v>13022.686998540772</v>
      </c>
      <c r="N820" s="5">
        <v>12297.015342318469</v>
      </c>
      <c r="O820" s="5">
        <v>49114.195066822271</v>
      </c>
      <c r="P820" s="5">
        <v>17996.895987204196</v>
      </c>
      <c r="Q820" s="5">
        <v>37802.358878968138</v>
      </c>
      <c r="R820" s="5">
        <v>41056.152565483346</v>
      </c>
    </row>
    <row r="821" spans="9:18">
      <c r="I821" s="4">
        <v>806</v>
      </c>
      <c r="J821" s="5">
        <v>16733.020222212988</v>
      </c>
      <c r="K821" s="5">
        <v>15391.837334808681</v>
      </c>
      <c r="L821" s="5">
        <v>13358.459356674217</v>
      </c>
      <c r="M821" s="5">
        <v>19433.64679949253</v>
      </c>
      <c r="N821" s="5">
        <v>17214.078970533748</v>
      </c>
      <c r="O821" s="5">
        <v>53007.660727727191</v>
      </c>
      <c r="P821" s="5">
        <v>14773.185437294762</v>
      </c>
      <c r="Q821" s="5">
        <v>21421.044775857536</v>
      </c>
      <c r="R821" s="5">
        <v>65420.116221752483</v>
      </c>
    </row>
    <row r="822" spans="9:18">
      <c r="I822" s="4">
        <v>807</v>
      </c>
      <c r="J822" s="5">
        <v>20002.201347927807</v>
      </c>
      <c r="K822" s="5">
        <v>11507.182177474708</v>
      </c>
      <c r="L822" s="5">
        <v>15126.980926457318</v>
      </c>
      <c r="M822" s="5">
        <v>23913.435663027711</v>
      </c>
      <c r="N822" s="5">
        <v>11788.341482962171</v>
      </c>
      <c r="O822" s="5">
        <v>12110.196126281628</v>
      </c>
      <c r="P822" s="5">
        <v>9633.1652908310007</v>
      </c>
      <c r="Q822" s="5">
        <v>27018.509959127641</v>
      </c>
      <c r="R822" s="5">
        <v>182942.88598316166</v>
      </c>
    </row>
    <row r="823" spans="9:18">
      <c r="I823" s="4">
        <v>808</v>
      </c>
      <c r="J823" s="5">
        <v>16145.071869702888</v>
      </c>
      <c r="K823" s="5">
        <v>14351.415257675473</v>
      </c>
      <c r="L823" s="5">
        <v>16071.478531535273</v>
      </c>
      <c r="M823" s="5">
        <v>6367.5407465007311</v>
      </c>
      <c r="N823" s="5">
        <v>8555.1229659096207</v>
      </c>
      <c r="O823" s="5">
        <v>59207.798737851255</v>
      </c>
      <c r="P823" s="5">
        <v>77603.711720266961</v>
      </c>
      <c r="Q823" s="5">
        <v>31019.493883163672</v>
      </c>
      <c r="R823" s="5">
        <v>3311.4906988006405</v>
      </c>
    </row>
    <row r="824" spans="9:18">
      <c r="I824" s="4">
        <v>809</v>
      </c>
      <c r="J824" s="5">
        <v>22812.564910649318</v>
      </c>
      <c r="K824" s="5">
        <v>8223.1266007477425</v>
      </c>
      <c r="L824" s="5">
        <v>14264.23790876064</v>
      </c>
      <c r="M824" s="5">
        <v>10451.914120098167</v>
      </c>
      <c r="N824" s="5">
        <v>26152.705108198839</v>
      </c>
      <c r="O824" s="5">
        <v>11282.178219986479</v>
      </c>
      <c r="P824" s="5">
        <v>17996.895987204196</v>
      </c>
      <c r="Q824" s="5">
        <v>31902.904306425251</v>
      </c>
      <c r="R824" s="5">
        <v>89167.415757270224</v>
      </c>
    </row>
    <row r="825" spans="9:18">
      <c r="I825" s="4">
        <v>810</v>
      </c>
      <c r="J825" s="5">
        <v>13045.114546182727</v>
      </c>
      <c r="K825" s="5">
        <v>19467.955014411935</v>
      </c>
      <c r="L825" s="5">
        <v>17920.486090689363</v>
      </c>
      <c r="M825" s="5">
        <v>14660.631931099009</v>
      </c>
      <c r="N825" s="5">
        <v>23583.581287126868</v>
      </c>
      <c r="O825" s="5">
        <v>20489.622805425737</v>
      </c>
      <c r="P825" s="5">
        <v>9482.0186426688688</v>
      </c>
      <c r="Q825" s="5">
        <v>96632.959478514502</v>
      </c>
      <c r="R825" s="5">
        <v>81423.874800517297</v>
      </c>
    </row>
    <row r="826" spans="9:18">
      <c r="I826" s="4">
        <v>811</v>
      </c>
      <c r="J826" s="5">
        <v>31559.699247539775</v>
      </c>
      <c r="K826" s="5">
        <v>13288.692555879701</v>
      </c>
      <c r="L826" s="5">
        <v>19189.275558866306</v>
      </c>
      <c r="M826" s="5">
        <v>14432.283063351901</v>
      </c>
      <c r="N826" s="5">
        <v>9563.1256545330361</v>
      </c>
      <c r="O826" s="5">
        <v>35286.662852302201</v>
      </c>
      <c r="P826" s="5">
        <v>6275.8915673055426</v>
      </c>
      <c r="Q826" s="5">
        <v>31019.493883163672</v>
      </c>
      <c r="R826" s="5">
        <v>40368.364083205248</v>
      </c>
    </row>
    <row r="827" spans="9:18">
      <c r="I827" s="4">
        <v>812</v>
      </c>
      <c r="J827" s="5">
        <v>16145.071869702888</v>
      </c>
      <c r="K827" s="5">
        <v>8223.1266007477425</v>
      </c>
      <c r="L827" s="5">
        <v>14344.859750762502</v>
      </c>
      <c r="M827" s="5">
        <v>13065.820809359835</v>
      </c>
      <c r="N827" s="5">
        <v>20583.564383988036</v>
      </c>
      <c r="O827" s="5">
        <v>19430.912633256889</v>
      </c>
      <c r="P827" s="5">
        <v>29283.825979394511</v>
      </c>
      <c r="Q827" s="5">
        <v>31974.553851773013</v>
      </c>
      <c r="R827" s="5">
        <v>39263.770877572199</v>
      </c>
    </row>
    <row r="828" spans="9:18">
      <c r="I828" s="4">
        <v>813</v>
      </c>
      <c r="J828" s="5">
        <v>15623.733864199699</v>
      </c>
      <c r="K828" s="5">
        <v>14351.415257675473</v>
      </c>
      <c r="L828" s="5">
        <v>15300.182042823812</v>
      </c>
      <c r="M828" s="5">
        <v>36301.422888051464</v>
      </c>
      <c r="N828" s="5">
        <v>63974.903847153939</v>
      </c>
      <c r="O828" s="5">
        <v>21930.527973988665</v>
      </c>
      <c r="P828" s="5">
        <v>16650.229067545235</v>
      </c>
      <c r="Q828" s="5">
        <v>148345.62878828164</v>
      </c>
      <c r="R828" s="5">
        <v>30571.564004538617</v>
      </c>
    </row>
    <row r="829" spans="9:18">
      <c r="I829" s="4">
        <v>814</v>
      </c>
      <c r="J829" s="5">
        <v>11843.28062342474</v>
      </c>
      <c r="K829" s="5">
        <v>15428.770955406064</v>
      </c>
      <c r="L829" s="5">
        <v>25007.552172398639</v>
      </c>
      <c r="M829" s="5">
        <v>23449.501569180404</v>
      </c>
      <c r="N829" s="5">
        <v>45581.602064432409</v>
      </c>
      <c r="O829" s="5">
        <v>16524.769946939996</v>
      </c>
      <c r="P829" s="5">
        <v>20403.656304140692</v>
      </c>
      <c r="Q829" s="5">
        <v>22895.455950885695</v>
      </c>
      <c r="R829" s="5">
        <v>3433.6677391851467</v>
      </c>
    </row>
    <row r="830" spans="9:18">
      <c r="I830" s="4">
        <v>815</v>
      </c>
      <c r="J830" s="5">
        <v>16511.332839561353</v>
      </c>
      <c r="K830" s="5">
        <v>21218.439146892688</v>
      </c>
      <c r="L830" s="5">
        <v>15664.99858445921</v>
      </c>
      <c r="M830" s="5">
        <v>9623.0342442006167</v>
      </c>
      <c r="N830" s="5">
        <v>11952.903761138405</v>
      </c>
      <c r="O830" s="5">
        <v>13550.031670770122</v>
      </c>
      <c r="P830" s="5">
        <v>3831.1492650071077</v>
      </c>
      <c r="Q830" s="5">
        <v>35525.432376048877</v>
      </c>
      <c r="R830" s="5">
        <v>33863.04333215439</v>
      </c>
    </row>
    <row r="831" spans="9:18">
      <c r="I831" s="4">
        <v>816</v>
      </c>
      <c r="J831" s="5">
        <v>8580.4413740966302</v>
      </c>
      <c r="K831" s="5">
        <v>13288.692555879701</v>
      </c>
      <c r="L831" s="5">
        <v>14042.41908879921</v>
      </c>
      <c r="M831" s="5">
        <v>20185.026038758231</v>
      </c>
      <c r="N831" s="5">
        <v>28426.778914975595</v>
      </c>
      <c r="O831" s="5">
        <v>66253.993323243907</v>
      </c>
      <c r="P831" s="5">
        <v>32155.527541400057</v>
      </c>
      <c r="Q831" s="5">
        <v>37802.358878968138</v>
      </c>
      <c r="R831" s="5">
        <v>8130.5639219412278</v>
      </c>
    </row>
    <row r="832" spans="9:18">
      <c r="I832" s="4">
        <v>817</v>
      </c>
      <c r="J832" s="5">
        <v>13663.281817546009</v>
      </c>
      <c r="K832" s="5">
        <v>21527.93129974293</v>
      </c>
      <c r="L832" s="5">
        <v>22412.045018675239</v>
      </c>
      <c r="M832" s="5">
        <v>15346.383801976139</v>
      </c>
      <c r="N832" s="5">
        <v>11788.341482962171</v>
      </c>
      <c r="O832" s="5">
        <v>41653.890350944224</v>
      </c>
      <c r="P832" s="5">
        <v>33500.490132682797</v>
      </c>
      <c r="Q832" s="5">
        <v>30266.563414010914</v>
      </c>
      <c r="R832" s="5">
        <v>41056.152565483346</v>
      </c>
    </row>
    <row r="833" spans="9:18">
      <c r="I833" s="4">
        <v>818</v>
      </c>
      <c r="J833" s="5">
        <v>21888.821432026474</v>
      </c>
      <c r="K833" s="5">
        <v>16952.949313901812</v>
      </c>
      <c r="L833" s="5">
        <v>16014.071850041886</v>
      </c>
      <c r="M833" s="5">
        <v>33862.836621974391</v>
      </c>
      <c r="N833" s="5">
        <v>11952.903761138405</v>
      </c>
      <c r="O833" s="5">
        <v>53028.643350899503</v>
      </c>
      <c r="P833" s="5">
        <v>45161.732159568586</v>
      </c>
      <c r="Q833" s="5">
        <v>11928.872068442162</v>
      </c>
      <c r="R833" s="5">
        <v>87776.138236389699</v>
      </c>
    </row>
    <row r="834" spans="9:18">
      <c r="I834" s="4">
        <v>819</v>
      </c>
      <c r="J834" s="5">
        <v>14594.990625703947</v>
      </c>
      <c r="K834" s="5">
        <v>23934.551191616061</v>
      </c>
      <c r="L834" s="5">
        <v>15471.738323660695</v>
      </c>
      <c r="M834" s="5">
        <v>16500.222621933419</v>
      </c>
      <c r="N834" s="5">
        <v>40377.252444397986</v>
      </c>
      <c r="O834" s="5">
        <v>20721.57544042755</v>
      </c>
      <c r="P834" s="5">
        <v>35213.322626437533</v>
      </c>
      <c r="Q834" s="5">
        <v>31855.809428519857</v>
      </c>
      <c r="R834" s="5">
        <v>31715.273557891396</v>
      </c>
    </row>
    <row r="835" spans="9:18">
      <c r="I835" s="4">
        <v>820</v>
      </c>
      <c r="J835" s="5">
        <v>15417.870921574262</v>
      </c>
      <c r="K835" s="5">
        <v>15391.837334808681</v>
      </c>
      <c r="L835" s="5">
        <v>15060.431658965737</v>
      </c>
      <c r="M835" s="5">
        <v>23449.501569180404</v>
      </c>
      <c r="N835" s="5">
        <v>26565.664379767408</v>
      </c>
      <c r="O835" s="5">
        <v>9320.7026593487881</v>
      </c>
      <c r="P835" s="5">
        <v>20403.656304140692</v>
      </c>
      <c r="Q835" s="5">
        <v>43417.41805414496</v>
      </c>
      <c r="R835" s="5">
        <v>18230.645544621442</v>
      </c>
    </row>
    <row r="836" spans="9:18">
      <c r="I836" s="4">
        <v>821</v>
      </c>
      <c r="J836" s="5">
        <v>14710.037865351254</v>
      </c>
      <c r="K836" s="5">
        <v>8223.1266007477425</v>
      </c>
      <c r="L836" s="5">
        <v>22162.138529251199</v>
      </c>
      <c r="M836" s="5">
        <v>15346.383801976139</v>
      </c>
      <c r="N836" s="5">
        <v>18367.429489032103</v>
      </c>
      <c r="O836" s="5">
        <v>13840.304699955392</v>
      </c>
      <c r="P836" s="5">
        <v>24349.301972630979</v>
      </c>
      <c r="Q836" s="5">
        <v>73941.636731325911</v>
      </c>
      <c r="R836" s="5">
        <v>93933.045103013996</v>
      </c>
    </row>
    <row r="837" spans="9:18">
      <c r="I837" s="4">
        <v>822</v>
      </c>
      <c r="J837" s="5">
        <v>15081.728672246438</v>
      </c>
      <c r="K837" s="5">
        <v>14674.169276244838</v>
      </c>
      <c r="L837" s="5">
        <v>15471.738323660695</v>
      </c>
      <c r="M837" s="5">
        <v>41403.687663920646</v>
      </c>
      <c r="N837" s="5">
        <v>22511.351424689696</v>
      </c>
      <c r="O837" s="5">
        <v>12110.196126281628</v>
      </c>
      <c r="P837" s="5">
        <v>55152.110177667731</v>
      </c>
      <c r="Q837" s="5">
        <v>7349.2234634219121</v>
      </c>
      <c r="R837" s="5">
        <v>33863.04333215439</v>
      </c>
    </row>
    <row r="838" spans="9:18">
      <c r="I838" s="4">
        <v>823</v>
      </c>
      <c r="J838" s="5">
        <v>16016.491239086423</v>
      </c>
      <c r="K838" s="5">
        <v>23934.551191616061</v>
      </c>
      <c r="L838" s="5">
        <v>16014.071850041886</v>
      </c>
      <c r="M838" s="5">
        <v>33862.836621974391</v>
      </c>
      <c r="N838" s="5">
        <v>10882.757905166785</v>
      </c>
      <c r="O838" s="5">
        <v>9956.4031238965053</v>
      </c>
      <c r="P838" s="5">
        <v>5836.7810663002319</v>
      </c>
      <c r="Q838" s="5">
        <v>37802.358878968138</v>
      </c>
      <c r="R838" s="5">
        <v>2180.6148629084787</v>
      </c>
    </row>
    <row r="839" spans="9:18">
      <c r="I839" s="4">
        <v>824</v>
      </c>
      <c r="J839" s="5">
        <v>7855.2948890116513</v>
      </c>
      <c r="K839" s="5">
        <v>37822.375317881044</v>
      </c>
      <c r="L839" s="5">
        <v>23561.450544884348</v>
      </c>
      <c r="M839" s="5">
        <v>21072.983263501868</v>
      </c>
      <c r="N839" s="5">
        <v>8104.6265149430556</v>
      </c>
      <c r="O839" s="5">
        <v>8801.3667015774663</v>
      </c>
      <c r="P839" s="5">
        <v>34814.458119125498</v>
      </c>
      <c r="Q839" s="5">
        <v>20987.925664394581</v>
      </c>
      <c r="R839" s="5">
        <v>2180.6148629084787</v>
      </c>
    </row>
    <row r="840" spans="9:18">
      <c r="I840" s="4">
        <v>825</v>
      </c>
      <c r="J840" s="5">
        <v>13841.207384998772</v>
      </c>
      <c r="K840" s="5">
        <v>26110.948843472826</v>
      </c>
      <c r="L840" s="5">
        <v>15126.980926457318</v>
      </c>
      <c r="M840" s="5">
        <v>11529.920007560097</v>
      </c>
      <c r="N840" s="5">
        <v>11751.639947035985</v>
      </c>
      <c r="O840" s="5">
        <v>25604.597681740845</v>
      </c>
      <c r="P840" s="5">
        <v>27452.975716953504</v>
      </c>
      <c r="Q840" s="5">
        <v>9454.5906023793759</v>
      </c>
      <c r="R840" s="5">
        <v>93933.045103013996</v>
      </c>
    </row>
    <row r="841" spans="9:18">
      <c r="I841" s="4">
        <v>826</v>
      </c>
      <c r="J841" s="5">
        <v>33627.941293959229</v>
      </c>
      <c r="K841" s="5">
        <v>32073.547537933715</v>
      </c>
      <c r="L841" s="5">
        <v>16616.161224349555</v>
      </c>
      <c r="M841" s="5">
        <v>20550.782384061673</v>
      </c>
      <c r="N841" s="5">
        <v>21909.120225822895</v>
      </c>
      <c r="O841" s="5">
        <v>9869.5889207969612</v>
      </c>
      <c r="P841" s="5">
        <v>18963.234565965948</v>
      </c>
      <c r="Q841" s="5">
        <v>100789.83462564547</v>
      </c>
      <c r="R841" s="5">
        <v>72561.496699005787</v>
      </c>
    </row>
    <row r="842" spans="9:18">
      <c r="I842" s="4">
        <v>827</v>
      </c>
      <c r="J842" s="5">
        <v>13045.114546182727</v>
      </c>
      <c r="K842" s="5">
        <v>17003.901855709089</v>
      </c>
      <c r="L842" s="5">
        <v>16014.071850041886</v>
      </c>
      <c r="M842" s="5">
        <v>23067.94260629595</v>
      </c>
      <c r="N842" s="5">
        <v>22010.718648995869</v>
      </c>
      <c r="O842" s="5">
        <v>13966.178986479143</v>
      </c>
      <c r="P842" s="5">
        <v>34814.458119125498</v>
      </c>
      <c r="Q842" s="5">
        <v>73941.636731325911</v>
      </c>
      <c r="R842" s="5">
        <v>39788.288251916689</v>
      </c>
    </row>
    <row r="843" spans="9:18">
      <c r="I843" s="4">
        <v>828</v>
      </c>
      <c r="J843" s="5">
        <v>13841.207384998772</v>
      </c>
      <c r="K843" s="5">
        <v>22732.797143159998</v>
      </c>
      <c r="L843" s="5">
        <v>22319.409576580376</v>
      </c>
      <c r="M843" s="5">
        <v>23449.501569180404</v>
      </c>
      <c r="N843" s="5">
        <v>27841.916587595573</v>
      </c>
      <c r="O843" s="5">
        <v>19492.655596593511</v>
      </c>
      <c r="P843" s="5">
        <v>25258.981945036445</v>
      </c>
      <c r="Q843" s="5">
        <v>31902.904306425251</v>
      </c>
      <c r="R843" s="5">
        <v>10885.018205103002</v>
      </c>
    </row>
    <row r="844" spans="9:18">
      <c r="I844" s="4">
        <v>829</v>
      </c>
      <c r="J844" s="5">
        <v>11036.461796239426</v>
      </c>
      <c r="K844" s="5">
        <v>26110.948843472826</v>
      </c>
      <c r="L844" s="5">
        <v>17311.244744664215</v>
      </c>
      <c r="M844" s="5">
        <v>41403.687663920646</v>
      </c>
      <c r="N844" s="5">
        <v>63974.903847153939</v>
      </c>
      <c r="O844" s="5">
        <v>51330.340277512776</v>
      </c>
      <c r="P844" s="5">
        <v>27708.613526855763</v>
      </c>
      <c r="Q844" s="5">
        <v>20883.852062640355</v>
      </c>
      <c r="R844" s="5">
        <v>3311.4906988006405</v>
      </c>
    </row>
    <row r="845" spans="9:18">
      <c r="I845" s="4">
        <v>830</v>
      </c>
      <c r="J845" s="5">
        <v>21888.821432026474</v>
      </c>
      <c r="K845" s="5">
        <v>16952.949313901812</v>
      </c>
      <c r="L845" s="5">
        <v>22018.381599979773</v>
      </c>
      <c r="M845" s="5">
        <v>16500.222621933419</v>
      </c>
      <c r="N845" s="5">
        <v>20292.069765667391</v>
      </c>
      <c r="O845" s="5">
        <v>20721.57544042755</v>
      </c>
      <c r="P845" s="5">
        <v>20403.656304140692</v>
      </c>
      <c r="Q845" s="5">
        <v>13099.063525342741</v>
      </c>
      <c r="R845" s="5">
        <v>302760.11878714536</v>
      </c>
    </row>
    <row r="846" spans="9:18">
      <c r="I846" s="4">
        <v>831</v>
      </c>
      <c r="J846" s="5">
        <v>15417.870921574262</v>
      </c>
      <c r="K846" s="5">
        <v>14878.52734402675</v>
      </c>
      <c r="L846" s="5">
        <v>14175.160754078657</v>
      </c>
      <c r="M846" s="5">
        <v>18691.941789825862</v>
      </c>
      <c r="N846" s="5">
        <v>23746.795665493762</v>
      </c>
      <c r="O846" s="5">
        <v>13550.031670770122</v>
      </c>
      <c r="P846" s="5">
        <v>27820.721938889761</v>
      </c>
      <c r="Q846" s="5">
        <v>11173.074396969254</v>
      </c>
      <c r="R846" s="5">
        <v>27349.63499959607</v>
      </c>
    </row>
    <row r="847" spans="9:18">
      <c r="I847" s="4">
        <v>832</v>
      </c>
      <c r="J847" s="5">
        <v>16016.491239086423</v>
      </c>
      <c r="K847" s="5">
        <v>12423.491400404893</v>
      </c>
      <c r="L847" s="5">
        <v>15664.99858445921</v>
      </c>
      <c r="M847" s="5">
        <v>13011.820191946215</v>
      </c>
      <c r="N847" s="5">
        <v>23583.581287126868</v>
      </c>
      <c r="O847" s="5">
        <v>13966.178986479143</v>
      </c>
      <c r="P847" s="5">
        <v>22708.601480587709</v>
      </c>
      <c r="Q847" s="5">
        <v>54060.5331097772</v>
      </c>
      <c r="R847" s="5">
        <v>8720.6503563381029</v>
      </c>
    </row>
    <row r="848" spans="9:18">
      <c r="I848" s="4">
        <v>833</v>
      </c>
      <c r="J848" s="5">
        <v>15873.12561080002</v>
      </c>
      <c r="K848" s="5">
        <v>14579.232378315752</v>
      </c>
      <c r="L848" s="5">
        <v>22162.138529251199</v>
      </c>
      <c r="M848" s="5">
        <v>21833.004790208965</v>
      </c>
      <c r="N848" s="5">
        <v>25549.748582175915</v>
      </c>
      <c r="O848" s="5">
        <v>9869.5889207969612</v>
      </c>
      <c r="P848" s="5">
        <v>46514.467673254068</v>
      </c>
      <c r="Q848" s="5">
        <v>30266.563414010914</v>
      </c>
      <c r="R848" s="5">
        <v>91403.228438796665</v>
      </c>
    </row>
    <row r="849" spans="9:18">
      <c r="I849" s="4">
        <v>834</v>
      </c>
      <c r="J849" s="5">
        <v>28085.9245102444</v>
      </c>
      <c r="K849" s="5">
        <v>14497.035717129334</v>
      </c>
      <c r="L849" s="5">
        <v>13023.361770761438</v>
      </c>
      <c r="M849" s="5">
        <v>41403.687663920646</v>
      </c>
      <c r="N849" s="5">
        <v>19125.360074567652</v>
      </c>
      <c r="O849" s="5">
        <v>26565.882515615398</v>
      </c>
      <c r="P849" s="5">
        <v>9482.0186426688688</v>
      </c>
      <c r="Q849" s="5">
        <v>13865.641566869812</v>
      </c>
      <c r="R849" s="5">
        <v>35232.418639121184</v>
      </c>
    </row>
    <row r="850" spans="9:18">
      <c r="I850" s="4">
        <v>835</v>
      </c>
      <c r="J850" s="5">
        <v>12701.339251949787</v>
      </c>
      <c r="K850" s="5">
        <v>32073.547537933715</v>
      </c>
      <c r="L850" s="5">
        <v>18379.634651549037</v>
      </c>
      <c r="M850" s="5">
        <v>12987.517521908694</v>
      </c>
      <c r="N850" s="5">
        <v>14921.795973817481</v>
      </c>
      <c r="O850" s="5">
        <v>20991.103410982985</v>
      </c>
      <c r="P850" s="5">
        <v>54923.423457863879</v>
      </c>
      <c r="Q850" s="5">
        <v>27018.509959127641</v>
      </c>
      <c r="R850" s="5">
        <v>123773.40402252052</v>
      </c>
    </row>
    <row r="851" spans="9:18">
      <c r="I851" s="4">
        <v>836</v>
      </c>
      <c r="J851" s="5">
        <v>29760.443016608337</v>
      </c>
      <c r="K851" s="5">
        <v>56656.842992470461</v>
      </c>
      <c r="L851" s="5">
        <v>34748.877779456467</v>
      </c>
      <c r="M851" s="5">
        <v>16842.379179328669</v>
      </c>
      <c r="N851" s="5">
        <v>9563.1256545330361</v>
      </c>
      <c r="O851" s="5">
        <v>30876.675913171162</v>
      </c>
      <c r="P851" s="5">
        <v>63015.124693769802</v>
      </c>
      <c r="Q851" s="5">
        <v>17234.335939857254</v>
      </c>
      <c r="R851" s="5">
        <v>90296.353221228885</v>
      </c>
    </row>
    <row r="852" spans="9:18">
      <c r="I852" s="4">
        <v>837</v>
      </c>
      <c r="J852" s="5">
        <v>14741.240040396578</v>
      </c>
      <c r="K852" s="5">
        <v>16873.752266014431</v>
      </c>
      <c r="L852" s="5">
        <v>17482.478480142941</v>
      </c>
      <c r="M852" s="5">
        <v>13642.678686731051</v>
      </c>
      <c r="N852" s="5">
        <v>37309.151967087455</v>
      </c>
      <c r="O852" s="5">
        <v>13840.304699955392</v>
      </c>
      <c r="P852" s="5">
        <v>48123.003747643132</v>
      </c>
      <c r="Q852" s="5">
        <v>6386.5227360487288</v>
      </c>
      <c r="R852" s="5">
        <v>87776.138236389699</v>
      </c>
    </row>
    <row r="853" spans="9:18">
      <c r="I853" s="4">
        <v>838</v>
      </c>
      <c r="J853" s="5">
        <v>28169.050633834027</v>
      </c>
      <c r="K853" s="5">
        <v>20887.307279900142</v>
      </c>
      <c r="L853" s="5">
        <v>17845.207337527903</v>
      </c>
      <c r="M853" s="5">
        <v>32751.734100446065</v>
      </c>
      <c r="N853" s="5">
        <v>10882.757905166785</v>
      </c>
      <c r="O853" s="5">
        <v>51330.340277512776</v>
      </c>
      <c r="P853" s="5">
        <v>14773.185437294762</v>
      </c>
      <c r="Q853" s="5">
        <v>7457.1844090365566</v>
      </c>
      <c r="R853" s="5">
        <v>3989.7956692889929</v>
      </c>
    </row>
    <row r="854" spans="9:18">
      <c r="I854" s="4">
        <v>839</v>
      </c>
      <c r="J854" s="5">
        <v>16166.107684907736</v>
      </c>
      <c r="K854" s="5">
        <v>15051.330276415061</v>
      </c>
      <c r="L854" s="5">
        <v>13358.459356674217</v>
      </c>
      <c r="M854" s="5">
        <v>20185.026038758231</v>
      </c>
      <c r="N854" s="5">
        <v>8104.6265149430556</v>
      </c>
      <c r="O854" s="5">
        <v>33720.545907536376</v>
      </c>
      <c r="P854" s="5">
        <v>41657.50350099193</v>
      </c>
      <c r="Q854" s="5">
        <v>59964.86015574776</v>
      </c>
      <c r="R854" s="5">
        <v>65420.116221752483</v>
      </c>
    </row>
    <row r="855" spans="9:18">
      <c r="I855" s="4">
        <v>840</v>
      </c>
      <c r="J855" s="5">
        <v>12888.204629170894</v>
      </c>
      <c r="K855" s="5">
        <v>15487.124352801369</v>
      </c>
      <c r="L855" s="5">
        <v>15832.5469007027</v>
      </c>
      <c r="M855" s="5">
        <v>31472.019071027709</v>
      </c>
      <c r="N855" s="5">
        <v>27841.916587595573</v>
      </c>
      <c r="O855" s="5">
        <v>21930.527973988665</v>
      </c>
      <c r="P855" s="5">
        <v>106091.28270624072</v>
      </c>
      <c r="Q855" s="5">
        <v>43417.41805414496</v>
      </c>
      <c r="R855" s="5">
        <v>55012.315589742022</v>
      </c>
    </row>
    <row r="856" spans="9:18">
      <c r="I856" s="4">
        <v>841</v>
      </c>
      <c r="J856" s="5">
        <v>16710.807721801892</v>
      </c>
      <c r="K856" s="5">
        <v>24728.095385476983</v>
      </c>
      <c r="L856" s="5">
        <v>15923.549351835489</v>
      </c>
      <c r="M856" s="5">
        <v>32497.510405113037</v>
      </c>
      <c r="N856" s="5">
        <v>22010.718648995869</v>
      </c>
      <c r="O856" s="5">
        <v>59207.798737851255</v>
      </c>
      <c r="P856" s="5">
        <v>9826.8369575407578</v>
      </c>
      <c r="Q856" s="5">
        <v>4631.7430487757983</v>
      </c>
      <c r="R856" s="5">
        <v>54594.567438884274</v>
      </c>
    </row>
    <row r="857" spans="9:18">
      <c r="I857" s="4">
        <v>842</v>
      </c>
      <c r="J857" s="5">
        <v>14671.176405938595</v>
      </c>
      <c r="K857" s="5">
        <v>11857.447519815871</v>
      </c>
      <c r="L857" s="5">
        <v>11827.803406885578</v>
      </c>
      <c r="M857" s="5">
        <v>20041.623430301417</v>
      </c>
      <c r="N857" s="5">
        <v>57711.498171893618</v>
      </c>
      <c r="O857" s="5">
        <v>79848.944504816522</v>
      </c>
      <c r="P857" s="5">
        <v>9482.0186426688688</v>
      </c>
      <c r="Q857" s="5">
        <v>22483.395143121877</v>
      </c>
      <c r="R857" s="5">
        <v>50287.76786557267</v>
      </c>
    </row>
    <row r="858" spans="9:18">
      <c r="I858" s="4">
        <v>843</v>
      </c>
      <c r="J858" s="5">
        <v>19467.17453557903</v>
      </c>
      <c r="K858" s="5">
        <v>35488.449387009874</v>
      </c>
      <c r="L858" s="5">
        <v>23760.785349782636</v>
      </c>
      <c r="M858" s="5">
        <v>33862.836621974391</v>
      </c>
      <c r="N858" s="5">
        <v>18410.937863650517</v>
      </c>
      <c r="O858" s="5">
        <v>27195.510785031525</v>
      </c>
      <c r="P858" s="5">
        <v>18862.487147419793</v>
      </c>
      <c r="Q858" s="5">
        <v>64585.328088516922</v>
      </c>
      <c r="R858" s="5">
        <v>18720.450716365784</v>
      </c>
    </row>
    <row r="859" spans="9:18">
      <c r="I859" s="4">
        <v>844</v>
      </c>
      <c r="J859" s="5">
        <v>13841.207384998772</v>
      </c>
      <c r="K859" s="5">
        <v>17128.860847126922</v>
      </c>
      <c r="L859" s="5">
        <v>15225.811035017256</v>
      </c>
      <c r="M859" s="5">
        <v>11680.747299075838</v>
      </c>
      <c r="N859" s="5">
        <v>40377.252444397986</v>
      </c>
      <c r="O859" s="5">
        <v>67717.30633712461</v>
      </c>
      <c r="P859" s="5">
        <v>10733.318076105543</v>
      </c>
      <c r="Q859" s="5">
        <v>16803.875627203233</v>
      </c>
      <c r="R859" s="5">
        <v>216919.53009911609</v>
      </c>
    </row>
    <row r="860" spans="9:18">
      <c r="I860" s="4">
        <v>845</v>
      </c>
      <c r="J860" s="5">
        <v>28085.9245102444</v>
      </c>
      <c r="K860" s="5">
        <v>29672.680843304515</v>
      </c>
      <c r="L860" s="5">
        <v>21428.663623484812</v>
      </c>
      <c r="M860" s="5">
        <v>15586.009710351766</v>
      </c>
      <c r="N860" s="5">
        <v>46248.895746171031</v>
      </c>
      <c r="O860" s="5">
        <v>5444.7598502623823</v>
      </c>
      <c r="P860" s="5">
        <v>8877.9712092977989</v>
      </c>
      <c r="Q860" s="5">
        <v>18097.768262249352</v>
      </c>
      <c r="R860" s="5">
        <v>8720.6503563381029</v>
      </c>
    </row>
    <row r="861" spans="9:18">
      <c r="I861" s="4">
        <v>846</v>
      </c>
      <c r="J861" s="5">
        <v>16544.73779470181</v>
      </c>
      <c r="K861" s="5">
        <v>14017.262946034314</v>
      </c>
      <c r="L861" s="5">
        <v>15161.007794371622</v>
      </c>
      <c r="M861" s="5">
        <v>37411.178129764201</v>
      </c>
      <c r="N861" s="5">
        <v>15804.474686449519</v>
      </c>
      <c r="O861" s="5">
        <v>25644.588869829797</v>
      </c>
      <c r="P861" s="5">
        <v>16650.229067545235</v>
      </c>
      <c r="Q861" s="5">
        <v>4631.7430487757983</v>
      </c>
      <c r="R861" s="5">
        <v>8046.7106309763258</v>
      </c>
    </row>
    <row r="862" spans="9:18">
      <c r="I862" s="4">
        <v>847</v>
      </c>
      <c r="J862" s="5">
        <v>28590.354879265724</v>
      </c>
      <c r="K862" s="5">
        <v>17128.860847126922</v>
      </c>
      <c r="L862" s="5">
        <v>14811.370758813007</v>
      </c>
      <c r="M862" s="5">
        <v>12934.591863415189</v>
      </c>
      <c r="N862" s="5">
        <v>17811.114014514766</v>
      </c>
      <c r="O862" s="5">
        <v>5444.7598502623823</v>
      </c>
      <c r="P862" s="5">
        <v>44646.134934589521</v>
      </c>
      <c r="Q862" s="5">
        <v>22145.301831504508</v>
      </c>
      <c r="R862" s="5">
        <v>9913.4206865238284</v>
      </c>
    </row>
    <row r="863" spans="9:18">
      <c r="I863" s="4">
        <v>848</v>
      </c>
      <c r="J863" s="5">
        <v>49463.324094345015</v>
      </c>
      <c r="K863" s="5">
        <v>15129.619337591721</v>
      </c>
      <c r="L863" s="5">
        <v>25389.332759288587</v>
      </c>
      <c r="M863" s="5">
        <v>16001.653036457456</v>
      </c>
      <c r="N863" s="5">
        <v>28426.778914975595</v>
      </c>
      <c r="O863" s="5">
        <v>16826.763259351828</v>
      </c>
      <c r="P863" s="5">
        <v>17643.087208586294</v>
      </c>
      <c r="Q863" s="5">
        <v>8502.450657922871</v>
      </c>
      <c r="R863" s="5">
        <v>54594.567438884274</v>
      </c>
    </row>
    <row r="864" spans="9:18">
      <c r="I864" s="4">
        <v>849</v>
      </c>
      <c r="J864" s="5">
        <v>8580.4413740966302</v>
      </c>
      <c r="K864" s="5">
        <v>15768.312122029349</v>
      </c>
      <c r="L864" s="5">
        <v>17845.207337527903</v>
      </c>
      <c r="M864" s="5">
        <v>18177.175180585615</v>
      </c>
      <c r="N864" s="5">
        <v>15130.853682762778</v>
      </c>
      <c r="O864" s="5">
        <v>59207.798737851255</v>
      </c>
      <c r="P864" s="5">
        <v>74840.036182179319</v>
      </c>
      <c r="Q864" s="5">
        <v>56069.347629295014</v>
      </c>
      <c r="R864" s="5">
        <v>2180.6148629084787</v>
      </c>
    </row>
    <row r="865" spans="9:18">
      <c r="I865" s="4">
        <v>850</v>
      </c>
      <c r="J865" s="5">
        <v>12452.764985867625</v>
      </c>
      <c r="K865" s="5">
        <v>21958.925144875713</v>
      </c>
      <c r="L865" s="5">
        <v>17311.244744664215</v>
      </c>
      <c r="M865" s="5">
        <v>17542.15972125496</v>
      </c>
      <c r="N865" s="5">
        <v>19225.139878706803</v>
      </c>
      <c r="O865" s="5">
        <v>25802.481365323994</v>
      </c>
      <c r="P865" s="5">
        <v>44646.134934589521</v>
      </c>
      <c r="Q865" s="5">
        <v>100789.83462564547</v>
      </c>
      <c r="R865" s="5">
        <v>30571.564004538617</v>
      </c>
    </row>
    <row r="866" spans="9:18">
      <c r="I866" s="4">
        <v>851</v>
      </c>
      <c r="J866" s="5">
        <v>16511.332839561353</v>
      </c>
      <c r="K866" s="5">
        <v>35705.595198125673</v>
      </c>
      <c r="L866" s="5">
        <v>15359.132481533357</v>
      </c>
      <c r="M866" s="5">
        <v>9623.0342442006167</v>
      </c>
      <c r="N866" s="5">
        <v>18367.429489032103</v>
      </c>
      <c r="O866" s="5">
        <v>16462.170789592048</v>
      </c>
      <c r="P866" s="5">
        <v>22708.601480587709</v>
      </c>
      <c r="Q866" s="5">
        <v>29432.473148002948</v>
      </c>
      <c r="R866" s="5">
        <v>2071.5141323269809</v>
      </c>
    </row>
    <row r="867" spans="9:18">
      <c r="I867" s="4">
        <v>852</v>
      </c>
      <c r="J867" s="5">
        <v>9405.362381917912</v>
      </c>
      <c r="K867" s="5">
        <v>11507.182177474708</v>
      </c>
      <c r="L867" s="5">
        <v>14344.859750762502</v>
      </c>
      <c r="M867" s="5">
        <v>20185.026038758231</v>
      </c>
      <c r="N867" s="5">
        <v>16581.915858379376</v>
      </c>
      <c r="O867" s="5">
        <v>10738.305003664611</v>
      </c>
      <c r="P867" s="5">
        <v>34768.042801665702</v>
      </c>
      <c r="Q867" s="5">
        <v>68168.482468129529</v>
      </c>
      <c r="R867" s="5">
        <v>261393.32711858812</v>
      </c>
    </row>
    <row r="868" spans="9:18">
      <c r="I868" s="4">
        <v>853</v>
      </c>
      <c r="J868" s="5">
        <v>13045.114546182727</v>
      </c>
      <c r="K868" s="5">
        <v>6949.5708823216592</v>
      </c>
      <c r="L868" s="5">
        <v>19359.475411188432</v>
      </c>
      <c r="M868" s="5">
        <v>20550.782384061673</v>
      </c>
      <c r="N868" s="5">
        <v>15130.853682762778</v>
      </c>
      <c r="O868" s="5">
        <v>20721.57544042755</v>
      </c>
      <c r="P868" s="5">
        <v>14376.883105731285</v>
      </c>
      <c r="Q868" s="5">
        <v>148345.62878828164</v>
      </c>
      <c r="R868" s="5">
        <v>13258.538726001538</v>
      </c>
    </row>
    <row r="869" spans="9:18">
      <c r="I869" s="4">
        <v>854</v>
      </c>
      <c r="J869" s="5">
        <v>14017.326487344162</v>
      </c>
      <c r="K869" s="5">
        <v>15698.764831033119</v>
      </c>
      <c r="L869" s="5">
        <v>18379.634651549037</v>
      </c>
      <c r="M869" s="5">
        <v>32751.734100446065</v>
      </c>
      <c r="N869" s="5">
        <v>63974.903847153939</v>
      </c>
      <c r="O869" s="5">
        <v>26268.613803794757</v>
      </c>
      <c r="P869" s="5">
        <v>34768.042801665702</v>
      </c>
      <c r="Q869" s="5">
        <v>15663.43865741136</v>
      </c>
      <c r="R869" s="5">
        <v>14079.827908007112</v>
      </c>
    </row>
    <row r="870" spans="9:18">
      <c r="I870" s="4">
        <v>855</v>
      </c>
      <c r="J870" s="5">
        <v>15554.996700302558</v>
      </c>
      <c r="K870" s="5">
        <v>61827.107730316675</v>
      </c>
      <c r="L870" s="5">
        <v>21725.131459372977</v>
      </c>
      <c r="M870" s="5">
        <v>21332.072353846772</v>
      </c>
      <c r="N870" s="5">
        <v>21933.097106966918</v>
      </c>
      <c r="O870" s="5">
        <v>41653.890350944224</v>
      </c>
      <c r="P870" s="5">
        <v>34768.042801665702</v>
      </c>
      <c r="Q870" s="5">
        <v>16803.875627203233</v>
      </c>
      <c r="R870" s="5">
        <v>17304.847214362417</v>
      </c>
    </row>
    <row r="871" spans="9:18">
      <c r="I871" s="4">
        <v>856</v>
      </c>
      <c r="J871" s="5">
        <v>11116.191595722205</v>
      </c>
      <c r="K871" s="5">
        <v>34058.671324159091</v>
      </c>
      <c r="L871" s="5">
        <v>22162.138529251199</v>
      </c>
      <c r="M871" s="5">
        <v>15586.009710351766</v>
      </c>
      <c r="N871" s="5">
        <v>20583.564383988036</v>
      </c>
      <c r="O871" s="5">
        <v>10738.305003664611</v>
      </c>
      <c r="P871" s="5">
        <v>18963.234565965948</v>
      </c>
      <c r="Q871" s="5">
        <v>9645.8788061228515</v>
      </c>
      <c r="R871" s="5">
        <v>55106.806585409526</v>
      </c>
    </row>
    <row r="872" spans="9:18">
      <c r="I872" s="4">
        <v>857</v>
      </c>
      <c r="J872" s="5">
        <v>12701.339251949787</v>
      </c>
      <c r="K872" s="5">
        <v>16273.14570113692</v>
      </c>
      <c r="L872" s="5">
        <v>17920.486090689363</v>
      </c>
      <c r="M872" s="5">
        <v>12934.591863415189</v>
      </c>
      <c r="N872" s="5">
        <v>23998.040874392525</v>
      </c>
      <c r="O872" s="5">
        <v>77417.02098927302</v>
      </c>
      <c r="P872" s="5">
        <v>17996.895987204196</v>
      </c>
      <c r="Q872" s="5">
        <v>3909.239690544402</v>
      </c>
      <c r="R872" s="5">
        <v>23583.884732956092</v>
      </c>
    </row>
    <row r="873" spans="9:18">
      <c r="I873" s="4">
        <v>858</v>
      </c>
      <c r="J873" s="5">
        <v>17679.321624063952</v>
      </c>
      <c r="K873" s="5">
        <v>95171.967522309933</v>
      </c>
      <c r="L873" s="5">
        <v>15923.549351835489</v>
      </c>
      <c r="M873" s="5">
        <v>20788.503422877813</v>
      </c>
      <c r="N873" s="5">
        <v>17214.078970533748</v>
      </c>
      <c r="O873" s="5">
        <v>42492.261063288854</v>
      </c>
      <c r="P873" s="5">
        <v>63015.124693769802</v>
      </c>
      <c r="Q873" s="5">
        <v>53055.59182561023</v>
      </c>
      <c r="R873" s="5">
        <v>8105.1944146993656</v>
      </c>
    </row>
    <row r="874" spans="9:18">
      <c r="I874" s="4">
        <v>859</v>
      </c>
      <c r="J874" s="5">
        <v>26634.853073396614</v>
      </c>
      <c r="K874" s="5">
        <v>95171.967522309933</v>
      </c>
      <c r="L874" s="5">
        <v>14649.721476864312</v>
      </c>
      <c r="M874" s="5">
        <v>16500.222621933419</v>
      </c>
      <c r="N874" s="5">
        <v>9209.4418830788036</v>
      </c>
      <c r="O874" s="5">
        <v>26565.882515615398</v>
      </c>
      <c r="P874" s="5">
        <v>10532.667493814919</v>
      </c>
      <c r="Q874" s="5">
        <v>9454.5906023793759</v>
      </c>
      <c r="R874" s="5">
        <v>18349.337771428582</v>
      </c>
    </row>
    <row r="875" spans="9:18">
      <c r="I875" s="4">
        <v>860</v>
      </c>
      <c r="J875" s="5">
        <v>31053.540961463306</v>
      </c>
      <c r="K875" s="5">
        <v>9739.7813029644258</v>
      </c>
      <c r="L875" s="5">
        <v>14316.474075738101</v>
      </c>
      <c r="M875" s="5">
        <v>30785.663999045999</v>
      </c>
      <c r="N875" s="5">
        <v>19225.139878706803</v>
      </c>
      <c r="O875" s="5">
        <v>40304.23053285561</v>
      </c>
      <c r="P875" s="5">
        <v>49519.098753410741</v>
      </c>
      <c r="Q875" s="5">
        <v>18097.768262249352</v>
      </c>
      <c r="R875" s="5">
        <v>84289.422255274636</v>
      </c>
    </row>
    <row r="876" spans="9:18">
      <c r="I876" s="4">
        <v>861</v>
      </c>
      <c r="J876" s="5">
        <v>14960.076233580705</v>
      </c>
      <c r="K876" s="5">
        <v>11558.357574452555</v>
      </c>
      <c r="L876" s="5">
        <v>15832.5469007027</v>
      </c>
      <c r="M876" s="5">
        <v>23908.621352410395</v>
      </c>
      <c r="N876" s="5">
        <v>40377.252444397986</v>
      </c>
      <c r="O876" s="5">
        <v>15124.35050053727</v>
      </c>
      <c r="P876" s="5">
        <v>54100.778483493887</v>
      </c>
      <c r="Q876" s="5">
        <v>13865.641566869812</v>
      </c>
      <c r="R876" s="5">
        <v>2071.5141323269809</v>
      </c>
    </row>
    <row r="877" spans="9:18">
      <c r="I877" s="4">
        <v>862</v>
      </c>
      <c r="J877" s="5">
        <v>13391.049101507895</v>
      </c>
      <c r="K877" s="5">
        <v>29672.680843304515</v>
      </c>
      <c r="L877" s="5">
        <v>27144.958215276103</v>
      </c>
      <c r="M877" s="5">
        <v>12426.949970383979</v>
      </c>
      <c r="N877" s="5">
        <v>9209.4418830788036</v>
      </c>
      <c r="O877" s="5">
        <v>27195.510785031525</v>
      </c>
      <c r="P877" s="5">
        <v>22708.601480587709</v>
      </c>
      <c r="Q877" s="5">
        <v>37802.358878968138</v>
      </c>
      <c r="R877" s="5">
        <v>59414.886464347241</v>
      </c>
    </row>
    <row r="878" spans="9:18">
      <c r="I878" s="4">
        <v>863</v>
      </c>
      <c r="J878" s="5">
        <v>15648.665245032147</v>
      </c>
      <c r="K878" s="5">
        <v>21187.174639714212</v>
      </c>
      <c r="L878" s="5">
        <v>15759.954187048656</v>
      </c>
      <c r="M878" s="5">
        <v>23067.94260629595</v>
      </c>
      <c r="N878" s="5">
        <v>14335.478134989447</v>
      </c>
      <c r="O878" s="5">
        <v>62082.6862081785</v>
      </c>
      <c r="P878" s="5">
        <v>6275.8915673055426</v>
      </c>
      <c r="Q878" s="5">
        <v>22145.301831504508</v>
      </c>
      <c r="R878" s="5">
        <v>7952.6989268572033</v>
      </c>
    </row>
    <row r="879" spans="9:18">
      <c r="I879" s="4">
        <v>864</v>
      </c>
      <c r="J879" s="5">
        <v>14076.209333698853</v>
      </c>
      <c r="K879" s="5">
        <v>56656.842992470461</v>
      </c>
      <c r="L879" s="5">
        <v>27144.958215276103</v>
      </c>
      <c r="M879" s="5">
        <v>16842.379179328669</v>
      </c>
      <c r="N879" s="5">
        <v>17891.96347244953</v>
      </c>
      <c r="O879" s="5">
        <v>40304.23053285561</v>
      </c>
      <c r="P879" s="5">
        <v>66904.018529955298</v>
      </c>
      <c r="Q879" s="5">
        <v>11173.074396969254</v>
      </c>
      <c r="R879" s="5">
        <v>65420.116221752483</v>
      </c>
    </row>
    <row r="880" spans="9:18">
      <c r="I880" s="4">
        <v>865</v>
      </c>
      <c r="J880" s="5">
        <v>13663.281817546009</v>
      </c>
      <c r="K880" s="5">
        <v>35488.449387009874</v>
      </c>
      <c r="L880" s="5">
        <v>21954.536591034263</v>
      </c>
      <c r="M880" s="5">
        <v>42282.977640783138</v>
      </c>
      <c r="N880" s="5">
        <v>23283.854578052265</v>
      </c>
      <c r="O880" s="5">
        <v>40581.847217937895</v>
      </c>
      <c r="P880" s="5">
        <v>55119.366528283317</v>
      </c>
      <c r="Q880" s="5">
        <v>17234.335939857254</v>
      </c>
      <c r="R880" s="5">
        <v>54594.567438884274</v>
      </c>
    </row>
    <row r="881" spans="9:18">
      <c r="I881" s="4">
        <v>866</v>
      </c>
      <c r="J881" s="5">
        <v>14538.277247583976</v>
      </c>
      <c r="K881" s="5">
        <v>32294.121255311245</v>
      </c>
      <c r="L881" s="5">
        <v>17578.712723867691</v>
      </c>
      <c r="M881" s="5">
        <v>15202.972920708273</v>
      </c>
      <c r="N881" s="5">
        <v>13909.728487455486</v>
      </c>
      <c r="O881" s="5">
        <v>53504.725169095313</v>
      </c>
      <c r="P881" s="5">
        <v>14376.883105731285</v>
      </c>
      <c r="Q881" s="5">
        <v>37277.391668005912</v>
      </c>
      <c r="R881" s="5">
        <v>7879.038918914337</v>
      </c>
    </row>
    <row r="882" spans="9:18">
      <c r="I882" s="4">
        <v>867</v>
      </c>
      <c r="J882" s="5">
        <v>29760.443016608337</v>
      </c>
      <c r="K882" s="5">
        <v>61827.107730316675</v>
      </c>
      <c r="L882" s="5">
        <v>25389.332759288587</v>
      </c>
      <c r="M882" s="5">
        <v>18816.787977140237</v>
      </c>
      <c r="N882" s="5">
        <v>20558.672182394013</v>
      </c>
      <c r="O882" s="5">
        <v>62082.6862081785</v>
      </c>
      <c r="P882" s="5">
        <v>9826.8369575407578</v>
      </c>
      <c r="Q882" s="5">
        <v>37073.980790337926</v>
      </c>
      <c r="R882" s="5">
        <v>261393.32711858812</v>
      </c>
    </row>
    <row r="883" spans="9:18">
      <c r="I883" s="4">
        <v>868</v>
      </c>
      <c r="J883" s="5">
        <v>13447.638004246244</v>
      </c>
      <c r="K883" s="5">
        <v>22732.797143159998</v>
      </c>
      <c r="L883" s="5">
        <v>23760.785349782636</v>
      </c>
      <c r="M883" s="5">
        <v>13139.022167648376</v>
      </c>
      <c r="N883" s="5">
        <v>11788.341482962171</v>
      </c>
      <c r="O883" s="5">
        <v>24247.516962783076</v>
      </c>
      <c r="P883" s="5">
        <v>8069.5385577067918</v>
      </c>
      <c r="Q883" s="5">
        <v>12451.066014448154</v>
      </c>
      <c r="R883" s="5">
        <v>3433.6677391851467</v>
      </c>
    </row>
    <row r="884" spans="9:18">
      <c r="I884" s="4">
        <v>869</v>
      </c>
      <c r="J884" s="5">
        <v>16016.491239086423</v>
      </c>
      <c r="K884" s="5">
        <v>14611.618478071941</v>
      </c>
      <c r="L884" s="5">
        <v>17693.864646288712</v>
      </c>
      <c r="M884" s="5">
        <v>16500.222621933419</v>
      </c>
      <c r="N884" s="5">
        <v>14921.795973817481</v>
      </c>
      <c r="O884" s="5">
        <v>36759.655306288936</v>
      </c>
      <c r="P884" s="5">
        <v>35569.894390728325</v>
      </c>
      <c r="Q884" s="5">
        <v>64585.328088516922</v>
      </c>
      <c r="R884" s="5">
        <v>3311.4906988006405</v>
      </c>
    </row>
    <row r="885" spans="9:18">
      <c r="I885" s="4">
        <v>870</v>
      </c>
      <c r="J885" s="5">
        <v>23517.429992060665</v>
      </c>
      <c r="K885" s="5">
        <v>15631.937142257386</v>
      </c>
      <c r="L885" s="5">
        <v>27144.958215276103</v>
      </c>
      <c r="M885" s="5">
        <v>15202.972920708273</v>
      </c>
      <c r="N885" s="5">
        <v>17811.114014514766</v>
      </c>
      <c r="O885" s="5">
        <v>16505.600261180331</v>
      </c>
      <c r="P885" s="5">
        <v>18963.234565965948</v>
      </c>
      <c r="Q885" s="5">
        <v>59964.86015574776</v>
      </c>
      <c r="R885" s="5">
        <v>55106.806585409526</v>
      </c>
    </row>
    <row r="886" spans="9:18">
      <c r="I886" s="4">
        <v>871</v>
      </c>
      <c r="J886" s="5">
        <v>14671.176405938595</v>
      </c>
      <c r="K886" s="5">
        <v>13559.080695844099</v>
      </c>
      <c r="L886" s="5">
        <v>15651.346103181355</v>
      </c>
      <c r="M886" s="5">
        <v>24981.974172352908</v>
      </c>
      <c r="N886" s="5">
        <v>15786.177386596903</v>
      </c>
      <c r="O886" s="5">
        <v>8024.6340027919978</v>
      </c>
      <c r="P886" s="5">
        <v>38771.994792132391</v>
      </c>
      <c r="Q886" s="5">
        <v>2356.8990887111336</v>
      </c>
      <c r="R886" s="5">
        <v>51358.6267760993</v>
      </c>
    </row>
    <row r="887" spans="9:18">
      <c r="I887" s="4">
        <v>872</v>
      </c>
      <c r="J887" s="5">
        <v>16416.142496463777</v>
      </c>
      <c r="K887" s="5">
        <v>29672.680843304515</v>
      </c>
      <c r="L887" s="5">
        <v>13037.115556745504</v>
      </c>
      <c r="M887" s="5">
        <v>18043.539897080744</v>
      </c>
      <c r="N887" s="5">
        <v>15804.474686449519</v>
      </c>
      <c r="O887" s="5">
        <v>24258.192244316608</v>
      </c>
      <c r="P887" s="5">
        <v>44816.412248582856</v>
      </c>
      <c r="Q887" s="5">
        <v>52545.991451361173</v>
      </c>
      <c r="R887" s="5">
        <v>13258.538726001538</v>
      </c>
    </row>
    <row r="888" spans="9:18">
      <c r="I888" s="4">
        <v>873</v>
      </c>
      <c r="J888" s="5">
        <v>16511.332839561353</v>
      </c>
      <c r="K888" s="5">
        <v>14136.873097602549</v>
      </c>
      <c r="L888" s="5">
        <v>16955.349467865559</v>
      </c>
      <c r="M888" s="5">
        <v>17349.963215818931</v>
      </c>
      <c r="N888" s="5">
        <v>11604.12831603515</v>
      </c>
      <c r="O888" s="5">
        <v>41800.463215706819</v>
      </c>
      <c r="P888" s="5">
        <v>25258.981945036445</v>
      </c>
      <c r="Q888" s="5">
        <v>9652.8114206999071</v>
      </c>
      <c r="R888" s="5">
        <v>18230.645544621442</v>
      </c>
    </row>
    <row r="889" spans="9:18">
      <c r="I889" s="4">
        <v>874</v>
      </c>
      <c r="J889" s="5">
        <v>13663.281817546009</v>
      </c>
      <c r="K889" s="5">
        <v>7753.2116148734594</v>
      </c>
      <c r="L889" s="5">
        <v>13417.453622029931</v>
      </c>
      <c r="M889" s="5">
        <v>19042.78605337895</v>
      </c>
      <c r="N889" s="5">
        <v>17891.96347244953</v>
      </c>
      <c r="O889" s="5">
        <v>20827.029306810669</v>
      </c>
      <c r="P889" s="5">
        <v>35213.322626437533</v>
      </c>
      <c r="Q889" s="5">
        <v>17153.530968450712</v>
      </c>
      <c r="R889" s="5">
        <v>8130.5639219412278</v>
      </c>
    </row>
    <row r="890" spans="9:18">
      <c r="I890" s="4">
        <v>875</v>
      </c>
      <c r="J890" s="5">
        <v>21888.821432026474</v>
      </c>
      <c r="K890" s="5">
        <v>31910.762633549082</v>
      </c>
      <c r="L890" s="5">
        <v>16106.634875163341</v>
      </c>
      <c r="M890" s="5">
        <v>7334.8610818348589</v>
      </c>
      <c r="N890" s="5">
        <v>12592.300437162297</v>
      </c>
      <c r="O890" s="5">
        <v>9956.4031238965053</v>
      </c>
      <c r="P890" s="5">
        <v>34768.042801665702</v>
      </c>
      <c r="Q890" s="5">
        <v>9138.5169630896526</v>
      </c>
      <c r="R890" s="5">
        <v>9913.4206865238284</v>
      </c>
    </row>
    <row r="891" spans="9:18">
      <c r="I891" s="4">
        <v>876</v>
      </c>
      <c r="J891" s="5">
        <v>16416.142496463777</v>
      </c>
      <c r="K891" s="5">
        <v>14674.169276244838</v>
      </c>
      <c r="L891" s="5">
        <v>25389.332759288587</v>
      </c>
      <c r="M891" s="5">
        <v>21913.431401527439</v>
      </c>
      <c r="N891" s="5">
        <v>9563.1256545330361</v>
      </c>
      <c r="O891" s="5">
        <v>83458.030763693328</v>
      </c>
      <c r="P891" s="5">
        <v>74840.036182179319</v>
      </c>
      <c r="Q891" s="5">
        <v>70295.978314632754</v>
      </c>
      <c r="R891" s="5">
        <v>14079.827908007112</v>
      </c>
    </row>
    <row r="892" spans="9:18">
      <c r="I892" s="4">
        <v>877</v>
      </c>
      <c r="J892" s="5">
        <v>15352.465904292809</v>
      </c>
      <c r="K892" s="5">
        <v>14021.934268028277</v>
      </c>
      <c r="L892" s="5">
        <v>22319.409576580376</v>
      </c>
      <c r="M892" s="5">
        <v>23454.775510296178</v>
      </c>
      <c r="N892" s="5">
        <v>63974.903847153939</v>
      </c>
      <c r="O892" s="5">
        <v>15124.35050053727</v>
      </c>
      <c r="P892" s="5">
        <v>21039.927746191301</v>
      </c>
      <c r="Q892" s="5">
        <v>13214.632802255031</v>
      </c>
      <c r="R892" s="5">
        <v>19133.693426869788</v>
      </c>
    </row>
    <row r="893" spans="9:18">
      <c r="I893" s="4">
        <v>878</v>
      </c>
      <c r="J893" s="5">
        <v>15081.728672246438</v>
      </c>
      <c r="K893" s="5">
        <v>14021.934268028277</v>
      </c>
      <c r="L893" s="5">
        <v>23760.785349782636</v>
      </c>
      <c r="M893" s="5">
        <v>19151.339770278159</v>
      </c>
      <c r="N893" s="5">
        <v>18410.937863650517</v>
      </c>
      <c r="O893" s="5">
        <v>83458.030763693328</v>
      </c>
      <c r="P893" s="5">
        <v>10180.109839011631</v>
      </c>
      <c r="Q893" s="5">
        <v>20883.852062640355</v>
      </c>
      <c r="R893" s="5">
        <v>91403.228438796665</v>
      </c>
    </row>
    <row r="894" spans="9:18">
      <c r="I894" s="4">
        <v>879</v>
      </c>
      <c r="J894" s="5">
        <v>21150.169973104224</v>
      </c>
      <c r="K894" s="5">
        <v>18218.584572172625</v>
      </c>
      <c r="L894" s="5">
        <v>18215.751370765771</v>
      </c>
      <c r="M894" s="5">
        <v>18879.640760542785</v>
      </c>
      <c r="N894" s="5">
        <v>37309.151967087455</v>
      </c>
      <c r="O894" s="5">
        <v>41800.463215706819</v>
      </c>
      <c r="P894" s="5">
        <v>9965.8330787532959</v>
      </c>
      <c r="Q894" s="5">
        <v>20987.925664394581</v>
      </c>
      <c r="R894" s="5">
        <v>50287.76786557267</v>
      </c>
    </row>
    <row r="895" spans="9:18">
      <c r="I895" s="4">
        <v>880</v>
      </c>
      <c r="J895" s="5">
        <v>14671.176405938595</v>
      </c>
      <c r="K895" s="5">
        <v>23543.914024953676</v>
      </c>
      <c r="L895" s="5">
        <v>17845.207337527903</v>
      </c>
      <c r="M895" s="5">
        <v>31472.019071027709</v>
      </c>
      <c r="N895" s="5">
        <v>19125.360074567652</v>
      </c>
      <c r="O895" s="5">
        <v>5444.7598502623823</v>
      </c>
      <c r="P895" s="5">
        <v>31127.87225845682</v>
      </c>
      <c r="Q895" s="5">
        <v>56069.347629295014</v>
      </c>
      <c r="R895" s="5">
        <v>2071.5141323269809</v>
      </c>
    </row>
    <row r="896" spans="9:18">
      <c r="I896" s="4">
        <v>881</v>
      </c>
      <c r="J896" s="5">
        <v>19048.674633640545</v>
      </c>
      <c r="K896" s="5">
        <v>12026.500118162745</v>
      </c>
      <c r="L896" s="5">
        <v>16106.634875163341</v>
      </c>
      <c r="M896" s="5">
        <v>16842.379179328669</v>
      </c>
      <c r="N896" s="5">
        <v>13511.694619545402</v>
      </c>
      <c r="O896" s="5">
        <v>12110.196126281628</v>
      </c>
      <c r="P896" s="5">
        <v>38024.168395914428</v>
      </c>
      <c r="Q896" s="5">
        <v>10151.908492905288</v>
      </c>
      <c r="R896" s="5">
        <v>6681.1887184356683</v>
      </c>
    </row>
    <row r="897" spans="9:18">
      <c r="I897" s="4">
        <v>882</v>
      </c>
      <c r="J897" s="5">
        <v>11843.28062342474</v>
      </c>
      <c r="K897" s="5">
        <v>32294.121255311245</v>
      </c>
      <c r="L897" s="5">
        <v>14649.721476864312</v>
      </c>
      <c r="M897" s="5">
        <v>12619.198742021435</v>
      </c>
      <c r="N897" s="5">
        <v>4770.4216775830728</v>
      </c>
      <c r="O897" s="5">
        <v>27084.483614751469</v>
      </c>
      <c r="P897" s="5">
        <v>66904.018529955298</v>
      </c>
      <c r="Q897" s="5">
        <v>37073.980790337926</v>
      </c>
      <c r="R897" s="5">
        <v>65420.116221752483</v>
      </c>
    </row>
    <row r="898" spans="9:18">
      <c r="I898" s="4">
        <v>883</v>
      </c>
      <c r="J898" s="5">
        <v>15786.811016780619</v>
      </c>
      <c r="K898" s="5">
        <v>17003.901855709089</v>
      </c>
      <c r="L898" s="5">
        <v>16777.996633299583</v>
      </c>
      <c r="M898" s="5">
        <v>14432.283063351901</v>
      </c>
      <c r="N898" s="5">
        <v>25549.748582175915</v>
      </c>
      <c r="O898" s="5">
        <v>13519.384207850644</v>
      </c>
      <c r="P898" s="5">
        <v>14327.191387816954</v>
      </c>
      <c r="Q898" s="5">
        <v>18097.768262249352</v>
      </c>
      <c r="R898" s="5">
        <v>29295.938844292672</v>
      </c>
    </row>
    <row r="899" spans="9:18">
      <c r="I899" s="4">
        <v>884</v>
      </c>
      <c r="J899" s="5">
        <v>21888.821432026474</v>
      </c>
      <c r="K899" s="5">
        <v>7753.2116148734594</v>
      </c>
      <c r="L899" s="5">
        <v>15832.5469007027</v>
      </c>
      <c r="M899" s="5">
        <v>12426.949970383979</v>
      </c>
      <c r="N899" s="5">
        <v>21931.347680292267</v>
      </c>
      <c r="O899" s="5">
        <v>18637.945795127704</v>
      </c>
      <c r="P899" s="5">
        <v>6275.8915673055426</v>
      </c>
      <c r="Q899" s="5">
        <v>27018.509959127641</v>
      </c>
      <c r="R899" s="5">
        <v>50287.76786557267</v>
      </c>
    </row>
    <row r="900" spans="9:18">
      <c r="I900" s="4">
        <v>885</v>
      </c>
      <c r="J900" s="5">
        <v>12056.41843703942</v>
      </c>
      <c r="K900" s="5">
        <v>11206.053243692098</v>
      </c>
      <c r="L900" s="5">
        <v>15300.182042823812</v>
      </c>
      <c r="M900" s="5">
        <v>41698.977215629871</v>
      </c>
      <c r="N900" s="5">
        <v>24769.339976495565</v>
      </c>
      <c r="O900" s="5">
        <v>30876.675913171162</v>
      </c>
      <c r="P900" s="5">
        <v>9811.9720599964548</v>
      </c>
      <c r="Q900" s="5">
        <v>44911.749632594299</v>
      </c>
      <c r="R900" s="5">
        <v>29295.938844292672</v>
      </c>
    </row>
    <row r="901" spans="9:18">
      <c r="I901" s="4">
        <v>886</v>
      </c>
      <c r="J901" s="5">
        <v>15130.594750069789</v>
      </c>
      <c r="K901" s="5">
        <v>14351.415257675473</v>
      </c>
      <c r="L901" s="5">
        <v>15759.954187048656</v>
      </c>
      <c r="M901" s="5">
        <v>24981.974172352908</v>
      </c>
      <c r="N901" s="5">
        <v>26152.705108198839</v>
      </c>
      <c r="O901" s="5">
        <v>4231.3144655921506</v>
      </c>
      <c r="P901" s="5">
        <v>9811.9720599964548</v>
      </c>
      <c r="Q901" s="5">
        <v>8474.2603471579441</v>
      </c>
      <c r="R901" s="5">
        <v>302760.11878714536</v>
      </c>
    </row>
    <row r="902" spans="9:18">
      <c r="I902" s="4">
        <v>887</v>
      </c>
      <c r="J902" s="5">
        <v>12056.41843703942</v>
      </c>
      <c r="K902" s="5">
        <v>14021.934268028277</v>
      </c>
      <c r="L902" s="5">
        <v>18475.258050488967</v>
      </c>
      <c r="M902" s="5">
        <v>19433.64679949253</v>
      </c>
      <c r="N902" s="5">
        <v>26152.705108198839</v>
      </c>
      <c r="O902" s="5">
        <v>31172.963108652857</v>
      </c>
      <c r="P902" s="5">
        <v>25258.981945036445</v>
      </c>
      <c r="Q902" s="5">
        <v>28776.080424849053</v>
      </c>
      <c r="R902" s="5">
        <v>6360.7905155660001</v>
      </c>
    </row>
    <row r="903" spans="9:18">
      <c r="I903" s="4">
        <v>888</v>
      </c>
      <c r="J903" s="5">
        <v>19121.054099180623</v>
      </c>
      <c r="K903" s="5">
        <v>15782.544184844044</v>
      </c>
      <c r="L903" s="5">
        <v>15651.346103181355</v>
      </c>
      <c r="M903" s="5">
        <v>19262.243095117232</v>
      </c>
      <c r="N903" s="5">
        <v>20292.069765667391</v>
      </c>
      <c r="O903" s="5">
        <v>27508.313315384185</v>
      </c>
      <c r="P903" s="5">
        <v>55152.110177667731</v>
      </c>
      <c r="Q903" s="5">
        <v>129470.11441833655</v>
      </c>
      <c r="R903" s="5">
        <v>8046.7106309763258</v>
      </c>
    </row>
    <row r="904" spans="9:18">
      <c r="I904" s="4">
        <v>889</v>
      </c>
      <c r="J904" s="5">
        <v>16733.020222212988</v>
      </c>
      <c r="K904" s="5">
        <v>95171.967522309933</v>
      </c>
      <c r="L904" s="5">
        <v>23561.450544884348</v>
      </c>
      <c r="M904" s="5">
        <v>33862.836621974391</v>
      </c>
      <c r="N904" s="5">
        <v>11788.341482962171</v>
      </c>
      <c r="O904" s="5">
        <v>40581.847217937895</v>
      </c>
      <c r="P904" s="5">
        <v>22601.57564624758</v>
      </c>
      <c r="Q904" s="5">
        <v>31618.396253255491</v>
      </c>
      <c r="R904" s="5">
        <v>41418.225609677866</v>
      </c>
    </row>
    <row r="905" spans="9:18">
      <c r="I905" s="4">
        <v>890</v>
      </c>
      <c r="J905" s="5">
        <v>8580.4413740966302</v>
      </c>
      <c r="K905" s="5">
        <v>61827.107730316675</v>
      </c>
      <c r="L905" s="5">
        <v>19224.583269019437</v>
      </c>
      <c r="M905" s="5">
        <v>14217.48832834715</v>
      </c>
      <c r="N905" s="5">
        <v>21933.097106966918</v>
      </c>
      <c r="O905" s="5">
        <v>31172.963108652857</v>
      </c>
      <c r="P905" s="5">
        <v>27373.102585108634</v>
      </c>
      <c r="Q905" s="5">
        <v>31855.809428519857</v>
      </c>
      <c r="R905" s="5">
        <v>18349.337771428582</v>
      </c>
    </row>
    <row r="906" spans="9:18">
      <c r="I906" s="4">
        <v>891</v>
      </c>
      <c r="J906" s="5">
        <v>16088.430030489333</v>
      </c>
      <c r="K906" s="5">
        <v>21958.925144875713</v>
      </c>
      <c r="L906" s="5">
        <v>21428.663623484812</v>
      </c>
      <c r="M906" s="5">
        <v>17349.963215818931</v>
      </c>
      <c r="N906" s="5">
        <v>23746.795665493762</v>
      </c>
      <c r="O906" s="5">
        <v>32474.063027682765</v>
      </c>
      <c r="P906" s="5">
        <v>14316.965520592317</v>
      </c>
      <c r="Q906" s="5">
        <v>8502.450657922871</v>
      </c>
      <c r="R906" s="5">
        <v>72640.340924600489</v>
      </c>
    </row>
    <row r="907" spans="9:18">
      <c r="I907" s="4">
        <v>892</v>
      </c>
      <c r="J907" s="5">
        <v>28169.050633834027</v>
      </c>
      <c r="K907" s="5">
        <v>21527.93129974293</v>
      </c>
      <c r="L907" s="5">
        <v>21428.663623484812</v>
      </c>
      <c r="M907" s="5">
        <v>23449.501569180404</v>
      </c>
      <c r="N907" s="5">
        <v>15251.140047572881</v>
      </c>
      <c r="O907" s="5">
        <v>94068.324736096256</v>
      </c>
      <c r="P907" s="5">
        <v>14376.883105731285</v>
      </c>
      <c r="Q907" s="5">
        <v>31618.396253255491</v>
      </c>
      <c r="R907" s="5">
        <v>55106.806585409526</v>
      </c>
    </row>
    <row r="908" spans="9:18">
      <c r="I908" s="4">
        <v>893</v>
      </c>
      <c r="J908" s="5">
        <v>31559.699247539775</v>
      </c>
      <c r="K908" s="5">
        <v>21187.174639714212</v>
      </c>
      <c r="L908" s="5">
        <v>17311.244744664215</v>
      </c>
      <c r="M908" s="5">
        <v>33862.836621974391</v>
      </c>
      <c r="N908" s="5">
        <v>26152.705108198839</v>
      </c>
      <c r="O908" s="5">
        <v>59207.798737851255</v>
      </c>
      <c r="P908" s="5">
        <v>3017.2887813579896</v>
      </c>
      <c r="Q908" s="5">
        <v>9652.8114206999071</v>
      </c>
      <c r="R908" s="5">
        <v>38898.713625068609</v>
      </c>
    </row>
    <row r="909" spans="9:18">
      <c r="I909" s="4">
        <v>894</v>
      </c>
      <c r="J909" s="5">
        <v>16733.020222212988</v>
      </c>
      <c r="K909" s="5">
        <v>11206.053243692098</v>
      </c>
      <c r="L909" s="5">
        <v>17920.486090689363</v>
      </c>
      <c r="M909" s="5">
        <v>18816.787977140237</v>
      </c>
      <c r="N909" s="5">
        <v>10882.757905166785</v>
      </c>
      <c r="O909" s="5">
        <v>13966.178986479143</v>
      </c>
      <c r="P909" s="5">
        <v>32167.874670939738</v>
      </c>
      <c r="Q909" s="5">
        <v>17234.335939857254</v>
      </c>
      <c r="R909" s="5">
        <v>122304.95880137496</v>
      </c>
    </row>
    <row r="910" spans="9:18">
      <c r="I910" s="4">
        <v>895</v>
      </c>
      <c r="J910" s="5">
        <v>11036.461796239426</v>
      </c>
      <c r="K910" s="5">
        <v>11149.572204897504</v>
      </c>
      <c r="L910" s="5">
        <v>18810.091753970282</v>
      </c>
      <c r="M910" s="5">
        <v>21913.431401527439</v>
      </c>
      <c r="N910" s="5">
        <v>16418.492928415813</v>
      </c>
      <c r="O910" s="5">
        <v>27195.510785031525</v>
      </c>
      <c r="P910" s="5">
        <v>3930.0915591834291</v>
      </c>
      <c r="Q910" s="5">
        <v>9645.8788061228515</v>
      </c>
      <c r="R910" s="5">
        <v>16039.216896723072</v>
      </c>
    </row>
    <row r="911" spans="9:18">
      <c r="I911" s="4">
        <v>896</v>
      </c>
      <c r="J911" s="5">
        <v>17592.832480262863</v>
      </c>
      <c r="K911" s="5">
        <v>14878.52734402675</v>
      </c>
      <c r="L911" s="5">
        <v>16472.138192556791</v>
      </c>
      <c r="M911" s="5">
        <v>13642.678686731051</v>
      </c>
      <c r="N911" s="5">
        <v>24314.043643333731</v>
      </c>
      <c r="O911" s="5">
        <v>10746.295275180995</v>
      </c>
      <c r="P911" s="5">
        <v>10733.318076105543</v>
      </c>
      <c r="Q911" s="5">
        <v>52545.991451361173</v>
      </c>
      <c r="R911" s="5">
        <v>39263.770877572199</v>
      </c>
    </row>
    <row r="912" spans="9:18">
      <c r="I912" s="4">
        <v>897</v>
      </c>
      <c r="J912" s="5">
        <v>12452.764985867625</v>
      </c>
      <c r="K912" s="5">
        <v>15631.937142257386</v>
      </c>
      <c r="L912" s="5">
        <v>22412.045018675239</v>
      </c>
      <c r="M912" s="5">
        <v>16842.379179328669</v>
      </c>
      <c r="N912" s="5">
        <v>13745.376566850549</v>
      </c>
      <c r="O912" s="5">
        <v>13840.304699955392</v>
      </c>
      <c r="P912" s="5">
        <v>16650.229067545235</v>
      </c>
      <c r="Q912" s="5">
        <v>30495.121067047665</v>
      </c>
      <c r="R912" s="5">
        <v>2180.6148629084787</v>
      </c>
    </row>
    <row r="913" spans="9:18">
      <c r="I913" s="4">
        <v>898</v>
      </c>
      <c r="J913" s="5">
        <v>15130.594750069789</v>
      </c>
      <c r="K913" s="5">
        <v>32294.121255311245</v>
      </c>
      <c r="L913" s="5">
        <v>17683.765335572589</v>
      </c>
      <c r="M913" s="5">
        <v>23908.621352410395</v>
      </c>
      <c r="N913" s="5">
        <v>36962.805083900916</v>
      </c>
      <c r="O913" s="5">
        <v>24369.28567093279</v>
      </c>
      <c r="P913" s="5">
        <v>23769.190223735484</v>
      </c>
      <c r="Q913" s="5">
        <v>16591.881190929333</v>
      </c>
      <c r="R913" s="5">
        <v>261393.32711858812</v>
      </c>
    </row>
    <row r="914" spans="9:18">
      <c r="I914" s="4">
        <v>899</v>
      </c>
      <c r="J914" s="5">
        <v>15081.728672246438</v>
      </c>
      <c r="K914" s="5">
        <v>11507.182177474708</v>
      </c>
      <c r="L914" s="5">
        <v>14264.23790876064</v>
      </c>
      <c r="M914" s="5">
        <v>18691.941789825862</v>
      </c>
      <c r="N914" s="5">
        <v>8104.6265149430556</v>
      </c>
      <c r="O914" s="5">
        <v>3171.3006415671193</v>
      </c>
      <c r="P914" s="5">
        <v>5735.6883097179207</v>
      </c>
      <c r="Q914" s="5">
        <v>129470.11441833655</v>
      </c>
      <c r="R914" s="5">
        <v>27349.63499959607</v>
      </c>
    </row>
    <row r="915" spans="9:18">
      <c r="I915" s="4">
        <v>900</v>
      </c>
      <c r="J915" s="5">
        <v>15786.811016780619</v>
      </c>
      <c r="K915" s="5">
        <v>18821.113178054162</v>
      </c>
      <c r="L915" s="5">
        <v>10752.183901283248</v>
      </c>
      <c r="M915" s="5">
        <v>30830.81083227017</v>
      </c>
      <c r="N915" s="5">
        <v>20583.564383988036</v>
      </c>
      <c r="O915" s="5">
        <v>16524.769946939996</v>
      </c>
      <c r="P915" s="5">
        <v>36724.352187786957</v>
      </c>
      <c r="Q915" s="5">
        <v>64585.328088516922</v>
      </c>
      <c r="R915" s="5">
        <v>2071.5141323269809</v>
      </c>
    </row>
    <row r="916" spans="9:18">
      <c r="I916" s="4">
        <v>901</v>
      </c>
      <c r="J916" s="5">
        <v>16544.73779470181</v>
      </c>
      <c r="K916" s="5">
        <v>17003.901855709089</v>
      </c>
      <c r="L916" s="5">
        <v>16472.138192556791</v>
      </c>
      <c r="M916" s="5">
        <v>15346.383801976139</v>
      </c>
      <c r="N916" s="5">
        <v>14335.478134989447</v>
      </c>
      <c r="O916" s="5">
        <v>21930.527973988665</v>
      </c>
      <c r="P916" s="5">
        <v>18963.234565965948</v>
      </c>
      <c r="Q916" s="5">
        <v>28078.365156847896</v>
      </c>
      <c r="R916" s="5">
        <v>13258.538726001538</v>
      </c>
    </row>
    <row r="917" spans="9:18">
      <c r="I917" s="4">
        <v>902</v>
      </c>
      <c r="J917" s="5">
        <v>16156.372629961115</v>
      </c>
      <c r="K917" s="5">
        <v>21187.174639714212</v>
      </c>
      <c r="L917" s="5">
        <v>16955.349467865559</v>
      </c>
      <c r="M917" s="5">
        <v>19151.339770278159</v>
      </c>
      <c r="N917" s="5">
        <v>18410.937863650517</v>
      </c>
      <c r="O917" s="5">
        <v>20991.103410982985</v>
      </c>
      <c r="P917" s="5">
        <v>36724.352187786957</v>
      </c>
      <c r="Q917" s="5">
        <v>129470.11441833655</v>
      </c>
      <c r="R917" s="5">
        <v>89167.415757270224</v>
      </c>
    </row>
    <row r="918" spans="9:18">
      <c r="I918" s="4">
        <v>903</v>
      </c>
      <c r="J918" s="5">
        <v>20002.201347927807</v>
      </c>
      <c r="K918" s="5">
        <v>14611.618478071941</v>
      </c>
      <c r="L918" s="5">
        <v>17920.486090689363</v>
      </c>
      <c r="M918" s="5">
        <v>19795.661011456152</v>
      </c>
      <c r="N918" s="5">
        <v>12523.573732460784</v>
      </c>
      <c r="O918" s="5">
        <v>24422.445067017139</v>
      </c>
      <c r="P918" s="5">
        <v>14376.883105731285</v>
      </c>
      <c r="Q918" s="5">
        <v>25156.033327562815</v>
      </c>
      <c r="R918" s="5">
        <v>12194.45251033065</v>
      </c>
    </row>
    <row r="919" spans="9:18">
      <c r="I919" s="4">
        <v>904</v>
      </c>
      <c r="J919" s="5">
        <v>20768.286261788198</v>
      </c>
      <c r="K919" s="5">
        <v>13520.836427679104</v>
      </c>
      <c r="L919" s="5">
        <v>34748.877779456467</v>
      </c>
      <c r="M919" s="5">
        <v>19795.661011456152</v>
      </c>
      <c r="N919" s="5">
        <v>35826.921212852278</v>
      </c>
      <c r="O919" s="5">
        <v>55264.438774006347</v>
      </c>
      <c r="P919" s="5">
        <v>12992.105410393709</v>
      </c>
      <c r="Q919" s="5">
        <v>14064.158297039334</v>
      </c>
      <c r="R919" s="5">
        <v>41056.152565483346</v>
      </c>
    </row>
    <row r="920" spans="9:18">
      <c r="I920" s="4">
        <v>905</v>
      </c>
      <c r="J920" s="5">
        <v>14960.076233580705</v>
      </c>
      <c r="K920" s="5">
        <v>21527.93129974293</v>
      </c>
      <c r="L920" s="5">
        <v>14649.721476864312</v>
      </c>
      <c r="M920" s="5">
        <v>11680.747299075838</v>
      </c>
      <c r="N920" s="5">
        <v>4770.4216775830728</v>
      </c>
      <c r="O920" s="5">
        <v>11282.178219986479</v>
      </c>
      <c r="P920" s="5">
        <v>14316.965520592317</v>
      </c>
      <c r="Q920" s="5">
        <v>54060.5331097772</v>
      </c>
      <c r="R920" s="5">
        <v>34970.397641695177</v>
      </c>
    </row>
    <row r="921" spans="9:18">
      <c r="I921" s="4">
        <v>906</v>
      </c>
      <c r="J921" s="5">
        <v>49463.324094345015</v>
      </c>
      <c r="K921" s="5">
        <v>16665.1498926479</v>
      </c>
      <c r="L921" s="5">
        <v>17243.440968229323</v>
      </c>
      <c r="M921" s="5">
        <v>20550.782384061673</v>
      </c>
      <c r="N921" s="5">
        <v>15786.177386596903</v>
      </c>
      <c r="O921" s="5">
        <v>77417.02098927302</v>
      </c>
      <c r="P921" s="5">
        <v>25258.981945036445</v>
      </c>
      <c r="Q921" s="5">
        <v>30495.121067047665</v>
      </c>
      <c r="R921" s="5">
        <v>90296.353221228885</v>
      </c>
    </row>
    <row r="922" spans="9:18">
      <c r="I922" s="4">
        <v>907</v>
      </c>
      <c r="J922" s="5">
        <v>14076.209333698853</v>
      </c>
      <c r="K922" s="5">
        <v>26110.948843472826</v>
      </c>
      <c r="L922" s="5">
        <v>17128.574519497746</v>
      </c>
      <c r="M922" s="5">
        <v>15202.972920708273</v>
      </c>
      <c r="N922" s="5">
        <v>13511.694619545402</v>
      </c>
      <c r="O922" s="5">
        <v>66253.993323243907</v>
      </c>
      <c r="P922" s="5">
        <v>22601.57564624758</v>
      </c>
      <c r="Q922" s="5">
        <v>31019.493883163672</v>
      </c>
      <c r="R922" s="5">
        <v>39727.513802035661</v>
      </c>
    </row>
    <row r="923" spans="9:18">
      <c r="I923" s="4">
        <v>908</v>
      </c>
      <c r="J923" s="5">
        <v>12701.339251949787</v>
      </c>
      <c r="K923" s="5">
        <v>15347.101709242541</v>
      </c>
      <c r="L923" s="5">
        <v>15746.942257105531</v>
      </c>
      <c r="M923" s="5">
        <v>21712.71007234112</v>
      </c>
      <c r="N923" s="5">
        <v>22735.120948269971</v>
      </c>
      <c r="O923" s="5">
        <v>28431.436490368542</v>
      </c>
      <c r="P923" s="5">
        <v>14376.883105731285</v>
      </c>
      <c r="Q923" s="5">
        <v>28078.365156847896</v>
      </c>
      <c r="R923" s="5">
        <v>39263.770877572199</v>
      </c>
    </row>
    <row r="924" spans="9:18">
      <c r="I924" s="4">
        <v>909</v>
      </c>
      <c r="J924" s="5">
        <v>14750.660273177687</v>
      </c>
      <c r="K924" s="5">
        <v>18218.584572172625</v>
      </c>
      <c r="L924" s="5">
        <v>15126.980926457318</v>
      </c>
      <c r="M924" s="5">
        <v>10142.860128720422</v>
      </c>
      <c r="N924" s="5">
        <v>42744.618431291936</v>
      </c>
      <c r="O924" s="5">
        <v>26268.613803794757</v>
      </c>
      <c r="P924" s="5">
        <v>34768.042801665702</v>
      </c>
      <c r="Q924" s="5">
        <v>59964.86015574776</v>
      </c>
      <c r="R924" s="5">
        <v>62674.060343500474</v>
      </c>
    </row>
    <row r="925" spans="9:18">
      <c r="I925" s="4">
        <v>910</v>
      </c>
      <c r="J925" s="5">
        <v>8580.4413740966302</v>
      </c>
      <c r="K925" s="5">
        <v>23934.551191616061</v>
      </c>
      <c r="L925" s="5">
        <v>17128.574519497746</v>
      </c>
      <c r="M925" s="5">
        <v>18816.787977140237</v>
      </c>
      <c r="N925" s="5">
        <v>27833.630848857778</v>
      </c>
      <c r="O925" s="5">
        <v>30656.031716467984</v>
      </c>
      <c r="P925" s="5">
        <v>8069.5385577067918</v>
      </c>
      <c r="Q925" s="5">
        <v>12253.299944531094</v>
      </c>
      <c r="R925" s="5">
        <v>302760.11878714536</v>
      </c>
    </row>
    <row r="926" spans="9:18">
      <c r="I926" s="4">
        <v>911</v>
      </c>
      <c r="J926" s="5">
        <v>14671.176405938595</v>
      </c>
      <c r="K926" s="5">
        <v>32073.547537933715</v>
      </c>
      <c r="L926" s="5">
        <v>17073.17760523731</v>
      </c>
      <c r="M926" s="5">
        <v>17116.951435661951</v>
      </c>
      <c r="N926" s="5">
        <v>29468.83360104046</v>
      </c>
      <c r="O926" s="5">
        <v>8121.6248378263163</v>
      </c>
      <c r="P926" s="5">
        <v>23769.190223735484</v>
      </c>
      <c r="Q926" s="5">
        <v>13865.641566869812</v>
      </c>
      <c r="R926" s="5">
        <v>40368.364083205248</v>
      </c>
    </row>
    <row r="927" spans="9:18">
      <c r="I927" s="4">
        <v>912</v>
      </c>
      <c r="J927" s="5">
        <v>45301.532027110363</v>
      </c>
      <c r="K927" s="5">
        <v>9739.7813029644258</v>
      </c>
      <c r="L927" s="5">
        <v>19224.583269019437</v>
      </c>
      <c r="M927" s="5">
        <v>18816.787977140237</v>
      </c>
      <c r="N927" s="5">
        <v>22010.718648995869</v>
      </c>
      <c r="O927" s="5">
        <v>9869.5889207969612</v>
      </c>
      <c r="P927" s="5">
        <v>54923.423457863879</v>
      </c>
      <c r="Q927" s="5">
        <v>37101.531383212743</v>
      </c>
      <c r="R927" s="5">
        <v>31715.273557891396</v>
      </c>
    </row>
    <row r="928" spans="9:18">
      <c r="I928" s="4">
        <v>913</v>
      </c>
      <c r="J928" s="5">
        <v>14017.326487344162</v>
      </c>
      <c r="K928" s="5">
        <v>14095.75230105142</v>
      </c>
      <c r="L928" s="5">
        <v>15471.738323660695</v>
      </c>
      <c r="M928" s="5">
        <v>7334.8610818348589</v>
      </c>
      <c r="N928" s="5">
        <v>14921.795973817481</v>
      </c>
      <c r="O928" s="5">
        <v>9320.7026593487881</v>
      </c>
      <c r="P928" s="5">
        <v>46514.467673254068</v>
      </c>
      <c r="Q928" s="5">
        <v>73941.636731325911</v>
      </c>
      <c r="R928" s="5">
        <v>55012.315589742022</v>
      </c>
    </row>
    <row r="929" spans="9:18">
      <c r="I929" s="4">
        <v>914</v>
      </c>
      <c r="J929" s="5">
        <v>19121.054099180623</v>
      </c>
      <c r="K929" s="5">
        <v>11507.182177474708</v>
      </c>
      <c r="L929" s="5">
        <v>15225.811035017256</v>
      </c>
      <c r="M929" s="5">
        <v>19890.009981657669</v>
      </c>
      <c r="N929" s="5">
        <v>22511.351424689696</v>
      </c>
      <c r="O929" s="5">
        <v>28431.436490368542</v>
      </c>
      <c r="P929" s="5">
        <v>55152.110177667731</v>
      </c>
      <c r="Q929" s="5">
        <v>22145.301831504508</v>
      </c>
      <c r="R929" s="5">
        <v>8046.7106309763258</v>
      </c>
    </row>
    <row r="930" spans="9:18">
      <c r="I930" s="4">
        <v>915</v>
      </c>
      <c r="J930" s="5">
        <v>11936.262457073821</v>
      </c>
      <c r="K930" s="5">
        <v>11206.053243692098</v>
      </c>
      <c r="L930" s="5">
        <v>15664.99858445921</v>
      </c>
      <c r="M930" s="5">
        <v>6367.5407465007311</v>
      </c>
      <c r="N930" s="5">
        <v>35826.921212852278</v>
      </c>
      <c r="O930" s="5">
        <v>10369.402667058452</v>
      </c>
      <c r="P930" s="5">
        <v>27452.975716953504</v>
      </c>
      <c r="Q930" s="5">
        <v>92068.726035424203</v>
      </c>
      <c r="R930" s="5">
        <v>76851.431017396084</v>
      </c>
    </row>
    <row r="931" spans="9:18">
      <c r="I931" s="4">
        <v>916</v>
      </c>
      <c r="J931" s="5">
        <v>28169.050633834027</v>
      </c>
      <c r="K931" s="5">
        <v>30552.499930043898</v>
      </c>
      <c r="L931" s="5">
        <v>16071.260291253868</v>
      </c>
      <c r="M931" s="5">
        <v>13642.678686731051</v>
      </c>
      <c r="N931" s="5">
        <v>23998.040874392525</v>
      </c>
      <c r="O931" s="5">
        <v>19492.655596593511</v>
      </c>
      <c r="P931" s="5">
        <v>26126.807131356076</v>
      </c>
      <c r="Q931" s="5">
        <v>31618.396253255491</v>
      </c>
      <c r="R931" s="5">
        <v>8105.1944146993656</v>
      </c>
    </row>
    <row r="932" spans="9:18">
      <c r="I932" s="4">
        <v>917</v>
      </c>
      <c r="J932" s="5">
        <v>20768.286261788198</v>
      </c>
      <c r="K932" s="5">
        <v>16934.093371663999</v>
      </c>
      <c r="L932" s="5">
        <v>16955.349467865559</v>
      </c>
      <c r="M932" s="5">
        <v>13616.35938654862</v>
      </c>
      <c r="N932" s="5">
        <v>15251.140047572881</v>
      </c>
      <c r="O932" s="5">
        <v>30656.031716467984</v>
      </c>
      <c r="P932" s="5">
        <v>77603.711720266961</v>
      </c>
      <c r="Q932" s="5">
        <v>53055.59182561023</v>
      </c>
      <c r="R932" s="5">
        <v>7394.6358885760465</v>
      </c>
    </row>
    <row r="933" spans="9:18">
      <c r="I933" s="4">
        <v>918</v>
      </c>
      <c r="J933" s="5">
        <v>16145.071869702888</v>
      </c>
      <c r="K933" s="5">
        <v>14587.813833513306</v>
      </c>
      <c r="L933" s="5">
        <v>22162.138529251199</v>
      </c>
      <c r="M933" s="5">
        <v>17116.951435661951</v>
      </c>
      <c r="N933" s="5">
        <v>12592.300437162297</v>
      </c>
      <c r="O933" s="5">
        <v>42492.261063288854</v>
      </c>
      <c r="P933" s="5">
        <v>26541.896041444568</v>
      </c>
      <c r="Q933" s="5">
        <v>17493.456269945855</v>
      </c>
      <c r="R933" s="5">
        <v>38898.713625068609</v>
      </c>
    </row>
    <row r="934" spans="9:18">
      <c r="I934" s="4">
        <v>919</v>
      </c>
      <c r="J934" s="5">
        <v>16459.003095225507</v>
      </c>
      <c r="K934" s="5">
        <v>12423.491400404893</v>
      </c>
      <c r="L934" s="5">
        <v>13023.361770761438</v>
      </c>
      <c r="M934" s="5">
        <v>16001.653036457456</v>
      </c>
      <c r="N934" s="5">
        <v>63974.903847153939</v>
      </c>
      <c r="O934" s="5">
        <v>35865.625349531729</v>
      </c>
      <c r="P934" s="5">
        <v>8662.4232458952465</v>
      </c>
      <c r="Q934" s="5">
        <v>9652.8114206999071</v>
      </c>
      <c r="R934" s="5">
        <v>72561.496699005787</v>
      </c>
    </row>
    <row r="935" spans="9:18">
      <c r="I935" s="4">
        <v>920</v>
      </c>
      <c r="J935" s="5">
        <v>13595.404057849493</v>
      </c>
      <c r="K935" s="5">
        <v>14579.232378315752</v>
      </c>
      <c r="L935" s="5">
        <v>16017.890956041876</v>
      </c>
      <c r="M935" s="5">
        <v>23908.621352410395</v>
      </c>
      <c r="N935" s="5">
        <v>17891.96347244953</v>
      </c>
      <c r="O935" s="5">
        <v>41653.890350944224</v>
      </c>
      <c r="P935" s="5">
        <v>3017.2887813579896</v>
      </c>
      <c r="Q935" s="5">
        <v>59134.059519022907</v>
      </c>
      <c r="R935" s="5">
        <v>41418.225609677866</v>
      </c>
    </row>
    <row r="936" spans="9:18">
      <c r="I936" s="4">
        <v>921</v>
      </c>
      <c r="J936" s="5">
        <v>15554.996700302558</v>
      </c>
      <c r="K936" s="5">
        <v>16132.555399908759</v>
      </c>
      <c r="L936" s="5">
        <v>14364.472927446199</v>
      </c>
      <c r="M936" s="5">
        <v>14217.48832834715</v>
      </c>
      <c r="N936" s="5">
        <v>14335.478134989447</v>
      </c>
      <c r="O936" s="5">
        <v>8024.6340027919978</v>
      </c>
      <c r="P936" s="5">
        <v>3930.0915591834291</v>
      </c>
      <c r="Q936" s="5">
        <v>31974.553851773013</v>
      </c>
      <c r="R936" s="5">
        <v>2180.6148629084787</v>
      </c>
    </row>
    <row r="937" spans="9:18">
      <c r="I937" s="4">
        <v>922</v>
      </c>
      <c r="J937" s="5">
        <v>14017.326487344162</v>
      </c>
      <c r="K937" s="5">
        <v>15698.764831033119</v>
      </c>
      <c r="L937" s="5">
        <v>15161.007794371622</v>
      </c>
      <c r="M937" s="5">
        <v>11680.747299075838</v>
      </c>
      <c r="N937" s="5">
        <v>22010.718648995869</v>
      </c>
      <c r="O937" s="5">
        <v>45451.954570113048</v>
      </c>
      <c r="P937" s="5">
        <v>35213.322626437533</v>
      </c>
      <c r="Q937" s="5">
        <v>68168.482468129529</v>
      </c>
      <c r="R937" s="5">
        <v>96845.299789249824</v>
      </c>
    </row>
    <row r="938" spans="9:18">
      <c r="I938" s="4">
        <v>923</v>
      </c>
      <c r="J938" s="5">
        <v>14680.308400328413</v>
      </c>
      <c r="K938" s="5">
        <v>16081.362509465702</v>
      </c>
      <c r="L938" s="5">
        <v>15759.954187048656</v>
      </c>
      <c r="M938" s="5">
        <v>19042.78605337895</v>
      </c>
      <c r="N938" s="5">
        <v>34295.124147811541</v>
      </c>
      <c r="O938" s="5">
        <v>8121.6248378263163</v>
      </c>
      <c r="P938" s="5">
        <v>12639.596794453437</v>
      </c>
      <c r="Q938" s="5">
        <v>14064.158297039334</v>
      </c>
      <c r="R938" s="5">
        <v>34970.397641695177</v>
      </c>
    </row>
    <row r="939" spans="9:18">
      <c r="I939" s="4">
        <v>924</v>
      </c>
      <c r="J939" s="5">
        <v>14710.037865351254</v>
      </c>
      <c r="K939" s="5">
        <v>13520.836427679104</v>
      </c>
      <c r="L939" s="5">
        <v>14042.41908879921</v>
      </c>
      <c r="M939" s="5">
        <v>33862.836621974391</v>
      </c>
      <c r="N939" s="5">
        <v>45581.602064432409</v>
      </c>
      <c r="O939" s="5">
        <v>25644.588869829797</v>
      </c>
      <c r="P939" s="5">
        <v>3831.1492650071077</v>
      </c>
      <c r="Q939" s="5">
        <v>13865.641566869812</v>
      </c>
      <c r="R939" s="5">
        <v>31715.273557891396</v>
      </c>
    </row>
    <row r="940" spans="9:18">
      <c r="I940" s="4">
        <v>925</v>
      </c>
      <c r="J940" s="5">
        <v>12035.382213755307</v>
      </c>
      <c r="K940" s="5">
        <v>8223.1266007477425</v>
      </c>
      <c r="L940" s="5">
        <v>17311.244744664215</v>
      </c>
      <c r="M940" s="5">
        <v>23515.935489506261</v>
      </c>
      <c r="N940" s="5">
        <v>13511.694619545402</v>
      </c>
      <c r="O940" s="5">
        <v>35865.625349531729</v>
      </c>
      <c r="P940" s="5">
        <v>40377.463755170742</v>
      </c>
      <c r="Q940" s="5">
        <v>30266.563414010914</v>
      </c>
      <c r="R940" s="5">
        <v>14706.681111065362</v>
      </c>
    </row>
    <row r="941" spans="9:18">
      <c r="I941" s="4">
        <v>926</v>
      </c>
      <c r="J941" s="5">
        <v>12056.41843703942</v>
      </c>
      <c r="K941" s="5">
        <v>17003.901855709089</v>
      </c>
      <c r="L941" s="5">
        <v>15746.942257105531</v>
      </c>
      <c r="M941" s="5">
        <v>11680.747299075838</v>
      </c>
      <c r="N941" s="5">
        <v>51261.622558090799</v>
      </c>
      <c r="O941" s="5">
        <v>18637.945795127704</v>
      </c>
      <c r="P941" s="5">
        <v>12639.596794453437</v>
      </c>
      <c r="Q941" s="5">
        <v>11173.074396969254</v>
      </c>
      <c r="R941" s="5">
        <v>86510.608303273053</v>
      </c>
    </row>
    <row r="942" spans="9:18">
      <c r="I942" s="4">
        <v>927</v>
      </c>
      <c r="J942" s="5">
        <v>16416.142496463777</v>
      </c>
      <c r="K942" s="5">
        <v>16674.541027260992</v>
      </c>
      <c r="L942" s="5">
        <v>15487.970507365942</v>
      </c>
      <c r="M942" s="5">
        <v>20550.782384061673</v>
      </c>
      <c r="N942" s="5">
        <v>19125.360074567652</v>
      </c>
      <c r="O942" s="5">
        <v>25644.588869829797</v>
      </c>
      <c r="P942" s="5">
        <v>35213.322626437533</v>
      </c>
      <c r="Q942" s="5">
        <v>10151.908492905288</v>
      </c>
      <c r="R942" s="5">
        <v>33863.04333215439</v>
      </c>
    </row>
    <row r="943" spans="9:18">
      <c r="I943" s="4">
        <v>928</v>
      </c>
      <c r="J943" s="5">
        <v>23517.429992060665</v>
      </c>
      <c r="K943" s="5">
        <v>15347.101709242541</v>
      </c>
      <c r="L943" s="5">
        <v>22018.381599979773</v>
      </c>
      <c r="M943" s="5">
        <v>13139.022167648376</v>
      </c>
      <c r="N943" s="5">
        <v>19125.360074567652</v>
      </c>
      <c r="O943" s="5">
        <v>3171.3006415671193</v>
      </c>
      <c r="P943" s="5">
        <v>21813.848941464526</v>
      </c>
      <c r="Q943" s="5">
        <v>3272.4685014937832</v>
      </c>
      <c r="R943" s="5">
        <v>39727.513802035661</v>
      </c>
    </row>
    <row r="944" spans="9:18">
      <c r="I944" s="4">
        <v>929</v>
      </c>
      <c r="J944" s="5">
        <v>16710.807721801892</v>
      </c>
      <c r="K944" s="5">
        <v>13520.836427679104</v>
      </c>
      <c r="L944" s="5">
        <v>16472.138192556791</v>
      </c>
      <c r="M944" s="5">
        <v>21072.983263501868</v>
      </c>
      <c r="N944" s="5">
        <v>35826.921212852278</v>
      </c>
      <c r="O944" s="5">
        <v>12110.196126281628</v>
      </c>
      <c r="P944" s="5">
        <v>9633.1652908310007</v>
      </c>
      <c r="Q944" s="5">
        <v>6386.5227360487288</v>
      </c>
      <c r="R944" s="5">
        <v>10885.018205103002</v>
      </c>
    </row>
    <row r="945" spans="9:18">
      <c r="I945" s="4">
        <v>930</v>
      </c>
      <c r="J945" s="5">
        <v>21717.214093683677</v>
      </c>
      <c r="K945" s="5">
        <v>7753.2116148734594</v>
      </c>
      <c r="L945" s="5">
        <v>17073.17760523731</v>
      </c>
      <c r="M945" s="5">
        <v>15586.009710351766</v>
      </c>
      <c r="N945" s="5">
        <v>20583.564383988036</v>
      </c>
      <c r="O945" s="5">
        <v>26268.613803794757</v>
      </c>
      <c r="P945" s="5">
        <v>3017.2887813579896</v>
      </c>
      <c r="Q945" s="5">
        <v>16803.875627203233</v>
      </c>
      <c r="R945" s="5">
        <v>6360.7905155660001</v>
      </c>
    </row>
    <row r="946" spans="9:18">
      <c r="I946" s="4">
        <v>931</v>
      </c>
      <c r="J946" s="5">
        <v>15352.465904292809</v>
      </c>
      <c r="K946" s="5">
        <v>14611.618478071941</v>
      </c>
      <c r="L946" s="5">
        <v>14146.191653372813</v>
      </c>
      <c r="M946" s="5">
        <v>16842.379179328669</v>
      </c>
      <c r="N946" s="5">
        <v>10882.757905166785</v>
      </c>
      <c r="O946" s="5">
        <v>41800.463215706819</v>
      </c>
      <c r="P946" s="5">
        <v>14376.883105731285</v>
      </c>
      <c r="Q946" s="5">
        <v>11173.074396969254</v>
      </c>
      <c r="R946" s="5">
        <v>51358.6267760993</v>
      </c>
    </row>
    <row r="947" spans="9:18">
      <c r="I947" s="4">
        <v>932</v>
      </c>
      <c r="J947" s="5">
        <v>26634.853073396614</v>
      </c>
      <c r="K947" s="5">
        <v>14611.618478071941</v>
      </c>
      <c r="L947" s="5">
        <v>14796.875457021113</v>
      </c>
      <c r="M947" s="5">
        <v>19042.78605337895</v>
      </c>
      <c r="N947" s="5">
        <v>23008.246229813707</v>
      </c>
      <c r="O947" s="5">
        <v>16572.483389649329</v>
      </c>
      <c r="P947" s="5">
        <v>10180.109839011631</v>
      </c>
      <c r="Q947" s="5">
        <v>37101.531383212743</v>
      </c>
      <c r="R947" s="5">
        <v>46004.399892616471</v>
      </c>
    </row>
    <row r="948" spans="9:18">
      <c r="I948" s="4">
        <v>933</v>
      </c>
      <c r="J948" s="5">
        <v>19467.17453557903</v>
      </c>
      <c r="K948" s="5">
        <v>16934.093371663999</v>
      </c>
      <c r="L948" s="5">
        <v>18810.091753970282</v>
      </c>
      <c r="M948" s="5">
        <v>19151.339770278159</v>
      </c>
      <c r="N948" s="5">
        <v>9989.086510768735</v>
      </c>
      <c r="O948" s="5">
        <v>9320.7026593487881</v>
      </c>
      <c r="P948" s="5">
        <v>106091.28270624072</v>
      </c>
      <c r="Q948" s="5">
        <v>9796.0979856104404</v>
      </c>
      <c r="R948" s="5">
        <v>86510.608303273053</v>
      </c>
    </row>
    <row r="949" spans="9:18">
      <c r="I949" s="4">
        <v>934</v>
      </c>
      <c r="J949" s="5">
        <v>14710.037865351254</v>
      </c>
      <c r="K949" s="5">
        <v>23543.914024953676</v>
      </c>
      <c r="L949" s="5">
        <v>24256.352541181568</v>
      </c>
      <c r="M949" s="5">
        <v>7334.8610818348589</v>
      </c>
      <c r="N949" s="5">
        <v>15786.177386596903</v>
      </c>
      <c r="O949" s="5">
        <v>26268.613803794757</v>
      </c>
      <c r="P949" s="5">
        <v>21813.848941464526</v>
      </c>
      <c r="Q949" s="5">
        <v>9652.8114206999071</v>
      </c>
      <c r="R949" s="5">
        <v>55012.315589742022</v>
      </c>
    </row>
    <row r="950" spans="9:18">
      <c r="I950" s="4">
        <v>935</v>
      </c>
      <c r="J950" s="5">
        <v>13841.207384998772</v>
      </c>
      <c r="K950" s="5">
        <v>35705.595198125673</v>
      </c>
      <c r="L950" s="5">
        <v>22412.045018675239</v>
      </c>
      <c r="M950" s="5">
        <v>18691.941789825862</v>
      </c>
      <c r="N950" s="5">
        <v>39406.658185292261</v>
      </c>
      <c r="O950" s="5">
        <v>83458.030763693328</v>
      </c>
      <c r="P950" s="5">
        <v>17643.087208586294</v>
      </c>
      <c r="Q950" s="5">
        <v>37101.531383212743</v>
      </c>
      <c r="R950" s="5">
        <v>5865.9802599669383</v>
      </c>
    </row>
    <row r="951" spans="9:18">
      <c r="I951" s="4">
        <v>936</v>
      </c>
      <c r="J951" s="5">
        <v>73074.062486361407</v>
      </c>
      <c r="K951" s="5">
        <v>14021.934268028277</v>
      </c>
      <c r="L951" s="5">
        <v>16577.562442697115</v>
      </c>
      <c r="M951" s="5">
        <v>12735.841453044006</v>
      </c>
      <c r="N951" s="5">
        <v>27841.916587595573</v>
      </c>
      <c r="O951" s="5">
        <v>13840.304699955392</v>
      </c>
      <c r="P951" s="5">
        <v>17996.895987204196</v>
      </c>
      <c r="Q951" s="5">
        <v>28776.080424849053</v>
      </c>
      <c r="R951" s="5">
        <v>27349.63499959607</v>
      </c>
    </row>
    <row r="952" spans="9:18">
      <c r="I952" s="4">
        <v>937</v>
      </c>
      <c r="J952" s="5">
        <v>16511.332839561353</v>
      </c>
      <c r="K952" s="5">
        <v>11403.533194020869</v>
      </c>
      <c r="L952" s="5">
        <v>27144.958215276103</v>
      </c>
      <c r="M952" s="5">
        <v>9623.0342442006167</v>
      </c>
      <c r="N952" s="5">
        <v>24853.247795632611</v>
      </c>
      <c r="O952" s="5">
        <v>10270.120415297655</v>
      </c>
      <c r="P952" s="5">
        <v>6275.8915673055426</v>
      </c>
      <c r="Q952" s="5">
        <v>35525.432376048877</v>
      </c>
      <c r="R952" s="5">
        <v>72640.340924600489</v>
      </c>
    </row>
    <row r="953" spans="9:18">
      <c r="I953" s="4">
        <v>938</v>
      </c>
      <c r="J953" s="5">
        <v>14344.692898101612</v>
      </c>
      <c r="K953" s="5">
        <v>22732.797143159998</v>
      </c>
      <c r="L953" s="5">
        <v>16293.265064857471</v>
      </c>
      <c r="M953" s="5">
        <v>21332.072353846772</v>
      </c>
      <c r="N953" s="5">
        <v>23746.795665493762</v>
      </c>
      <c r="O953" s="5">
        <v>15936.062371781712</v>
      </c>
      <c r="P953" s="5">
        <v>40377.463755170742</v>
      </c>
      <c r="Q953" s="5">
        <v>71213.172792303565</v>
      </c>
      <c r="R953" s="5">
        <v>14079.827908007112</v>
      </c>
    </row>
    <row r="954" spans="9:18">
      <c r="I954" s="4">
        <v>939</v>
      </c>
      <c r="J954" s="5">
        <v>13663.281817546009</v>
      </c>
      <c r="K954" s="5">
        <v>14587.813833513306</v>
      </c>
      <c r="L954" s="5">
        <v>16106.634875163341</v>
      </c>
      <c r="M954" s="5">
        <v>19430.369425783585</v>
      </c>
      <c r="N954" s="5">
        <v>39406.658185292261</v>
      </c>
      <c r="O954" s="5">
        <v>13966.178986479143</v>
      </c>
      <c r="P954" s="5">
        <v>66904.018529955298</v>
      </c>
      <c r="Q954" s="5">
        <v>31974.553851773013</v>
      </c>
      <c r="R954" s="5">
        <v>38898.713625068609</v>
      </c>
    </row>
    <row r="955" spans="9:18">
      <c r="I955" s="4">
        <v>940</v>
      </c>
      <c r="J955" s="5">
        <v>16511.332839561353</v>
      </c>
      <c r="K955" s="5">
        <v>20887.307279900142</v>
      </c>
      <c r="L955" s="5">
        <v>10896.494237357269</v>
      </c>
      <c r="M955" s="5">
        <v>15202.972920708273</v>
      </c>
      <c r="N955" s="5">
        <v>26115.05281128412</v>
      </c>
      <c r="O955" s="5">
        <v>31172.963108652857</v>
      </c>
      <c r="P955" s="5">
        <v>21813.848941464526</v>
      </c>
      <c r="Q955" s="5">
        <v>31902.904306425251</v>
      </c>
      <c r="R955" s="5">
        <v>20303.08745527079</v>
      </c>
    </row>
    <row r="956" spans="9:18">
      <c r="I956" s="4">
        <v>941</v>
      </c>
      <c r="J956" s="5">
        <v>16305.770155972396</v>
      </c>
      <c r="K956" s="5">
        <v>14017.262946034314</v>
      </c>
      <c r="L956" s="5">
        <v>13867.07093008449</v>
      </c>
      <c r="M956" s="5">
        <v>20185.026038758231</v>
      </c>
      <c r="N956" s="5">
        <v>23583.581287126868</v>
      </c>
      <c r="O956" s="5">
        <v>19430.912633256889</v>
      </c>
      <c r="P956" s="5">
        <v>6275.8915673055426</v>
      </c>
      <c r="Q956" s="5">
        <v>42044.890065817184</v>
      </c>
      <c r="R956" s="5">
        <v>181970.23111012415</v>
      </c>
    </row>
    <row r="957" spans="9:18">
      <c r="I957" s="4">
        <v>942</v>
      </c>
      <c r="J957" s="5">
        <v>11036.461796239426</v>
      </c>
      <c r="K957" s="5">
        <v>21218.439146892688</v>
      </c>
      <c r="L957" s="5">
        <v>19189.275558866306</v>
      </c>
      <c r="M957" s="5">
        <v>21833.004790208965</v>
      </c>
      <c r="N957" s="5">
        <v>21931.347680292267</v>
      </c>
      <c r="O957" s="5">
        <v>35286.662852302201</v>
      </c>
      <c r="P957" s="5">
        <v>14376.883105731285</v>
      </c>
      <c r="Q957" s="5">
        <v>73941.636731325911</v>
      </c>
      <c r="R957" s="5">
        <v>181970.23111012415</v>
      </c>
    </row>
    <row r="958" spans="9:18">
      <c r="I958" s="4">
        <v>943</v>
      </c>
      <c r="J958" s="5">
        <v>14680.308400328413</v>
      </c>
      <c r="K958" s="5">
        <v>14854.898507619706</v>
      </c>
      <c r="L958" s="5">
        <v>34748.877779456467</v>
      </c>
      <c r="M958" s="5">
        <v>33862.836621974391</v>
      </c>
      <c r="N958" s="5">
        <v>14921.795973817481</v>
      </c>
      <c r="O958" s="5">
        <v>26565.882515615398</v>
      </c>
      <c r="P958" s="5">
        <v>17974.179326980211</v>
      </c>
      <c r="Q958" s="5">
        <v>18097.768262249352</v>
      </c>
      <c r="R958" s="5">
        <v>9913.4206865238284</v>
      </c>
    </row>
    <row r="959" spans="9:18">
      <c r="I959" s="4">
        <v>944</v>
      </c>
      <c r="J959" s="5">
        <v>14344.692898101612</v>
      </c>
      <c r="K959" s="5">
        <v>14136.873097602549</v>
      </c>
      <c r="L959" s="5">
        <v>14344.859750762502</v>
      </c>
      <c r="M959" s="5">
        <v>14217.48832834715</v>
      </c>
      <c r="N959" s="5">
        <v>23746.795665493762</v>
      </c>
      <c r="O959" s="5">
        <v>27062.73412298776</v>
      </c>
      <c r="P959" s="5">
        <v>12639.596794453437</v>
      </c>
      <c r="Q959" s="5">
        <v>31902.904306425251</v>
      </c>
      <c r="R959" s="5">
        <v>96845.299789249824</v>
      </c>
    </row>
    <row r="960" spans="9:18">
      <c r="I960" s="4">
        <v>945</v>
      </c>
      <c r="J960" s="5">
        <v>16511.332839561353</v>
      </c>
      <c r="K960" s="5">
        <v>16199.334613834633</v>
      </c>
      <c r="L960" s="5">
        <v>16955.349467865559</v>
      </c>
      <c r="M960" s="5">
        <v>23454.775510296178</v>
      </c>
      <c r="N960" s="5">
        <v>26565.664379767408</v>
      </c>
      <c r="O960" s="5">
        <v>30656.031716467984</v>
      </c>
      <c r="P960" s="5">
        <v>5735.6883097179207</v>
      </c>
      <c r="Q960" s="5">
        <v>15663.43865741136</v>
      </c>
      <c r="R960" s="5">
        <v>12194.45251033065</v>
      </c>
    </row>
    <row r="961" spans="9:18">
      <c r="I961" s="4">
        <v>946</v>
      </c>
      <c r="J961" s="5">
        <v>14344.692898101612</v>
      </c>
      <c r="K961" s="5">
        <v>14587.813833513306</v>
      </c>
      <c r="L961" s="5">
        <v>11827.803406885578</v>
      </c>
      <c r="M961" s="5">
        <v>29041.83725675238</v>
      </c>
      <c r="N961" s="5">
        <v>28426.778914975595</v>
      </c>
      <c r="O961" s="5">
        <v>13550.031670770122</v>
      </c>
      <c r="P961" s="5">
        <v>46514.467673254068</v>
      </c>
      <c r="Q961" s="5">
        <v>48756.323642664109</v>
      </c>
      <c r="R961" s="5">
        <v>8130.5639219412278</v>
      </c>
    </row>
    <row r="962" spans="9:18">
      <c r="I962" s="4">
        <v>947</v>
      </c>
      <c r="J962" s="5">
        <v>27392.038553726634</v>
      </c>
      <c r="K962" s="5">
        <v>95171.967522309933</v>
      </c>
      <c r="L962" s="5">
        <v>15764.107424863063</v>
      </c>
      <c r="M962" s="5">
        <v>19795.661011456152</v>
      </c>
      <c r="N962" s="5">
        <v>23746.795665493762</v>
      </c>
      <c r="O962" s="5">
        <v>25802.481365323994</v>
      </c>
      <c r="P962" s="5">
        <v>10966.822219855034</v>
      </c>
      <c r="Q962" s="5">
        <v>37802.358878968138</v>
      </c>
      <c r="R962" s="5">
        <v>59414.886464347241</v>
      </c>
    </row>
    <row r="963" spans="9:18">
      <c r="I963" s="4">
        <v>948</v>
      </c>
      <c r="J963" s="5">
        <v>16088.430030489333</v>
      </c>
      <c r="K963" s="5">
        <v>15631.937142257386</v>
      </c>
      <c r="L963" s="5">
        <v>22412.045018675239</v>
      </c>
      <c r="M963" s="5">
        <v>18177.175180585615</v>
      </c>
      <c r="N963" s="5">
        <v>42744.618431291936</v>
      </c>
      <c r="O963" s="5">
        <v>20991.103410982985</v>
      </c>
      <c r="P963" s="5">
        <v>16650.229067545235</v>
      </c>
      <c r="Q963" s="5">
        <v>52421.574537857021</v>
      </c>
      <c r="R963" s="5">
        <v>87776.138236389699</v>
      </c>
    </row>
    <row r="964" spans="9:18">
      <c r="I964" s="4">
        <v>949</v>
      </c>
      <c r="J964" s="5">
        <v>28590.354879265724</v>
      </c>
      <c r="K964" s="5">
        <v>32073.547537933715</v>
      </c>
      <c r="L964" s="5">
        <v>15225.811035017256</v>
      </c>
      <c r="M964" s="5">
        <v>10111.451009425113</v>
      </c>
      <c r="N964" s="5">
        <v>15251.140047572881</v>
      </c>
      <c r="O964" s="5">
        <v>10369.402667058452</v>
      </c>
      <c r="P964" s="5">
        <v>3930.0915591834291</v>
      </c>
      <c r="Q964" s="5">
        <v>19315.033835554255</v>
      </c>
      <c r="R964" s="5">
        <v>89167.415757270224</v>
      </c>
    </row>
    <row r="965" spans="9:18">
      <c r="I965" s="4">
        <v>950</v>
      </c>
      <c r="J965" s="5">
        <v>13391.049101507895</v>
      </c>
      <c r="K965" s="5">
        <v>23934.551191616061</v>
      </c>
      <c r="L965" s="5">
        <v>19224.583269019437</v>
      </c>
      <c r="M965" s="5">
        <v>26477.996319655329</v>
      </c>
      <c r="N965" s="5">
        <v>22010.718648995869</v>
      </c>
      <c r="O965" s="5">
        <v>24422.445067017139</v>
      </c>
      <c r="P965" s="5">
        <v>9811.9720599964548</v>
      </c>
      <c r="Q965" s="5">
        <v>52421.574537857021</v>
      </c>
      <c r="R965" s="5">
        <v>12130.167062525341</v>
      </c>
    </row>
    <row r="966" spans="9:18">
      <c r="I966" s="4">
        <v>951</v>
      </c>
      <c r="J966" s="5">
        <v>17005.744061105343</v>
      </c>
      <c r="K966" s="5">
        <v>13559.080695844099</v>
      </c>
      <c r="L966" s="5">
        <v>15359.132481533357</v>
      </c>
      <c r="M966" s="5">
        <v>21913.431401527439</v>
      </c>
      <c r="N966" s="5">
        <v>15251.140047572881</v>
      </c>
      <c r="O966" s="5">
        <v>5444.7598502623823</v>
      </c>
      <c r="P966" s="5">
        <v>14376.883105731285</v>
      </c>
      <c r="Q966" s="5">
        <v>35525.432376048877</v>
      </c>
      <c r="R966" s="5">
        <v>81423.874800517297</v>
      </c>
    </row>
    <row r="967" spans="9:18">
      <c r="I967" s="4">
        <v>952</v>
      </c>
      <c r="J967" s="5">
        <v>15064.079707240266</v>
      </c>
      <c r="K967" s="5">
        <v>9739.7813029644258</v>
      </c>
      <c r="L967" s="5">
        <v>16777.996633299583</v>
      </c>
      <c r="M967" s="5">
        <v>12934.591863415189</v>
      </c>
      <c r="N967" s="5">
        <v>13511.694619545402</v>
      </c>
      <c r="O967" s="5">
        <v>42492.261063288854</v>
      </c>
      <c r="P967" s="5">
        <v>32167.874670939738</v>
      </c>
      <c r="Q967" s="5">
        <v>31902.904306425251</v>
      </c>
      <c r="R967" s="5">
        <v>17991.870496434763</v>
      </c>
    </row>
    <row r="968" spans="9:18">
      <c r="I968" s="4">
        <v>953</v>
      </c>
      <c r="J968" s="5">
        <v>12035.382213755307</v>
      </c>
      <c r="K968" s="5">
        <v>15768.312122029349</v>
      </c>
      <c r="L968" s="5">
        <v>16955.349467865559</v>
      </c>
      <c r="M968" s="5">
        <v>25580.243606220469</v>
      </c>
      <c r="N968" s="5">
        <v>10882.757905166785</v>
      </c>
      <c r="O968" s="5">
        <v>28431.436490368542</v>
      </c>
      <c r="P968" s="5">
        <v>54292.749740228588</v>
      </c>
      <c r="Q968" s="5">
        <v>2356.8990887111336</v>
      </c>
      <c r="R968" s="5">
        <v>12116.34255245842</v>
      </c>
    </row>
    <row r="969" spans="9:18">
      <c r="I969" s="4">
        <v>954</v>
      </c>
      <c r="J969" s="5">
        <v>27392.038553726634</v>
      </c>
      <c r="K969" s="5">
        <v>16665.1498926479</v>
      </c>
      <c r="L969" s="5">
        <v>15764.107424863063</v>
      </c>
      <c r="M969" s="5">
        <v>41403.687663920646</v>
      </c>
      <c r="N969" s="5">
        <v>23583.581287126868</v>
      </c>
      <c r="O969" s="5">
        <v>67717.30633712461</v>
      </c>
      <c r="P969" s="5">
        <v>27708.613526855763</v>
      </c>
      <c r="Q969" s="5">
        <v>96632.959478514502</v>
      </c>
      <c r="R969" s="5">
        <v>55012.315589742022</v>
      </c>
    </row>
    <row r="970" spans="9:18">
      <c r="I970" s="4">
        <v>955</v>
      </c>
      <c r="J970" s="5">
        <v>73074.062486361407</v>
      </c>
      <c r="K970" s="5">
        <v>13520.836427679104</v>
      </c>
      <c r="L970" s="5">
        <v>14610.165745300763</v>
      </c>
      <c r="M970" s="5">
        <v>33862.836621974391</v>
      </c>
      <c r="N970" s="5">
        <v>13745.376566850549</v>
      </c>
      <c r="O970" s="5">
        <v>13550.031670770122</v>
      </c>
      <c r="P970" s="5">
        <v>10180.109839011631</v>
      </c>
      <c r="Q970" s="5">
        <v>12253.299944531094</v>
      </c>
      <c r="R970" s="5">
        <v>6360.7905155660001</v>
      </c>
    </row>
    <row r="971" spans="9:18">
      <c r="I971" s="4">
        <v>956</v>
      </c>
      <c r="J971" s="5">
        <v>22812.564910649318</v>
      </c>
      <c r="K971" s="5">
        <v>17003.901855709089</v>
      </c>
      <c r="L971" s="5">
        <v>11827.803406885578</v>
      </c>
      <c r="M971" s="5">
        <v>19433.64679949253</v>
      </c>
      <c r="N971" s="5">
        <v>15658.063692994532</v>
      </c>
      <c r="O971" s="5">
        <v>21930.527973988665</v>
      </c>
      <c r="P971" s="5">
        <v>17996.895987204196</v>
      </c>
      <c r="Q971" s="5">
        <v>31618.396253255491</v>
      </c>
      <c r="R971" s="5">
        <v>72561.496699005787</v>
      </c>
    </row>
    <row r="972" spans="9:18">
      <c r="I972" s="4">
        <v>957</v>
      </c>
      <c r="J972" s="5">
        <v>15130.594750069789</v>
      </c>
      <c r="K972" s="5">
        <v>14579.232378315752</v>
      </c>
      <c r="L972" s="5">
        <v>14175.160754078657</v>
      </c>
      <c r="M972" s="5">
        <v>19097.39635881727</v>
      </c>
      <c r="N972" s="5">
        <v>11251.634703629026</v>
      </c>
      <c r="O972" s="5">
        <v>30876.675913171162</v>
      </c>
      <c r="P972" s="5">
        <v>9482.0186426688688</v>
      </c>
      <c r="Q972" s="5">
        <v>3272.4685014937832</v>
      </c>
      <c r="R972" s="5">
        <v>72640.340924600489</v>
      </c>
    </row>
    <row r="973" spans="9:18">
      <c r="I973" s="4">
        <v>958</v>
      </c>
      <c r="J973" s="5">
        <v>15352.465904292809</v>
      </c>
      <c r="K973" s="5">
        <v>95171.967522309933</v>
      </c>
      <c r="L973" s="5">
        <v>27144.958215276103</v>
      </c>
      <c r="M973" s="5">
        <v>13011.820191946215</v>
      </c>
      <c r="N973" s="5">
        <v>11635.644856128632</v>
      </c>
      <c r="O973" s="5">
        <v>9956.4031238965053</v>
      </c>
      <c r="P973" s="5">
        <v>9826.8369575407578</v>
      </c>
      <c r="Q973" s="5">
        <v>20987.925664394581</v>
      </c>
      <c r="R973" s="5">
        <v>65420.116221752483</v>
      </c>
    </row>
    <row r="974" spans="9:18">
      <c r="I974" s="4">
        <v>959</v>
      </c>
      <c r="J974" s="5">
        <v>15786.811016780619</v>
      </c>
      <c r="K974" s="5">
        <v>20887.307279900142</v>
      </c>
      <c r="L974" s="5">
        <v>15471.738323660695</v>
      </c>
      <c r="M974" s="5">
        <v>22326.253555179093</v>
      </c>
      <c r="N974" s="5">
        <v>23583.581287126868</v>
      </c>
      <c r="O974" s="5">
        <v>13550.031670770122</v>
      </c>
      <c r="P974" s="5">
        <v>34814.458119125498</v>
      </c>
      <c r="Q974" s="5">
        <v>11173.074396969254</v>
      </c>
      <c r="R974" s="5">
        <v>10885.018205103002</v>
      </c>
    </row>
    <row r="975" spans="9:18">
      <c r="I975" s="4">
        <v>960</v>
      </c>
      <c r="J975" s="5">
        <v>14680.308400328413</v>
      </c>
      <c r="K975" s="5">
        <v>13559.080695844099</v>
      </c>
      <c r="L975" s="5">
        <v>17845.207337527903</v>
      </c>
      <c r="M975" s="5">
        <v>21833.004790208965</v>
      </c>
      <c r="N975" s="5">
        <v>32184.535272543482</v>
      </c>
      <c r="O975" s="5">
        <v>13117.417685535194</v>
      </c>
      <c r="P975" s="5">
        <v>20403.656304140692</v>
      </c>
      <c r="Q975" s="5">
        <v>4631.7430487757983</v>
      </c>
      <c r="R975" s="5">
        <v>3311.4906988006405</v>
      </c>
    </row>
    <row r="976" spans="9:18">
      <c r="I976" s="4">
        <v>961</v>
      </c>
      <c r="J976" s="5">
        <v>15786.811016780619</v>
      </c>
      <c r="K976" s="5">
        <v>13559.080695844099</v>
      </c>
      <c r="L976" s="5">
        <v>15471.738323660695</v>
      </c>
      <c r="M976" s="5">
        <v>23908.621352410395</v>
      </c>
      <c r="N976" s="5">
        <v>14240.123545764454</v>
      </c>
      <c r="O976" s="5">
        <v>83458.030763693328</v>
      </c>
      <c r="P976" s="5">
        <v>41657.50350099193</v>
      </c>
      <c r="Q976" s="5">
        <v>64585.328088516922</v>
      </c>
      <c r="R976" s="5">
        <v>16039.216896723072</v>
      </c>
    </row>
    <row r="977" spans="9:18">
      <c r="I977" s="4">
        <v>962</v>
      </c>
      <c r="J977" s="5">
        <v>14960.076233580705</v>
      </c>
      <c r="K977" s="5">
        <v>6949.5708823216592</v>
      </c>
      <c r="L977" s="5">
        <v>17073.17760523731</v>
      </c>
      <c r="M977" s="5">
        <v>22961.931350882205</v>
      </c>
      <c r="N977" s="5">
        <v>11635.644856128632</v>
      </c>
      <c r="O977" s="5">
        <v>13840.304699955392</v>
      </c>
      <c r="P977" s="5">
        <v>34768.042801665702</v>
      </c>
      <c r="Q977" s="5">
        <v>3909.239690544402</v>
      </c>
      <c r="R977" s="5">
        <v>122304.95880137496</v>
      </c>
    </row>
    <row r="978" spans="9:18">
      <c r="I978" s="4">
        <v>963</v>
      </c>
      <c r="J978" s="5">
        <v>15873.12561080002</v>
      </c>
      <c r="K978" s="5">
        <v>7753.2116148734594</v>
      </c>
      <c r="L978" s="5">
        <v>21725.131459372977</v>
      </c>
      <c r="M978" s="5">
        <v>14217.48832834715</v>
      </c>
      <c r="N978" s="5">
        <v>22735.120948269971</v>
      </c>
      <c r="O978" s="5">
        <v>27503.656957929088</v>
      </c>
      <c r="P978" s="5">
        <v>13452.921824087563</v>
      </c>
      <c r="Q978" s="5">
        <v>116445.46783345108</v>
      </c>
      <c r="R978" s="5">
        <v>39263.770877572199</v>
      </c>
    </row>
    <row r="979" spans="9:18">
      <c r="I979" s="4">
        <v>964</v>
      </c>
      <c r="J979" s="5">
        <v>14594.990625703947</v>
      </c>
      <c r="K979" s="5">
        <v>11206.053243692098</v>
      </c>
      <c r="L979" s="5">
        <v>17845.207337527903</v>
      </c>
      <c r="M979" s="5">
        <v>33862.836621974391</v>
      </c>
      <c r="N979" s="5">
        <v>21931.347680292267</v>
      </c>
      <c r="O979" s="5">
        <v>25802.481365323994</v>
      </c>
      <c r="P979" s="5">
        <v>36724.352187786957</v>
      </c>
      <c r="Q979" s="5">
        <v>11173.074396969254</v>
      </c>
      <c r="R979" s="5">
        <v>34970.397641695177</v>
      </c>
    </row>
    <row r="980" spans="9:18">
      <c r="I980" s="4">
        <v>965</v>
      </c>
      <c r="J980" s="5">
        <v>13595.404057849493</v>
      </c>
      <c r="K980" s="5">
        <v>61827.107730316675</v>
      </c>
      <c r="L980" s="5">
        <v>15746.942257105531</v>
      </c>
      <c r="M980" s="5">
        <v>13414.385151739983</v>
      </c>
      <c r="N980" s="5">
        <v>26152.705108198839</v>
      </c>
      <c r="O980" s="5">
        <v>10746.295275180995</v>
      </c>
      <c r="P980" s="5">
        <v>32167.874670939738</v>
      </c>
      <c r="Q980" s="5">
        <v>35525.432376048877</v>
      </c>
      <c r="R980" s="5">
        <v>1535.701520095213</v>
      </c>
    </row>
    <row r="981" spans="9:18">
      <c r="I981" s="4">
        <v>966</v>
      </c>
      <c r="J981" s="5">
        <v>16511.332839561353</v>
      </c>
      <c r="K981" s="5">
        <v>21527.93129974293</v>
      </c>
      <c r="L981" s="5">
        <v>19189.275558866306</v>
      </c>
      <c r="M981" s="5">
        <v>22326.253555179093</v>
      </c>
      <c r="N981" s="5">
        <v>23283.854578052265</v>
      </c>
      <c r="O981" s="5">
        <v>27084.483614751469</v>
      </c>
      <c r="P981" s="5">
        <v>13793.886507202402</v>
      </c>
      <c r="Q981" s="5">
        <v>9138.5169630896526</v>
      </c>
      <c r="R981" s="5">
        <v>20236.767651156802</v>
      </c>
    </row>
    <row r="982" spans="9:18">
      <c r="I982" s="4">
        <v>967</v>
      </c>
      <c r="J982" s="5">
        <v>18650.249281571734</v>
      </c>
      <c r="K982" s="5">
        <v>11206.053243692098</v>
      </c>
      <c r="L982" s="5">
        <v>18602.881797624486</v>
      </c>
      <c r="M982" s="5">
        <v>17542.15972125496</v>
      </c>
      <c r="N982" s="5">
        <v>11952.903761138405</v>
      </c>
      <c r="O982" s="5">
        <v>25802.481365323994</v>
      </c>
      <c r="P982" s="5">
        <v>28537.545734403488</v>
      </c>
      <c r="Q982" s="5">
        <v>73941.636731325911</v>
      </c>
      <c r="R982" s="5">
        <v>51358.6267760993</v>
      </c>
    </row>
    <row r="983" spans="9:18">
      <c r="I983" s="4">
        <v>968</v>
      </c>
      <c r="J983" s="5">
        <v>14750.660273177687</v>
      </c>
      <c r="K983" s="5">
        <v>21958.925144875713</v>
      </c>
      <c r="L983" s="5">
        <v>25389.332759288587</v>
      </c>
      <c r="M983" s="5">
        <v>20041.623430301417</v>
      </c>
      <c r="N983" s="5">
        <v>11604.12831603515</v>
      </c>
      <c r="O983" s="5">
        <v>13117.417685535194</v>
      </c>
      <c r="P983" s="5">
        <v>29283.825979394511</v>
      </c>
      <c r="Q983" s="5">
        <v>31974.553851773013</v>
      </c>
      <c r="R983" s="5">
        <v>72561.496699005787</v>
      </c>
    </row>
    <row r="984" spans="9:18">
      <c r="I984" s="4">
        <v>969</v>
      </c>
      <c r="J984" s="5">
        <v>9405.362381917912</v>
      </c>
      <c r="K984" s="5">
        <v>14351.415257675473</v>
      </c>
      <c r="L984" s="5">
        <v>15161.007794371622</v>
      </c>
      <c r="M984" s="5">
        <v>21272.00214469912</v>
      </c>
      <c r="N984" s="5">
        <v>21009.255892677338</v>
      </c>
      <c r="O984" s="5">
        <v>27503.656957929088</v>
      </c>
      <c r="P984" s="5">
        <v>9826.8369575407578</v>
      </c>
      <c r="Q984" s="5">
        <v>13099.063525342741</v>
      </c>
      <c r="R984" s="5">
        <v>55106.806585409526</v>
      </c>
    </row>
    <row r="985" spans="9:18">
      <c r="I985" s="4">
        <v>970</v>
      </c>
      <c r="J985" s="5">
        <v>27392.038553726634</v>
      </c>
      <c r="K985" s="5">
        <v>14136.873097602549</v>
      </c>
      <c r="L985" s="5">
        <v>17243.440968229323</v>
      </c>
      <c r="M985" s="5">
        <v>22815.60259636537</v>
      </c>
      <c r="N985" s="5">
        <v>23043.345403059295</v>
      </c>
      <c r="O985" s="5">
        <v>27062.73412298776</v>
      </c>
      <c r="P985" s="5">
        <v>74840.036182179319</v>
      </c>
      <c r="Q985" s="5">
        <v>8880.8074399558282</v>
      </c>
      <c r="R985" s="5">
        <v>86510.608303273053</v>
      </c>
    </row>
    <row r="986" spans="9:18">
      <c r="I986" s="4">
        <v>971</v>
      </c>
      <c r="J986" s="5">
        <v>28085.9245102444</v>
      </c>
      <c r="K986" s="5">
        <v>14674.169276244838</v>
      </c>
      <c r="L986" s="5">
        <v>16293.265064857471</v>
      </c>
      <c r="M986" s="5">
        <v>23515.935489506261</v>
      </c>
      <c r="N986" s="5">
        <v>40377.252444397986</v>
      </c>
      <c r="O986" s="5">
        <v>28431.436490368542</v>
      </c>
      <c r="P986" s="5">
        <v>9811.9720599964548</v>
      </c>
      <c r="Q986" s="5">
        <v>4924.9171270300558</v>
      </c>
      <c r="R986" s="5">
        <v>16039.216896723072</v>
      </c>
    </row>
    <row r="987" spans="9:18">
      <c r="I987" s="4">
        <v>972</v>
      </c>
      <c r="J987" s="5">
        <v>14420.293087375476</v>
      </c>
      <c r="K987" s="5">
        <v>14579.232378315752</v>
      </c>
      <c r="L987" s="5">
        <v>24256.352541181568</v>
      </c>
      <c r="M987" s="5">
        <v>32751.734100446065</v>
      </c>
      <c r="N987" s="5">
        <v>24769.339976495565</v>
      </c>
      <c r="O987" s="5">
        <v>25802.481365323994</v>
      </c>
      <c r="P987" s="5">
        <v>9633.1652908310007</v>
      </c>
      <c r="Q987" s="5">
        <v>79566.621912742485</v>
      </c>
      <c r="R987" s="5">
        <v>302760.11878714536</v>
      </c>
    </row>
    <row r="988" spans="9:18">
      <c r="I988" s="4">
        <v>973</v>
      </c>
      <c r="J988" s="5">
        <v>14076.209333698853</v>
      </c>
      <c r="K988" s="5">
        <v>15631.937142257386</v>
      </c>
      <c r="L988" s="5">
        <v>13023.361770761438</v>
      </c>
      <c r="M988" s="5">
        <v>12934.591863415189</v>
      </c>
      <c r="N988" s="5">
        <v>20292.069765667391</v>
      </c>
      <c r="O988" s="5">
        <v>53028.643350899503</v>
      </c>
      <c r="P988" s="5">
        <v>5735.6883097179207</v>
      </c>
      <c r="Q988" s="5">
        <v>64585.328088516922</v>
      </c>
      <c r="R988" s="5">
        <v>7784.2246210242874</v>
      </c>
    </row>
    <row r="989" spans="9:18">
      <c r="I989" s="4">
        <v>974</v>
      </c>
      <c r="J989" s="5">
        <v>16416.142496463777</v>
      </c>
      <c r="K989" s="5">
        <v>35488.449387009874</v>
      </c>
      <c r="L989" s="5">
        <v>18602.881797624486</v>
      </c>
      <c r="M989" s="5">
        <v>19890.009981657669</v>
      </c>
      <c r="N989" s="5">
        <v>23008.246229813707</v>
      </c>
      <c r="O989" s="5">
        <v>8024.6340027919978</v>
      </c>
      <c r="P989" s="5">
        <v>10966.822219855034</v>
      </c>
      <c r="Q989" s="5">
        <v>20883.852062640355</v>
      </c>
      <c r="R989" s="5">
        <v>3311.4906988006405</v>
      </c>
    </row>
    <row r="990" spans="9:18">
      <c r="I990" s="4">
        <v>975</v>
      </c>
      <c r="J990" s="5">
        <v>12035.382213755307</v>
      </c>
      <c r="K990" s="5">
        <v>14497.035717129334</v>
      </c>
      <c r="L990" s="5">
        <v>18475.258050488967</v>
      </c>
      <c r="M990" s="5">
        <v>23913.435663027711</v>
      </c>
      <c r="N990" s="5">
        <v>21617.945168312468</v>
      </c>
      <c r="O990" s="5">
        <v>19492.655596593511</v>
      </c>
      <c r="P990" s="5">
        <v>14376.883105731285</v>
      </c>
      <c r="Q990" s="5">
        <v>31974.553851773013</v>
      </c>
      <c r="R990" s="5">
        <v>46004.399892616471</v>
      </c>
    </row>
    <row r="991" spans="9:18">
      <c r="I991" s="4">
        <v>976</v>
      </c>
      <c r="J991" s="5">
        <v>14680.308400328413</v>
      </c>
      <c r="K991" s="5">
        <v>7753.2116148734594</v>
      </c>
      <c r="L991" s="5">
        <v>17845.207337527903</v>
      </c>
      <c r="M991" s="5">
        <v>10111.451009425113</v>
      </c>
      <c r="N991" s="5">
        <v>22735.120948269971</v>
      </c>
      <c r="O991" s="5">
        <v>24258.192244316608</v>
      </c>
      <c r="P991" s="5">
        <v>20403.656304140692</v>
      </c>
      <c r="Q991" s="5">
        <v>148345.62878828164</v>
      </c>
      <c r="R991" s="5">
        <v>29295.938844292672</v>
      </c>
    </row>
    <row r="992" spans="9:18">
      <c r="I992" s="4">
        <v>977</v>
      </c>
      <c r="J992" s="5">
        <v>19467.17453557903</v>
      </c>
      <c r="K992" s="5">
        <v>15391.837334808681</v>
      </c>
      <c r="L992" s="5">
        <v>16106.634875163341</v>
      </c>
      <c r="M992" s="5">
        <v>22961.931350882205</v>
      </c>
      <c r="N992" s="5">
        <v>14240.123545764454</v>
      </c>
      <c r="O992" s="5">
        <v>45451.954570113048</v>
      </c>
      <c r="P992" s="5">
        <v>17974.179326980211</v>
      </c>
      <c r="Q992" s="5">
        <v>73941.636731325911</v>
      </c>
      <c r="R992" s="5">
        <v>72640.340924600489</v>
      </c>
    </row>
    <row r="993" spans="9:18">
      <c r="I993" s="4">
        <v>978</v>
      </c>
      <c r="J993" s="5">
        <v>15352.465904292809</v>
      </c>
      <c r="K993" s="5">
        <v>13288.692555879701</v>
      </c>
      <c r="L993" s="5">
        <v>10752.183901283248</v>
      </c>
      <c r="M993" s="5">
        <v>16001.653036457456</v>
      </c>
      <c r="N993" s="5">
        <v>63974.903847153939</v>
      </c>
      <c r="O993" s="5">
        <v>40942.522561879181</v>
      </c>
      <c r="P993" s="5">
        <v>35569.894390728325</v>
      </c>
      <c r="Q993" s="5">
        <v>37277.391668005912</v>
      </c>
      <c r="R993" s="5">
        <v>29295.938844292672</v>
      </c>
    </row>
    <row r="994" spans="9:18">
      <c r="I994" s="4">
        <v>979</v>
      </c>
      <c r="J994" s="5">
        <v>11036.461796239426</v>
      </c>
      <c r="K994" s="5">
        <v>34058.671324159091</v>
      </c>
      <c r="L994" s="5">
        <v>15746.942257105531</v>
      </c>
      <c r="M994" s="5">
        <v>14660.631931099009</v>
      </c>
      <c r="N994" s="5">
        <v>9563.1256545330361</v>
      </c>
      <c r="O994" s="5">
        <v>16505.600261180331</v>
      </c>
      <c r="P994" s="5">
        <v>22601.57564624758</v>
      </c>
      <c r="Q994" s="5">
        <v>16803.875627203233</v>
      </c>
      <c r="R994" s="5">
        <v>39788.288251916689</v>
      </c>
    </row>
    <row r="995" spans="9:18">
      <c r="I995" s="4">
        <v>980</v>
      </c>
      <c r="J995" s="5">
        <v>14594.990625703947</v>
      </c>
      <c r="K995" s="5">
        <v>15698.764831033119</v>
      </c>
      <c r="L995" s="5">
        <v>14146.191653372813</v>
      </c>
      <c r="M995" s="5">
        <v>22326.253555179093</v>
      </c>
      <c r="N995" s="5">
        <v>11952.903761138405</v>
      </c>
      <c r="O995" s="5">
        <v>28431.436490368542</v>
      </c>
      <c r="P995" s="5">
        <v>54923.423457863879</v>
      </c>
      <c r="Q995" s="5">
        <v>7349.2234634219121</v>
      </c>
      <c r="R995" s="5">
        <v>96845.299789249824</v>
      </c>
    </row>
    <row r="996" spans="9:18">
      <c r="I996" s="4">
        <v>981</v>
      </c>
      <c r="J996" s="5">
        <v>22188.291830993156</v>
      </c>
      <c r="K996" s="5">
        <v>14674.169276244838</v>
      </c>
      <c r="L996" s="5">
        <v>16071.478531535273</v>
      </c>
      <c r="M996" s="5">
        <v>13414.385151739983</v>
      </c>
      <c r="N996" s="5">
        <v>16418.492928415813</v>
      </c>
      <c r="O996" s="5">
        <v>9956.4031238965053</v>
      </c>
      <c r="P996" s="5">
        <v>95486.196907583406</v>
      </c>
      <c r="Q996" s="5">
        <v>73941.636731325911</v>
      </c>
      <c r="R996" s="5">
        <v>14051.647494499957</v>
      </c>
    </row>
    <row r="997" spans="9:18">
      <c r="I997" s="4">
        <v>982</v>
      </c>
      <c r="J997" s="5">
        <v>13045.114546182727</v>
      </c>
      <c r="K997" s="5">
        <v>7753.2116148734594</v>
      </c>
      <c r="L997" s="5">
        <v>14316.474075738101</v>
      </c>
      <c r="M997" s="5">
        <v>13065.820809359835</v>
      </c>
      <c r="N997" s="5">
        <v>16581.915858379376</v>
      </c>
      <c r="O997" s="5">
        <v>27084.483614751469</v>
      </c>
      <c r="P997" s="5">
        <v>54100.778483493887</v>
      </c>
      <c r="Q997" s="5">
        <v>16591.881190929333</v>
      </c>
      <c r="R997" s="5">
        <v>38898.713625068609</v>
      </c>
    </row>
    <row r="998" spans="9:18">
      <c r="I998" s="4">
        <v>983</v>
      </c>
      <c r="J998" s="5">
        <v>11843.28062342474</v>
      </c>
      <c r="K998" s="5">
        <v>32294.121255311245</v>
      </c>
      <c r="L998" s="5">
        <v>14649.721476864312</v>
      </c>
      <c r="M998" s="5">
        <v>23454.775510296178</v>
      </c>
      <c r="N998" s="5">
        <v>9989.086510768735</v>
      </c>
      <c r="O998" s="5">
        <v>10746.295275180995</v>
      </c>
      <c r="P998" s="5">
        <v>14773.185437294762</v>
      </c>
      <c r="Q998" s="5">
        <v>28567.61306643406</v>
      </c>
      <c r="R998" s="5">
        <v>33863.04333215439</v>
      </c>
    </row>
    <row r="999" spans="9:18">
      <c r="I999" s="4">
        <v>984</v>
      </c>
      <c r="J999" s="5">
        <v>15081.728672246438</v>
      </c>
      <c r="K999" s="5">
        <v>14095.75230105142</v>
      </c>
      <c r="L999" s="5">
        <v>13037.115556745504</v>
      </c>
      <c r="M999" s="5">
        <v>14660.631931099009</v>
      </c>
      <c r="N999" s="5">
        <v>26152.705108198839</v>
      </c>
      <c r="O999" s="5">
        <v>25644.588869829797</v>
      </c>
      <c r="P999" s="5">
        <v>44816.412248582856</v>
      </c>
      <c r="Q999" s="5">
        <v>28776.080424849053</v>
      </c>
      <c r="R999" s="5">
        <v>8130.5639219412278</v>
      </c>
    </row>
    <row r="1000" spans="9:18">
      <c r="I1000" s="4">
        <v>985</v>
      </c>
      <c r="J1000" s="5">
        <v>20768.286261788198</v>
      </c>
      <c r="K1000" s="5">
        <v>12777.667398488715</v>
      </c>
      <c r="L1000" s="5">
        <v>14815.394001212817</v>
      </c>
      <c r="M1000" s="5">
        <v>23908.621352410395</v>
      </c>
      <c r="N1000" s="5">
        <v>15130.853682762778</v>
      </c>
      <c r="O1000" s="5">
        <v>10746.295275180995</v>
      </c>
      <c r="P1000" s="5">
        <v>22708.601480587709</v>
      </c>
      <c r="Q1000" s="5">
        <v>22145.301831504508</v>
      </c>
      <c r="R1000" s="5">
        <v>16039.216896723072</v>
      </c>
    </row>
    <row r="1001" spans="9:18">
      <c r="I1001" s="4">
        <v>986</v>
      </c>
      <c r="J1001" s="5">
        <v>14710.037865351254</v>
      </c>
      <c r="K1001" s="5">
        <v>8124.7965732661823</v>
      </c>
      <c r="L1001" s="5">
        <v>11827.803406885578</v>
      </c>
      <c r="M1001" s="5">
        <v>21332.072353846772</v>
      </c>
      <c r="N1001" s="5">
        <v>11788.341482962171</v>
      </c>
      <c r="O1001" s="5">
        <v>32474.063027682765</v>
      </c>
      <c r="P1001" s="5">
        <v>12790.85158217316</v>
      </c>
      <c r="Q1001" s="5">
        <v>8474.2603471579441</v>
      </c>
      <c r="R1001" s="5">
        <v>91403.228438796665</v>
      </c>
    </row>
    <row r="1002" spans="9:18">
      <c r="I1002" s="4">
        <v>987</v>
      </c>
      <c r="J1002" s="5">
        <v>16788.081681455456</v>
      </c>
      <c r="K1002" s="5">
        <v>13331.01856102917</v>
      </c>
      <c r="L1002" s="5">
        <v>10896.494237357269</v>
      </c>
      <c r="M1002" s="5">
        <v>11680.747299075838</v>
      </c>
      <c r="N1002" s="5">
        <v>18410.937863650517</v>
      </c>
      <c r="O1002" s="5">
        <v>66253.993323243907</v>
      </c>
      <c r="P1002" s="5">
        <v>9826.8369575407578</v>
      </c>
      <c r="Q1002" s="5">
        <v>3272.4685014937832</v>
      </c>
      <c r="R1002" s="5">
        <v>46004.399892616471</v>
      </c>
    </row>
    <row r="1003" spans="9:18">
      <c r="I1003" s="4">
        <v>988</v>
      </c>
      <c r="J1003" s="5">
        <v>22812.564910649318</v>
      </c>
      <c r="K1003" s="5">
        <v>16132.555399908759</v>
      </c>
      <c r="L1003" s="5">
        <v>14815.394001212817</v>
      </c>
      <c r="M1003" s="5">
        <v>29834.240613550006</v>
      </c>
      <c r="N1003" s="5">
        <v>11751.639947035985</v>
      </c>
      <c r="O1003" s="5">
        <v>16826.763259351828</v>
      </c>
      <c r="P1003" s="5">
        <v>83536.241167211992</v>
      </c>
      <c r="Q1003" s="5">
        <v>9138.5169630896526</v>
      </c>
      <c r="R1003" s="5">
        <v>59414.886464347241</v>
      </c>
    </row>
    <row r="1004" spans="9:18">
      <c r="I1004" s="4">
        <v>989</v>
      </c>
      <c r="J1004" s="5">
        <v>15064.079707240266</v>
      </c>
      <c r="K1004" s="5">
        <v>14579.232378315752</v>
      </c>
      <c r="L1004" s="5">
        <v>16472.138192556791</v>
      </c>
      <c r="M1004" s="5">
        <v>18177.175180585615</v>
      </c>
      <c r="N1004" s="5">
        <v>25549.748582175915</v>
      </c>
      <c r="O1004" s="5">
        <v>24247.516962783076</v>
      </c>
      <c r="P1004" s="5">
        <v>5735.6883097179207</v>
      </c>
      <c r="Q1004" s="5">
        <v>16803.875627203233</v>
      </c>
      <c r="R1004" s="5">
        <v>31715.273557891396</v>
      </c>
    </row>
    <row r="1005" spans="9:18">
      <c r="I1005" s="4">
        <v>990</v>
      </c>
      <c r="J1005" s="5">
        <v>13045.114546182727</v>
      </c>
      <c r="K1005" s="5">
        <v>11403.533194020869</v>
      </c>
      <c r="L1005" s="5">
        <v>15060.431658965737</v>
      </c>
      <c r="M1005" s="5">
        <v>19430.369425783585</v>
      </c>
      <c r="N1005" s="5">
        <v>22010.718648995869</v>
      </c>
      <c r="O1005" s="5">
        <v>16505.600261180331</v>
      </c>
      <c r="P1005" s="5">
        <v>54923.423457863879</v>
      </c>
      <c r="Q1005" s="5">
        <v>48866.209623168346</v>
      </c>
      <c r="R1005" s="5">
        <v>17687.533637716911</v>
      </c>
    </row>
    <row r="1006" spans="9:18">
      <c r="I1006" s="4">
        <v>991</v>
      </c>
      <c r="J1006" s="5">
        <v>19048.674633640545</v>
      </c>
      <c r="K1006" s="5">
        <v>14021.934268028277</v>
      </c>
      <c r="L1006" s="5">
        <v>15764.107424863063</v>
      </c>
      <c r="M1006" s="5">
        <v>13642.678686731051</v>
      </c>
      <c r="N1006" s="5">
        <v>11604.12831603515</v>
      </c>
      <c r="O1006" s="5">
        <v>12110.196126281628</v>
      </c>
      <c r="P1006" s="5">
        <v>14316.965520592317</v>
      </c>
      <c r="Q1006" s="5">
        <v>68168.482468129529</v>
      </c>
      <c r="R1006" s="5">
        <v>39263.770877572199</v>
      </c>
    </row>
    <row r="1007" spans="9:18">
      <c r="I1007" s="4">
        <v>992</v>
      </c>
      <c r="J1007" s="5">
        <v>17005.744061105343</v>
      </c>
      <c r="K1007" s="5">
        <v>13288.692555879701</v>
      </c>
      <c r="L1007" s="5">
        <v>16071.260291253868</v>
      </c>
      <c r="M1007" s="5">
        <v>29041.83725675238</v>
      </c>
      <c r="N1007" s="5">
        <v>8104.6265149430556</v>
      </c>
      <c r="O1007" s="5">
        <v>13519.384207850644</v>
      </c>
      <c r="P1007" s="5">
        <v>21933.779100635442</v>
      </c>
      <c r="Q1007" s="5">
        <v>13214.632802255031</v>
      </c>
      <c r="R1007" s="5">
        <v>216919.53009911609</v>
      </c>
    </row>
    <row r="1008" spans="9:18">
      <c r="I1008" s="4">
        <v>993</v>
      </c>
      <c r="J1008" s="5">
        <v>11854.381651026555</v>
      </c>
      <c r="K1008" s="5">
        <v>29672.680843304515</v>
      </c>
      <c r="L1008" s="5">
        <v>16472.138192556791</v>
      </c>
      <c r="M1008" s="5">
        <v>22326.253555179093</v>
      </c>
      <c r="N1008" s="5">
        <v>37309.151967087455</v>
      </c>
      <c r="O1008" s="5">
        <v>8024.6340027919978</v>
      </c>
      <c r="P1008" s="5">
        <v>55119.366528283317</v>
      </c>
      <c r="Q1008" s="5">
        <v>20987.925664394581</v>
      </c>
      <c r="R1008" s="5">
        <v>14706.681111065362</v>
      </c>
    </row>
    <row r="1009" spans="9:18">
      <c r="I1009" s="4">
        <v>994</v>
      </c>
      <c r="J1009" s="5">
        <v>19048.674633640545</v>
      </c>
      <c r="K1009" s="5">
        <v>11558.357574452555</v>
      </c>
      <c r="L1009" s="5">
        <v>13417.453622029931</v>
      </c>
      <c r="M1009" s="5">
        <v>16842.379179328669</v>
      </c>
      <c r="N1009" s="5">
        <v>17214.078970533748</v>
      </c>
      <c r="O1009" s="5">
        <v>10676.618215263648</v>
      </c>
      <c r="P1009" s="5">
        <v>38024.168395914428</v>
      </c>
      <c r="Q1009" s="5">
        <v>59134.059519022907</v>
      </c>
      <c r="R1009" s="5">
        <v>51358.6267760993</v>
      </c>
    </row>
    <row r="1010" spans="9:18">
      <c r="I1010" s="4">
        <v>995</v>
      </c>
      <c r="J1010" s="5">
        <v>17592.832480262863</v>
      </c>
      <c r="K1010" s="5">
        <v>15698.764831033119</v>
      </c>
      <c r="L1010" s="5">
        <v>17683.765335572589</v>
      </c>
      <c r="M1010" s="5">
        <v>19042.78605337895</v>
      </c>
      <c r="N1010" s="5">
        <v>40377.252444397986</v>
      </c>
      <c r="O1010" s="5">
        <v>8024.6340027919978</v>
      </c>
      <c r="P1010" s="5">
        <v>74840.036182179319</v>
      </c>
      <c r="Q1010" s="5">
        <v>68168.482468129529</v>
      </c>
      <c r="R1010" s="5">
        <v>26783.439354489365</v>
      </c>
    </row>
    <row r="1011" spans="9:18">
      <c r="I1011" s="4">
        <v>996</v>
      </c>
      <c r="J1011" s="5">
        <v>43272.831879770602</v>
      </c>
      <c r="K1011" s="5">
        <v>15129.619337591721</v>
      </c>
      <c r="L1011" s="5">
        <v>18475.258050488967</v>
      </c>
      <c r="M1011" s="5">
        <v>25580.243606220469</v>
      </c>
      <c r="N1011" s="5">
        <v>24314.043643333731</v>
      </c>
      <c r="O1011" s="5">
        <v>32474.063027682765</v>
      </c>
      <c r="P1011" s="5">
        <v>9482.0186426688688</v>
      </c>
      <c r="Q1011" s="5">
        <v>37277.391668005912</v>
      </c>
      <c r="R1011" s="5">
        <v>8130.5639219412278</v>
      </c>
    </row>
    <row r="1012" spans="9:18">
      <c r="I1012" s="4">
        <v>997</v>
      </c>
      <c r="J1012" s="5">
        <v>17005.744061105343</v>
      </c>
      <c r="K1012" s="5">
        <v>8223.1266007477425</v>
      </c>
      <c r="L1012" s="5">
        <v>15225.811035017256</v>
      </c>
      <c r="M1012" s="5">
        <v>22815.60259636537</v>
      </c>
      <c r="N1012" s="5">
        <v>39406.658185292261</v>
      </c>
      <c r="O1012" s="5">
        <v>20489.622805425737</v>
      </c>
      <c r="P1012" s="5">
        <v>14773.185437294762</v>
      </c>
      <c r="Q1012" s="5">
        <v>7349.2234634219121</v>
      </c>
      <c r="R1012" s="5">
        <v>29295.938844292672</v>
      </c>
    </row>
    <row r="1013" spans="9:18">
      <c r="I1013" s="4">
        <v>998</v>
      </c>
      <c r="J1013" s="5">
        <v>13918.242013140338</v>
      </c>
      <c r="K1013" s="5">
        <v>11149.572204897504</v>
      </c>
      <c r="L1013" s="5">
        <v>10752.183901283248</v>
      </c>
      <c r="M1013" s="5">
        <v>32751.734100446065</v>
      </c>
      <c r="N1013" s="5">
        <v>45581.602064432409</v>
      </c>
      <c r="O1013" s="5">
        <v>13966.178986479143</v>
      </c>
      <c r="P1013" s="5">
        <v>44646.134934589521</v>
      </c>
      <c r="Q1013" s="5">
        <v>17234.335939857254</v>
      </c>
      <c r="R1013" s="5">
        <v>3433.6677391851467</v>
      </c>
    </row>
    <row r="1014" spans="9:18">
      <c r="I1014" s="4">
        <v>999</v>
      </c>
      <c r="J1014" s="5">
        <v>15648.665245032147</v>
      </c>
      <c r="K1014" s="5">
        <v>17128.860847126922</v>
      </c>
      <c r="L1014" s="5">
        <v>14796.875457021113</v>
      </c>
      <c r="M1014" s="5">
        <v>21332.072353846772</v>
      </c>
      <c r="N1014" s="5">
        <v>17811.114014514766</v>
      </c>
      <c r="O1014" s="5">
        <v>10746.295275180995</v>
      </c>
      <c r="P1014" s="5">
        <v>8069.5385577067918</v>
      </c>
      <c r="Q1014" s="5">
        <v>22483.395143121877</v>
      </c>
      <c r="R1014" s="5">
        <v>6360.7905155660001</v>
      </c>
    </row>
    <row r="1015" spans="9:18">
      <c r="I1015" s="4">
        <v>1000</v>
      </c>
      <c r="J1015" s="5">
        <v>27392.038553726634</v>
      </c>
      <c r="K1015" s="5">
        <v>16273.14570113692</v>
      </c>
      <c r="L1015" s="5">
        <v>16777.996633299583</v>
      </c>
      <c r="M1015" s="5">
        <v>9623.0342442006167</v>
      </c>
      <c r="N1015" s="5">
        <v>48565.498233359976</v>
      </c>
      <c r="O1015" s="5">
        <v>6199.3195463515376</v>
      </c>
      <c r="P1015" s="5">
        <v>14773.185437294762</v>
      </c>
      <c r="Q1015" s="5">
        <v>4924.9171270300558</v>
      </c>
      <c r="R1015" s="5">
        <v>10885.018205103002</v>
      </c>
    </row>
    <row r="1016" spans="9:18">
      <c r="I1016" s="4">
        <v>1001</v>
      </c>
      <c r="J1016" s="5">
        <v>14076.209333698853</v>
      </c>
      <c r="K1016" s="5">
        <v>9769.3659785458403</v>
      </c>
      <c r="L1016" s="5">
        <v>15764.107424863063</v>
      </c>
      <c r="M1016" s="5">
        <v>41403.687663920646</v>
      </c>
      <c r="N1016" s="5">
        <v>27841.916587595573</v>
      </c>
      <c r="O1016" s="5">
        <v>9708.4497800977806</v>
      </c>
      <c r="P1016" s="5">
        <v>9826.8369575407578</v>
      </c>
      <c r="Q1016" s="5">
        <v>25156.033327562815</v>
      </c>
      <c r="R1016" s="5">
        <v>89167.415757270224</v>
      </c>
    </row>
    <row r="1017" spans="9:18">
      <c r="I1017" s="4">
        <v>1002</v>
      </c>
      <c r="J1017" s="5">
        <v>12888.204629170894</v>
      </c>
      <c r="K1017" s="5">
        <v>17903.387243834499</v>
      </c>
      <c r="L1017" s="5">
        <v>15923.549351835489</v>
      </c>
      <c r="M1017" s="5">
        <v>6367.5407465007311</v>
      </c>
      <c r="N1017" s="5">
        <v>63974.903847153939</v>
      </c>
      <c r="O1017" s="5">
        <v>10746.295275180995</v>
      </c>
      <c r="P1017" s="5">
        <v>17737.38315098183</v>
      </c>
      <c r="Q1017" s="5">
        <v>16591.881190929333</v>
      </c>
      <c r="R1017" s="5">
        <v>54594.567438884274</v>
      </c>
    </row>
    <row r="1018" spans="9:18">
      <c r="I1018" s="4">
        <v>1003</v>
      </c>
      <c r="J1018" s="5">
        <v>14420.293087375476</v>
      </c>
      <c r="K1018" s="5">
        <v>16273.14570113692</v>
      </c>
      <c r="L1018" s="5">
        <v>18475.258050488967</v>
      </c>
      <c r="M1018" s="5">
        <v>19433.64679949253</v>
      </c>
      <c r="N1018" s="5">
        <v>14335.478134989447</v>
      </c>
      <c r="O1018" s="5">
        <v>51330.340277512776</v>
      </c>
      <c r="P1018" s="5">
        <v>5836.7810663002319</v>
      </c>
      <c r="Q1018" s="5">
        <v>10151.908492905288</v>
      </c>
      <c r="R1018" s="5">
        <v>55012.315589742022</v>
      </c>
    </row>
    <row r="1019" spans="9:18">
      <c r="I1019" s="4">
        <v>1004</v>
      </c>
      <c r="J1019" s="5">
        <v>16156.372629961115</v>
      </c>
      <c r="K1019" s="5">
        <v>14587.813833513306</v>
      </c>
      <c r="L1019" s="5">
        <v>15225.811035017256</v>
      </c>
      <c r="M1019" s="5">
        <v>13022.686998540772</v>
      </c>
      <c r="N1019" s="5">
        <v>46248.895746171031</v>
      </c>
      <c r="O1019" s="5">
        <v>24258.192244316608</v>
      </c>
      <c r="P1019" s="5">
        <v>36724.352187786957</v>
      </c>
      <c r="Q1019" s="5">
        <v>11928.872068442162</v>
      </c>
      <c r="R1019" s="5">
        <v>114016.93673542379</v>
      </c>
    </row>
    <row r="1020" spans="9:18">
      <c r="I1020" s="4">
        <v>1005</v>
      </c>
      <c r="J1020" s="5">
        <v>11854.381651026555</v>
      </c>
      <c r="K1020" s="5">
        <v>14351.415257675473</v>
      </c>
      <c r="L1020" s="5">
        <v>15923.549351835489</v>
      </c>
      <c r="M1020" s="5">
        <v>17349.963215818931</v>
      </c>
      <c r="N1020" s="5">
        <v>21909.120225822895</v>
      </c>
      <c r="O1020" s="5">
        <v>18637.945795127704</v>
      </c>
      <c r="P1020" s="5">
        <v>22708.601480587709</v>
      </c>
      <c r="Q1020" s="5">
        <v>96632.959478514502</v>
      </c>
      <c r="R1020" s="5">
        <v>7784.2246210242874</v>
      </c>
    </row>
    <row r="1021" spans="9:18">
      <c r="I1021" s="4">
        <v>1006</v>
      </c>
      <c r="J1021" s="5">
        <v>13663.281817546009</v>
      </c>
      <c r="K1021" s="5">
        <v>15487.124352801369</v>
      </c>
      <c r="L1021" s="5">
        <v>20698.842353987733</v>
      </c>
      <c r="M1021" s="5">
        <v>31472.019071027709</v>
      </c>
      <c r="N1021" s="5">
        <v>39406.658185292261</v>
      </c>
      <c r="O1021" s="5">
        <v>27195.510785031525</v>
      </c>
      <c r="P1021" s="5">
        <v>17643.087208586294</v>
      </c>
      <c r="Q1021" s="5">
        <v>44911.749632594299</v>
      </c>
      <c r="R1021" s="5">
        <v>7118.1729476780347</v>
      </c>
    </row>
    <row r="1022" spans="9:18">
      <c r="I1022" s="4">
        <v>1007</v>
      </c>
      <c r="J1022" s="5">
        <v>28169.050633834027</v>
      </c>
      <c r="K1022" s="5">
        <v>23543.914024953676</v>
      </c>
      <c r="L1022" s="5">
        <v>15060.431658965737</v>
      </c>
      <c r="M1022" s="5">
        <v>21332.072353846772</v>
      </c>
      <c r="N1022" s="5">
        <v>27841.916587595573</v>
      </c>
      <c r="O1022" s="5">
        <v>42492.261063288854</v>
      </c>
      <c r="P1022" s="5">
        <v>8662.4232458952465</v>
      </c>
      <c r="Q1022" s="5">
        <v>28776.080424849053</v>
      </c>
      <c r="R1022" s="5">
        <v>51358.6267760993</v>
      </c>
    </row>
    <row r="1023" spans="9:18">
      <c r="I1023" s="4">
        <v>1008</v>
      </c>
      <c r="J1023" s="5">
        <v>12035.382213755307</v>
      </c>
      <c r="K1023" s="5">
        <v>14021.934268028277</v>
      </c>
      <c r="L1023" s="5">
        <v>14691.846656953887</v>
      </c>
      <c r="M1023" s="5">
        <v>23449.501569180404</v>
      </c>
      <c r="N1023" s="5">
        <v>41563.89847100406</v>
      </c>
      <c r="O1023" s="5">
        <v>10676.618215263648</v>
      </c>
      <c r="P1023" s="5">
        <v>27452.975716953504</v>
      </c>
      <c r="Q1023" s="5">
        <v>52545.991451361173</v>
      </c>
      <c r="R1023" s="5">
        <v>122304.95880137496</v>
      </c>
    </row>
    <row r="1024" spans="9:18">
      <c r="I1024" s="4">
        <v>1009</v>
      </c>
      <c r="J1024" s="5">
        <v>15786.811016780619</v>
      </c>
      <c r="K1024" s="5">
        <v>24728.095385476983</v>
      </c>
      <c r="L1024" s="5">
        <v>15664.99858445921</v>
      </c>
      <c r="M1024" s="5">
        <v>13139.022167648376</v>
      </c>
      <c r="N1024" s="5">
        <v>4770.4216775830728</v>
      </c>
      <c r="O1024" s="5">
        <v>27084.483614751469</v>
      </c>
      <c r="P1024" s="5">
        <v>10532.667493814919</v>
      </c>
      <c r="Q1024" s="5">
        <v>16591.881190929333</v>
      </c>
      <c r="R1024" s="5">
        <v>24722.972470599001</v>
      </c>
    </row>
    <row r="1025" spans="9:18">
      <c r="I1025" s="4">
        <v>1010</v>
      </c>
      <c r="J1025" s="5">
        <v>14594.990625703947</v>
      </c>
      <c r="K1025" s="5">
        <v>43843.85059185313</v>
      </c>
      <c r="L1025" s="5">
        <v>15359.132481533357</v>
      </c>
      <c r="M1025" s="5">
        <v>17542.15972125496</v>
      </c>
      <c r="N1025" s="5">
        <v>25549.748582175915</v>
      </c>
      <c r="O1025" s="5">
        <v>49114.195066822271</v>
      </c>
      <c r="P1025" s="5">
        <v>14773.185437294762</v>
      </c>
      <c r="Q1025" s="5">
        <v>21421.044775857536</v>
      </c>
      <c r="R1025" s="5">
        <v>17687.533637716911</v>
      </c>
    </row>
    <row r="1026" spans="9:18">
      <c r="I1026" s="4">
        <v>1011</v>
      </c>
      <c r="J1026" s="5">
        <v>15873.12561080002</v>
      </c>
      <c r="K1026" s="5">
        <v>16952.949313901812</v>
      </c>
      <c r="L1026" s="5">
        <v>15922.087958863045</v>
      </c>
      <c r="M1026" s="5">
        <v>16842.379179328669</v>
      </c>
      <c r="N1026" s="5">
        <v>14240.123545764454</v>
      </c>
      <c r="O1026" s="5">
        <v>20930.098352661731</v>
      </c>
      <c r="P1026" s="5">
        <v>35213.322626437533</v>
      </c>
      <c r="Q1026" s="5">
        <v>28078.365156847896</v>
      </c>
      <c r="R1026" s="5">
        <v>54594.567438884274</v>
      </c>
    </row>
    <row r="1027" spans="9:18">
      <c r="I1027" s="4">
        <v>1012</v>
      </c>
      <c r="J1027" s="5">
        <v>14538.277247583976</v>
      </c>
      <c r="K1027" s="5">
        <v>13288.692555879701</v>
      </c>
      <c r="L1027" s="5">
        <v>13358.459356674217</v>
      </c>
      <c r="M1027" s="5">
        <v>16001.653036457456</v>
      </c>
      <c r="N1027" s="5">
        <v>11751.639947035985</v>
      </c>
      <c r="O1027" s="5">
        <v>32474.063027682765</v>
      </c>
      <c r="P1027" s="5">
        <v>32155.527541400057</v>
      </c>
      <c r="Q1027" s="5">
        <v>27789.973552634947</v>
      </c>
      <c r="R1027" s="5">
        <v>29295.938844292672</v>
      </c>
    </row>
    <row r="1028" spans="9:18">
      <c r="I1028" s="4">
        <v>1013</v>
      </c>
      <c r="J1028" s="5">
        <v>16416.142496463777</v>
      </c>
      <c r="K1028" s="5">
        <v>15051.330276415061</v>
      </c>
      <c r="L1028" s="5">
        <v>21725.131459372977</v>
      </c>
      <c r="M1028" s="5">
        <v>9623.0342442006167</v>
      </c>
      <c r="N1028" s="5">
        <v>21617.945168312468</v>
      </c>
      <c r="O1028" s="5">
        <v>20930.098352661731</v>
      </c>
      <c r="P1028" s="5">
        <v>44816.412248582856</v>
      </c>
      <c r="Q1028" s="5">
        <v>11928.872068442162</v>
      </c>
      <c r="R1028" s="5">
        <v>114016.93673542379</v>
      </c>
    </row>
    <row r="1029" spans="9:18">
      <c r="I1029" s="4">
        <v>1014</v>
      </c>
      <c r="J1029" s="5">
        <v>21150.169973104224</v>
      </c>
      <c r="K1029" s="5">
        <v>14611.618478071941</v>
      </c>
      <c r="L1029" s="5">
        <v>13622.976145621742</v>
      </c>
      <c r="M1029" s="5">
        <v>18879.640760542785</v>
      </c>
      <c r="N1029" s="5">
        <v>24769.339976495565</v>
      </c>
      <c r="O1029" s="5">
        <v>28431.436490368542</v>
      </c>
      <c r="P1029" s="5">
        <v>3930.0915591834291</v>
      </c>
      <c r="Q1029" s="5">
        <v>19315.033835554255</v>
      </c>
      <c r="R1029" s="5">
        <v>65420.116221752483</v>
      </c>
    </row>
    <row r="1030" spans="9:18">
      <c r="I1030" s="4">
        <v>1015</v>
      </c>
      <c r="J1030" s="5">
        <v>9405.362381917912</v>
      </c>
      <c r="K1030" s="5">
        <v>15347.101709242541</v>
      </c>
      <c r="L1030" s="5">
        <v>18215.751370765771</v>
      </c>
      <c r="M1030" s="5">
        <v>20788.503422877813</v>
      </c>
      <c r="N1030" s="5">
        <v>32184.535272543482</v>
      </c>
      <c r="O1030" s="5">
        <v>4231.3144655921506</v>
      </c>
      <c r="P1030" s="5">
        <v>54923.423457863879</v>
      </c>
      <c r="Q1030" s="5">
        <v>70295.978314632754</v>
      </c>
      <c r="R1030" s="5">
        <v>31715.273557891396</v>
      </c>
    </row>
    <row r="1031" spans="9:18">
      <c r="I1031" s="4">
        <v>1016</v>
      </c>
      <c r="J1031" s="5">
        <v>16156.372629961115</v>
      </c>
      <c r="K1031" s="5">
        <v>12423.491400404893</v>
      </c>
      <c r="L1031" s="5">
        <v>23561.450544884348</v>
      </c>
      <c r="M1031" s="5">
        <v>23515.935489506261</v>
      </c>
      <c r="N1031" s="5">
        <v>21931.347680292267</v>
      </c>
      <c r="O1031" s="5">
        <v>25802.481365323994</v>
      </c>
      <c r="P1031" s="5">
        <v>44646.134934589521</v>
      </c>
      <c r="Q1031" s="5">
        <v>31019.493883163672</v>
      </c>
      <c r="R1031" s="5">
        <v>3311.4906988006405</v>
      </c>
    </row>
    <row r="1032" spans="9:18">
      <c r="I1032" s="4">
        <v>1017</v>
      </c>
      <c r="J1032" s="5">
        <v>18650.249281571734</v>
      </c>
      <c r="K1032" s="5">
        <v>12777.667398488715</v>
      </c>
      <c r="L1032" s="5">
        <v>21725.131459372977</v>
      </c>
      <c r="M1032" s="5">
        <v>16881.579299055</v>
      </c>
      <c r="N1032" s="5">
        <v>22010.718648995869</v>
      </c>
      <c r="O1032" s="5">
        <v>41653.890350944224</v>
      </c>
      <c r="P1032" s="5">
        <v>28537.545734403488</v>
      </c>
      <c r="Q1032" s="5">
        <v>22145.301831504508</v>
      </c>
      <c r="R1032" s="5">
        <v>302760.11878714536</v>
      </c>
    </row>
    <row r="1033" spans="9:18">
      <c r="I1033" s="4">
        <v>1018</v>
      </c>
      <c r="J1033" s="5">
        <v>31559.699247539775</v>
      </c>
      <c r="K1033" s="5">
        <v>22732.797143159998</v>
      </c>
      <c r="L1033" s="5">
        <v>16014.071850041886</v>
      </c>
      <c r="M1033" s="5">
        <v>18177.175180585615</v>
      </c>
      <c r="N1033" s="5">
        <v>17811.114014514766</v>
      </c>
      <c r="O1033" s="5">
        <v>26268.613803794757</v>
      </c>
      <c r="P1033" s="5">
        <v>54292.749740228588</v>
      </c>
      <c r="Q1033" s="5">
        <v>17493.456269945855</v>
      </c>
      <c r="R1033" s="5">
        <v>14079.827908007112</v>
      </c>
    </row>
    <row r="1034" spans="9:18">
      <c r="I1034" s="4">
        <v>1019</v>
      </c>
      <c r="J1034" s="5">
        <v>14017.326487344162</v>
      </c>
      <c r="K1034" s="5">
        <v>17128.860847126922</v>
      </c>
      <c r="L1034" s="5">
        <v>15759.954187048656</v>
      </c>
      <c r="M1034" s="5">
        <v>12735.841453044006</v>
      </c>
      <c r="N1034" s="5">
        <v>22511.351424689696</v>
      </c>
      <c r="O1034" s="5">
        <v>16572.483389649329</v>
      </c>
      <c r="P1034" s="5">
        <v>54292.749740228588</v>
      </c>
      <c r="Q1034" s="5">
        <v>59134.059519022907</v>
      </c>
      <c r="R1034" s="5">
        <v>123773.40402252052</v>
      </c>
    </row>
    <row r="1035" spans="9:18">
      <c r="I1035" s="4">
        <v>1020</v>
      </c>
      <c r="J1035" s="5">
        <v>21888.821432026474</v>
      </c>
      <c r="K1035" s="5">
        <v>15698.764831033119</v>
      </c>
      <c r="L1035" s="5">
        <v>20698.842353987733</v>
      </c>
      <c r="M1035" s="5">
        <v>17542.15972125496</v>
      </c>
      <c r="N1035" s="5">
        <v>17811.114014514766</v>
      </c>
      <c r="O1035" s="5">
        <v>13550.031670770122</v>
      </c>
      <c r="P1035" s="5">
        <v>9482.0186426688688</v>
      </c>
      <c r="Q1035" s="5">
        <v>29432.473148002948</v>
      </c>
      <c r="R1035" s="5">
        <v>7784.2246210242874</v>
      </c>
    </row>
    <row r="1036" spans="9:18">
      <c r="I1036" s="4">
        <v>1021</v>
      </c>
      <c r="J1036" s="5">
        <v>13595.404057849493</v>
      </c>
      <c r="K1036" s="5">
        <v>9739.7813029644258</v>
      </c>
      <c r="L1036" s="5">
        <v>17128.574519497746</v>
      </c>
      <c r="M1036" s="5">
        <v>14217.48832834715</v>
      </c>
      <c r="N1036" s="5">
        <v>20583.564383988036</v>
      </c>
      <c r="O1036" s="5">
        <v>40942.522561879181</v>
      </c>
      <c r="P1036" s="5">
        <v>14327.191387816954</v>
      </c>
      <c r="Q1036" s="5">
        <v>44911.749632594299</v>
      </c>
      <c r="R1036" s="5">
        <v>7394.6358885760465</v>
      </c>
    </row>
    <row r="1037" spans="9:18">
      <c r="I1037" s="4">
        <v>1022</v>
      </c>
      <c r="J1037" s="5">
        <v>21150.169973104224</v>
      </c>
      <c r="K1037" s="5">
        <v>13559.080695844099</v>
      </c>
      <c r="L1037" s="5">
        <v>14649.721476864312</v>
      </c>
      <c r="M1037" s="5">
        <v>18879.640760542785</v>
      </c>
      <c r="N1037" s="5">
        <v>23283.854578052265</v>
      </c>
      <c r="O1037" s="5">
        <v>30608.431994348266</v>
      </c>
      <c r="P1037" s="5">
        <v>41657.50350099193</v>
      </c>
      <c r="Q1037" s="5">
        <v>64585.328088516922</v>
      </c>
      <c r="R1037" s="5">
        <v>7118.1729476780347</v>
      </c>
    </row>
    <row r="1038" spans="9:18">
      <c r="I1038" s="4">
        <v>1023</v>
      </c>
      <c r="J1038" s="5">
        <v>14344.692898101612</v>
      </c>
      <c r="K1038" s="5">
        <v>13652.224205833634</v>
      </c>
      <c r="L1038" s="5">
        <v>16014.071850041886</v>
      </c>
      <c r="M1038" s="5">
        <v>11529.920007560097</v>
      </c>
      <c r="N1038" s="5">
        <v>22511.351424689696</v>
      </c>
      <c r="O1038" s="5">
        <v>40942.522561879181</v>
      </c>
      <c r="P1038" s="5">
        <v>23769.190223735484</v>
      </c>
      <c r="Q1038" s="5">
        <v>17234.335939857254</v>
      </c>
      <c r="R1038" s="5">
        <v>302760.11878714536</v>
      </c>
    </row>
    <row r="1039" spans="9:18">
      <c r="I1039" s="4">
        <v>1024</v>
      </c>
      <c r="J1039" s="5">
        <v>21888.821432026474</v>
      </c>
      <c r="K1039" s="5">
        <v>13559.080695844099</v>
      </c>
      <c r="L1039" s="5">
        <v>25007.552172398639</v>
      </c>
      <c r="M1039" s="5">
        <v>10111.451009425113</v>
      </c>
      <c r="N1039" s="5">
        <v>16148.901635865295</v>
      </c>
      <c r="O1039" s="5">
        <v>26565.882515615398</v>
      </c>
      <c r="P1039" s="5">
        <v>31127.87225845682</v>
      </c>
      <c r="Q1039" s="5">
        <v>37277.391668005912</v>
      </c>
      <c r="R1039" s="5">
        <v>29295.938844292672</v>
      </c>
    </row>
    <row r="1040" spans="9:18">
      <c r="I1040" s="4">
        <v>1025</v>
      </c>
      <c r="J1040" s="5">
        <v>13841.207384998772</v>
      </c>
      <c r="K1040" s="5">
        <v>11507.182177474708</v>
      </c>
      <c r="L1040" s="5">
        <v>18634.523182776735</v>
      </c>
      <c r="M1040" s="5">
        <v>19097.39635881727</v>
      </c>
      <c r="N1040" s="5">
        <v>28426.778914975595</v>
      </c>
      <c r="O1040" s="5">
        <v>13519.384207850644</v>
      </c>
      <c r="P1040" s="5">
        <v>8877.9712092977989</v>
      </c>
      <c r="Q1040" s="5">
        <v>9796.0979856104404</v>
      </c>
      <c r="R1040" s="5">
        <v>86510.608303273053</v>
      </c>
    </row>
    <row r="1041" spans="9:18">
      <c r="I1041" s="4">
        <v>1026</v>
      </c>
      <c r="J1041" s="5">
        <v>16544.73779470181</v>
      </c>
      <c r="K1041" s="5">
        <v>11149.572204897504</v>
      </c>
      <c r="L1041" s="5">
        <v>15923.549351835489</v>
      </c>
      <c r="M1041" s="5">
        <v>41403.687663920646</v>
      </c>
      <c r="N1041" s="5">
        <v>41563.89847100406</v>
      </c>
      <c r="O1041" s="5">
        <v>27503.656957929088</v>
      </c>
      <c r="P1041" s="5">
        <v>12992.105410393709</v>
      </c>
      <c r="Q1041" s="5">
        <v>20883.852062640355</v>
      </c>
      <c r="R1041" s="5">
        <v>24831.679362998926</v>
      </c>
    </row>
    <row r="1042" spans="9:18">
      <c r="I1042" s="4">
        <v>1027</v>
      </c>
      <c r="J1042" s="5">
        <v>15081.728672246438</v>
      </c>
      <c r="K1042" s="5">
        <v>23543.914024953676</v>
      </c>
      <c r="L1042" s="5">
        <v>16106.634875163341</v>
      </c>
      <c r="M1042" s="5">
        <v>12934.591863415189</v>
      </c>
      <c r="N1042" s="5">
        <v>24769.339976495565</v>
      </c>
      <c r="O1042" s="5">
        <v>28431.436490368542</v>
      </c>
      <c r="P1042" s="5">
        <v>21813.848941464526</v>
      </c>
      <c r="Q1042" s="5">
        <v>42044.890065817184</v>
      </c>
      <c r="R1042" s="5">
        <v>13258.538726001538</v>
      </c>
    </row>
    <row r="1043" spans="9:18">
      <c r="I1043" s="4">
        <v>1028</v>
      </c>
      <c r="J1043" s="5">
        <v>16544.73779470181</v>
      </c>
      <c r="K1043" s="5">
        <v>14587.813833513306</v>
      </c>
      <c r="L1043" s="5">
        <v>18215.751370765771</v>
      </c>
      <c r="M1043" s="5">
        <v>26477.996319655329</v>
      </c>
      <c r="N1043" s="5">
        <v>24769.339976495565</v>
      </c>
      <c r="O1043" s="5">
        <v>9320.7026593487881</v>
      </c>
      <c r="P1043" s="5">
        <v>54100.778483493887</v>
      </c>
      <c r="Q1043" s="5">
        <v>37073.980790337926</v>
      </c>
      <c r="R1043" s="5">
        <v>12116.34255245842</v>
      </c>
    </row>
    <row r="1044" spans="9:18">
      <c r="I1044" s="4">
        <v>1029</v>
      </c>
      <c r="J1044" s="5">
        <v>16156.372629961115</v>
      </c>
      <c r="K1044" s="5">
        <v>8124.7965732661823</v>
      </c>
      <c r="L1044" s="5">
        <v>14146.191653372813</v>
      </c>
      <c r="M1044" s="5">
        <v>13139.022167648376</v>
      </c>
      <c r="N1044" s="5">
        <v>9989.086510768735</v>
      </c>
      <c r="O1044" s="5">
        <v>13613.378495715853</v>
      </c>
      <c r="P1044" s="5">
        <v>83536.241167211992</v>
      </c>
      <c r="Q1044" s="5">
        <v>19315.033835554255</v>
      </c>
      <c r="R1044" s="5">
        <v>12130.167062525341</v>
      </c>
    </row>
    <row r="1045" spans="9:18">
      <c r="I1045" s="4">
        <v>1030</v>
      </c>
      <c r="J1045" s="5">
        <v>14076.209333698853</v>
      </c>
      <c r="K1045" s="5">
        <v>18086.448513145526</v>
      </c>
      <c r="L1045" s="5">
        <v>16955.349467865559</v>
      </c>
      <c r="M1045" s="5">
        <v>12426.949970383979</v>
      </c>
      <c r="N1045" s="5">
        <v>27841.916587595573</v>
      </c>
      <c r="O1045" s="5">
        <v>53028.643350899503</v>
      </c>
      <c r="P1045" s="5">
        <v>35569.894390728325</v>
      </c>
      <c r="Q1045" s="5">
        <v>71213.172792303565</v>
      </c>
      <c r="R1045" s="5">
        <v>40368.364083205248</v>
      </c>
    </row>
    <row r="1046" spans="9:18">
      <c r="I1046" s="4">
        <v>1031</v>
      </c>
      <c r="J1046" s="5">
        <v>28085.9245102444</v>
      </c>
      <c r="K1046" s="5">
        <v>17003.901855709089</v>
      </c>
      <c r="L1046" s="5">
        <v>14815.394001212817</v>
      </c>
      <c r="M1046" s="5">
        <v>19430.369425783585</v>
      </c>
      <c r="N1046" s="5">
        <v>9209.4418830788036</v>
      </c>
      <c r="O1046" s="5">
        <v>9956.4031238965053</v>
      </c>
      <c r="P1046" s="5">
        <v>44646.134934589521</v>
      </c>
      <c r="Q1046" s="5">
        <v>19315.033835554255</v>
      </c>
      <c r="R1046" s="5">
        <v>3311.4906988006405</v>
      </c>
    </row>
    <row r="1047" spans="9:18">
      <c r="I1047" s="4">
        <v>1032</v>
      </c>
      <c r="J1047" s="5">
        <v>14710.037865351254</v>
      </c>
      <c r="K1047" s="5">
        <v>11857.447519815871</v>
      </c>
      <c r="L1047" s="5">
        <v>15359.132481533357</v>
      </c>
      <c r="M1047" s="5">
        <v>16500.222621933419</v>
      </c>
      <c r="N1047" s="5">
        <v>21931.347680292267</v>
      </c>
      <c r="O1047" s="5">
        <v>41653.890350944224</v>
      </c>
      <c r="P1047" s="5">
        <v>46514.467673254068</v>
      </c>
      <c r="Q1047" s="5">
        <v>42044.890065817184</v>
      </c>
      <c r="R1047" s="5">
        <v>91403.228438796665</v>
      </c>
    </row>
    <row r="1048" spans="9:18">
      <c r="I1048" s="4">
        <v>1033</v>
      </c>
      <c r="J1048" s="5">
        <v>16733.020222212988</v>
      </c>
      <c r="K1048" s="5">
        <v>32294.121255311245</v>
      </c>
      <c r="L1048" s="5">
        <v>23760.785349782636</v>
      </c>
      <c r="M1048" s="5">
        <v>18691.941789825862</v>
      </c>
      <c r="N1048" s="5">
        <v>24314.043643333731</v>
      </c>
      <c r="O1048" s="5">
        <v>4231.3144655921506</v>
      </c>
      <c r="P1048" s="5">
        <v>17643.087208586294</v>
      </c>
      <c r="Q1048" s="5">
        <v>28567.61306643406</v>
      </c>
      <c r="R1048" s="5">
        <v>3433.6677391851467</v>
      </c>
    </row>
    <row r="1049" spans="9:18">
      <c r="I1049" s="4">
        <v>1034</v>
      </c>
      <c r="J1049" s="5">
        <v>9405.362381917912</v>
      </c>
      <c r="K1049" s="5">
        <v>15129.619337591721</v>
      </c>
      <c r="L1049" s="5">
        <v>14815.394001212817</v>
      </c>
      <c r="M1049" s="5">
        <v>31554.722481137964</v>
      </c>
      <c r="N1049" s="5">
        <v>12592.300437162297</v>
      </c>
      <c r="O1049" s="5">
        <v>20489.622805425737</v>
      </c>
      <c r="P1049" s="5">
        <v>8069.5385577067918</v>
      </c>
      <c r="Q1049" s="5">
        <v>9652.8114206999071</v>
      </c>
      <c r="R1049" s="5">
        <v>14706.681111065362</v>
      </c>
    </row>
    <row r="1050" spans="9:18">
      <c r="I1050" s="4">
        <v>1035</v>
      </c>
      <c r="J1050" s="5">
        <v>9368.8270679249108</v>
      </c>
      <c r="K1050" s="5">
        <v>16132.555399908759</v>
      </c>
      <c r="L1050" s="5">
        <v>17920.486090689363</v>
      </c>
      <c r="M1050" s="5">
        <v>13414.385151739983</v>
      </c>
      <c r="N1050" s="5">
        <v>34295.124147811541</v>
      </c>
      <c r="O1050" s="5">
        <v>9869.5889207969612</v>
      </c>
      <c r="P1050" s="5">
        <v>9811.9720599964548</v>
      </c>
      <c r="Q1050" s="5">
        <v>13214.632802255031</v>
      </c>
      <c r="R1050" s="5">
        <v>87776.138236389699</v>
      </c>
    </row>
    <row r="1051" spans="9:18">
      <c r="I1051" s="4">
        <v>1036</v>
      </c>
      <c r="J1051" s="5">
        <v>7855.2948890116513</v>
      </c>
      <c r="K1051" s="5">
        <v>14021.934268028277</v>
      </c>
      <c r="L1051" s="5">
        <v>15300.182042823812</v>
      </c>
      <c r="M1051" s="5">
        <v>21712.71007234112</v>
      </c>
      <c r="N1051" s="5">
        <v>21931.347680292267</v>
      </c>
      <c r="O1051" s="5">
        <v>67717.30633712461</v>
      </c>
      <c r="P1051" s="5">
        <v>95486.196907583406</v>
      </c>
      <c r="Q1051" s="5">
        <v>27789.973552634947</v>
      </c>
      <c r="R1051" s="5">
        <v>81423.874800517297</v>
      </c>
    </row>
    <row r="1052" spans="9:18">
      <c r="I1052" s="4">
        <v>1037</v>
      </c>
      <c r="J1052" s="5">
        <v>13447.638004246244</v>
      </c>
      <c r="K1052" s="5">
        <v>7753.2116148734594</v>
      </c>
      <c r="L1052" s="5">
        <v>18634.523182776735</v>
      </c>
      <c r="M1052" s="5">
        <v>20041.623430301417</v>
      </c>
      <c r="N1052" s="5">
        <v>28426.778914975595</v>
      </c>
      <c r="O1052" s="5">
        <v>53028.643350899503</v>
      </c>
      <c r="P1052" s="5">
        <v>17643.087208586294</v>
      </c>
      <c r="Q1052" s="5">
        <v>8474.2603471579441</v>
      </c>
      <c r="R1052" s="5">
        <v>20236.767651156802</v>
      </c>
    </row>
    <row r="1053" spans="9:18">
      <c r="I1053" s="4">
        <v>1038</v>
      </c>
      <c r="J1053" s="5">
        <v>14750.660273177687</v>
      </c>
      <c r="K1053" s="5">
        <v>22732.797143159998</v>
      </c>
      <c r="L1053" s="5">
        <v>17128.574519497746</v>
      </c>
      <c r="M1053" s="5">
        <v>11680.747299075838</v>
      </c>
      <c r="N1053" s="5">
        <v>11684.605182472778</v>
      </c>
      <c r="O1053" s="5">
        <v>24247.516962783076</v>
      </c>
      <c r="P1053" s="5">
        <v>95486.196907583406</v>
      </c>
      <c r="Q1053" s="5">
        <v>28078.365156847896</v>
      </c>
      <c r="R1053" s="5">
        <v>17304.847214362417</v>
      </c>
    </row>
    <row r="1054" spans="9:18">
      <c r="I1054" s="4">
        <v>1039</v>
      </c>
      <c r="J1054" s="5">
        <v>16733.020222212988</v>
      </c>
      <c r="K1054" s="5">
        <v>23327.217259521742</v>
      </c>
      <c r="L1054" s="5">
        <v>16777.996633299583</v>
      </c>
      <c r="M1054" s="5">
        <v>12426.949970383979</v>
      </c>
      <c r="N1054" s="5">
        <v>34295.124147811541</v>
      </c>
      <c r="O1054" s="5">
        <v>30656.031716467984</v>
      </c>
      <c r="P1054" s="5">
        <v>32167.874670939738</v>
      </c>
      <c r="Q1054" s="5">
        <v>28776.080424849053</v>
      </c>
      <c r="R1054" s="5">
        <v>91403.228438796665</v>
      </c>
    </row>
    <row r="1055" spans="9:18">
      <c r="I1055" s="4">
        <v>1040</v>
      </c>
      <c r="J1055" s="5">
        <v>21717.214093683677</v>
      </c>
      <c r="K1055" s="5">
        <v>14497.035717129334</v>
      </c>
      <c r="L1055" s="5">
        <v>17073.17760523731</v>
      </c>
      <c r="M1055" s="5">
        <v>30830.81083227017</v>
      </c>
      <c r="N1055" s="5">
        <v>23008.246229813707</v>
      </c>
      <c r="O1055" s="5">
        <v>55264.438774006347</v>
      </c>
      <c r="P1055" s="5">
        <v>31127.87225845682</v>
      </c>
      <c r="Q1055" s="5">
        <v>25156.033327562815</v>
      </c>
      <c r="R1055" s="5">
        <v>7879.038918914337</v>
      </c>
    </row>
    <row r="1056" spans="9:18">
      <c r="I1056" s="4">
        <v>1041</v>
      </c>
      <c r="J1056" s="5">
        <v>20768.286261788198</v>
      </c>
      <c r="K1056" s="5">
        <v>37822.375317881044</v>
      </c>
      <c r="L1056" s="5">
        <v>15359.132481533357</v>
      </c>
      <c r="M1056" s="5">
        <v>19151.339770278159</v>
      </c>
      <c r="N1056" s="5">
        <v>45581.602064432409</v>
      </c>
      <c r="O1056" s="5">
        <v>41653.890350944224</v>
      </c>
      <c r="P1056" s="5">
        <v>21933.779100635442</v>
      </c>
      <c r="Q1056" s="5">
        <v>27018.509959127641</v>
      </c>
      <c r="R1056" s="5">
        <v>46004.399892616471</v>
      </c>
    </row>
    <row r="1057" spans="9:18">
      <c r="I1057" s="4">
        <v>1042</v>
      </c>
      <c r="J1057" s="5">
        <v>16305.770155972396</v>
      </c>
      <c r="K1057" s="5">
        <v>13719.930466819731</v>
      </c>
      <c r="L1057" s="5">
        <v>15225.811035017256</v>
      </c>
      <c r="M1057" s="5">
        <v>9623.0342442006167</v>
      </c>
      <c r="N1057" s="5">
        <v>19125.360074567652</v>
      </c>
      <c r="O1057" s="5">
        <v>8801.3667015774663</v>
      </c>
      <c r="P1057" s="5">
        <v>20391.123772341358</v>
      </c>
      <c r="Q1057" s="5">
        <v>16803.875627203233</v>
      </c>
      <c r="R1057" s="5">
        <v>13258.538726001538</v>
      </c>
    </row>
    <row r="1058" spans="9:18">
      <c r="I1058" s="4">
        <v>1043</v>
      </c>
      <c r="J1058" s="5">
        <v>15081.728672246438</v>
      </c>
      <c r="K1058" s="5">
        <v>15487.124352801369</v>
      </c>
      <c r="L1058" s="5">
        <v>14175.160754078657</v>
      </c>
      <c r="M1058" s="5">
        <v>17349.963215818931</v>
      </c>
      <c r="N1058" s="5">
        <v>27841.916587595573</v>
      </c>
      <c r="O1058" s="5">
        <v>13966.178986479143</v>
      </c>
      <c r="P1058" s="5">
        <v>54923.423457863879</v>
      </c>
      <c r="Q1058" s="5">
        <v>37101.531383212743</v>
      </c>
      <c r="R1058" s="5">
        <v>51141.799458534304</v>
      </c>
    </row>
    <row r="1059" spans="9:18">
      <c r="I1059" s="4">
        <v>1044</v>
      </c>
      <c r="J1059" s="5">
        <v>13447.638004246244</v>
      </c>
      <c r="K1059" s="5">
        <v>14095.75230105142</v>
      </c>
      <c r="L1059" s="5">
        <v>29265.217478369766</v>
      </c>
      <c r="M1059" s="5">
        <v>31460.745851561904</v>
      </c>
      <c r="N1059" s="5">
        <v>51261.622558090799</v>
      </c>
      <c r="O1059" s="5">
        <v>11282.178219986479</v>
      </c>
      <c r="P1059" s="5">
        <v>13452.921824087563</v>
      </c>
      <c r="Q1059" s="5">
        <v>59134.059519022907</v>
      </c>
      <c r="R1059" s="5">
        <v>30571.564004538617</v>
      </c>
    </row>
    <row r="1060" spans="9:18">
      <c r="I1060" s="4">
        <v>1045</v>
      </c>
      <c r="J1060" s="5">
        <v>14344.692898101612</v>
      </c>
      <c r="K1060" s="5">
        <v>17495.743706488822</v>
      </c>
      <c r="L1060" s="5">
        <v>27144.958215276103</v>
      </c>
      <c r="M1060" s="5">
        <v>29041.83725675238</v>
      </c>
      <c r="N1060" s="5">
        <v>63974.903847153939</v>
      </c>
      <c r="O1060" s="5">
        <v>41653.890350944224</v>
      </c>
      <c r="P1060" s="5">
        <v>38771.994792132391</v>
      </c>
      <c r="Q1060" s="5">
        <v>8880.8074399558282</v>
      </c>
      <c r="R1060" s="5">
        <v>55012.315589742022</v>
      </c>
    </row>
    <row r="1061" spans="9:18">
      <c r="I1061" s="4">
        <v>1046</v>
      </c>
      <c r="J1061" s="5">
        <v>13841.207384998772</v>
      </c>
      <c r="K1061" s="5">
        <v>14579.232378315752</v>
      </c>
      <c r="L1061" s="5">
        <v>14610.165745300763</v>
      </c>
      <c r="M1061" s="5">
        <v>22326.253555179093</v>
      </c>
      <c r="N1061" s="5">
        <v>12523.573732460784</v>
      </c>
      <c r="O1061" s="5">
        <v>16572.483389649329</v>
      </c>
      <c r="P1061" s="5">
        <v>20403.656304140692</v>
      </c>
      <c r="Q1061" s="5">
        <v>53055.59182561023</v>
      </c>
      <c r="R1061" s="5">
        <v>7879.038918914337</v>
      </c>
    </row>
    <row r="1062" spans="9:18">
      <c r="I1062" s="4">
        <v>1047</v>
      </c>
      <c r="J1062" s="5">
        <v>13391.049101507895</v>
      </c>
      <c r="K1062" s="5">
        <v>34058.671324159091</v>
      </c>
      <c r="L1062" s="5">
        <v>17311.244744664215</v>
      </c>
      <c r="M1062" s="5">
        <v>10142.860128720422</v>
      </c>
      <c r="N1062" s="5">
        <v>19125.360074567652</v>
      </c>
      <c r="O1062" s="5">
        <v>5444.7598502623823</v>
      </c>
      <c r="P1062" s="5">
        <v>54292.749740228588</v>
      </c>
      <c r="Q1062" s="5">
        <v>31019.493883163672</v>
      </c>
      <c r="R1062" s="5">
        <v>7784.2246210242874</v>
      </c>
    </row>
    <row r="1063" spans="9:18">
      <c r="I1063" s="4">
        <v>1048</v>
      </c>
      <c r="J1063" s="5">
        <v>15648.665245032147</v>
      </c>
      <c r="K1063" s="5">
        <v>7753.2116148734594</v>
      </c>
      <c r="L1063" s="5">
        <v>13867.07093008449</v>
      </c>
      <c r="M1063" s="5">
        <v>33862.836621974391</v>
      </c>
      <c r="N1063" s="5">
        <v>17891.96347244953</v>
      </c>
      <c r="O1063" s="5">
        <v>8801.3667015774663</v>
      </c>
      <c r="P1063" s="5">
        <v>39054.462981000084</v>
      </c>
      <c r="Q1063" s="5">
        <v>12253.299944531094</v>
      </c>
      <c r="R1063" s="5">
        <v>13258.538726001538</v>
      </c>
    </row>
    <row r="1064" spans="9:18">
      <c r="I1064" s="4">
        <v>1049</v>
      </c>
      <c r="J1064" s="5">
        <v>45301.532027110363</v>
      </c>
      <c r="K1064" s="5">
        <v>56656.842992470461</v>
      </c>
      <c r="L1064" s="5">
        <v>17716.90539191998</v>
      </c>
      <c r="M1064" s="5">
        <v>19890.009981657669</v>
      </c>
      <c r="N1064" s="5">
        <v>57711.498171893618</v>
      </c>
      <c r="O1064" s="5">
        <v>21930.527973988665</v>
      </c>
      <c r="P1064" s="5">
        <v>21039.927746191301</v>
      </c>
      <c r="Q1064" s="5">
        <v>19541.409060825732</v>
      </c>
      <c r="R1064" s="5">
        <v>114016.93673542379</v>
      </c>
    </row>
    <row r="1065" spans="9:18">
      <c r="I1065" s="4">
        <v>1050</v>
      </c>
      <c r="J1065" s="5">
        <v>11036.461796239426</v>
      </c>
      <c r="K1065" s="5">
        <v>23327.217259521742</v>
      </c>
      <c r="L1065" s="5">
        <v>14364.472927446199</v>
      </c>
      <c r="M1065" s="5">
        <v>31554.722481137964</v>
      </c>
      <c r="N1065" s="5">
        <v>22868.569282757788</v>
      </c>
      <c r="O1065" s="5">
        <v>94068.324736096256</v>
      </c>
      <c r="P1065" s="5">
        <v>46514.467673254068</v>
      </c>
      <c r="Q1065" s="5">
        <v>19315.033835554255</v>
      </c>
      <c r="R1065" s="5">
        <v>84289.422255274636</v>
      </c>
    </row>
    <row r="1066" spans="9:18">
      <c r="I1066" s="4">
        <v>1051</v>
      </c>
      <c r="J1066" s="5">
        <v>16733.020222212988</v>
      </c>
      <c r="K1066" s="5">
        <v>20887.307279900142</v>
      </c>
      <c r="L1066" s="5">
        <v>15764.107424863063</v>
      </c>
      <c r="M1066" s="5">
        <v>23515.935489506261</v>
      </c>
      <c r="N1066" s="5">
        <v>14921.795973817481</v>
      </c>
      <c r="O1066" s="5">
        <v>53028.643350899503</v>
      </c>
      <c r="P1066" s="5">
        <v>27820.721938889761</v>
      </c>
      <c r="Q1066" s="5">
        <v>28797.29222718185</v>
      </c>
      <c r="R1066" s="5">
        <v>8046.7106309763258</v>
      </c>
    </row>
    <row r="1067" spans="9:18">
      <c r="I1067" s="4">
        <v>1052</v>
      </c>
      <c r="J1067" s="5">
        <v>13918.242013140338</v>
      </c>
      <c r="K1067" s="5">
        <v>14497.035717129334</v>
      </c>
      <c r="L1067" s="5">
        <v>21428.663623484812</v>
      </c>
      <c r="M1067" s="5">
        <v>15202.972920708273</v>
      </c>
      <c r="N1067" s="5">
        <v>11788.341482962171</v>
      </c>
      <c r="O1067" s="5">
        <v>94068.324736096256</v>
      </c>
      <c r="P1067" s="5">
        <v>9633.1652908310007</v>
      </c>
      <c r="Q1067" s="5">
        <v>12451.066014448154</v>
      </c>
      <c r="R1067" s="5">
        <v>14079.827908007112</v>
      </c>
    </row>
    <row r="1068" spans="9:18">
      <c r="I1068" s="4">
        <v>1053</v>
      </c>
      <c r="J1068" s="5">
        <v>16511.332839561353</v>
      </c>
      <c r="K1068" s="5">
        <v>24728.095385476983</v>
      </c>
      <c r="L1068" s="5">
        <v>15651.346103181355</v>
      </c>
      <c r="M1068" s="5">
        <v>15346.383801976139</v>
      </c>
      <c r="N1068" s="5">
        <v>18410.937863650517</v>
      </c>
      <c r="O1068" s="5">
        <v>5909.5347260996277</v>
      </c>
      <c r="P1068" s="5">
        <v>9047.5556949992188</v>
      </c>
      <c r="Q1068" s="5">
        <v>15663.43865741136</v>
      </c>
      <c r="R1068" s="5">
        <v>12130.167062525341</v>
      </c>
    </row>
    <row r="1069" spans="9:18">
      <c r="I1069" s="4">
        <v>1054</v>
      </c>
      <c r="J1069" s="5">
        <v>11854.381651026555</v>
      </c>
      <c r="K1069" s="5">
        <v>12423.491400404893</v>
      </c>
      <c r="L1069" s="5">
        <v>29265.217478369766</v>
      </c>
      <c r="M1069" s="5">
        <v>14217.48832834715</v>
      </c>
      <c r="N1069" s="5">
        <v>22735.120948269971</v>
      </c>
      <c r="O1069" s="5">
        <v>36759.655306288936</v>
      </c>
      <c r="P1069" s="5">
        <v>9482.0186426688688</v>
      </c>
      <c r="Q1069" s="5">
        <v>92068.726035424203</v>
      </c>
      <c r="R1069" s="5">
        <v>76851.431017396084</v>
      </c>
    </row>
    <row r="1070" spans="9:18">
      <c r="I1070" s="4">
        <v>1055</v>
      </c>
      <c r="J1070" s="5">
        <v>21717.214093683677</v>
      </c>
      <c r="K1070" s="5">
        <v>15428.770955406064</v>
      </c>
      <c r="L1070" s="5">
        <v>20698.842353987733</v>
      </c>
      <c r="M1070" s="5">
        <v>21272.00214469912</v>
      </c>
      <c r="N1070" s="5">
        <v>12592.300437162297</v>
      </c>
      <c r="O1070" s="5">
        <v>9956.4031238965053</v>
      </c>
      <c r="P1070" s="5">
        <v>16072.735485912413</v>
      </c>
      <c r="Q1070" s="5">
        <v>68168.482468129529</v>
      </c>
      <c r="R1070" s="5">
        <v>17687.533637716911</v>
      </c>
    </row>
    <row r="1071" spans="9:18">
      <c r="I1071" s="4">
        <v>1056</v>
      </c>
      <c r="J1071" s="5">
        <v>21717.214093683677</v>
      </c>
      <c r="K1071" s="5">
        <v>16674.541027260992</v>
      </c>
      <c r="L1071" s="5">
        <v>14146.191653372813</v>
      </c>
      <c r="M1071" s="5">
        <v>13065.820809359835</v>
      </c>
      <c r="N1071" s="5">
        <v>34295.124147811541</v>
      </c>
      <c r="O1071" s="5">
        <v>14371.728352806511</v>
      </c>
      <c r="P1071" s="5">
        <v>35213.322626437533</v>
      </c>
      <c r="Q1071" s="5">
        <v>29432.473148002948</v>
      </c>
      <c r="R1071" s="5">
        <v>90296.353221228885</v>
      </c>
    </row>
    <row r="1072" spans="9:18">
      <c r="I1072" s="4">
        <v>1057</v>
      </c>
      <c r="J1072" s="5">
        <v>17679.321624063952</v>
      </c>
      <c r="K1072" s="5">
        <v>16665.1498926479</v>
      </c>
      <c r="L1072" s="5">
        <v>16071.478531535273</v>
      </c>
      <c r="M1072" s="5">
        <v>23449.501569180404</v>
      </c>
      <c r="N1072" s="5">
        <v>32184.535272543482</v>
      </c>
      <c r="O1072" s="5">
        <v>55264.438774006347</v>
      </c>
      <c r="P1072" s="5">
        <v>22601.57564624758</v>
      </c>
      <c r="Q1072" s="5">
        <v>8474.2603471579441</v>
      </c>
      <c r="R1072" s="5">
        <v>27349.63499959607</v>
      </c>
    </row>
    <row r="1073" spans="9:18">
      <c r="I1073" s="4">
        <v>1058</v>
      </c>
      <c r="J1073" s="5">
        <v>12452.764985867625</v>
      </c>
      <c r="K1073" s="5">
        <v>8223.1266007477425</v>
      </c>
      <c r="L1073" s="5">
        <v>25007.552172398639</v>
      </c>
      <c r="M1073" s="5">
        <v>24981.974172352908</v>
      </c>
      <c r="N1073" s="5">
        <v>39406.658185292261</v>
      </c>
      <c r="O1073" s="5">
        <v>8801.3667015774663</v>
      </c>
      <c r="P1073" s="5">
        <v>9965.8330787532959</v>
      </c>
      <c r="Q1073" s="5">
        <v>17153.530968450712</v>
      </c>
      <c r="R1073" s="5">
        <v>33863.04333215439</v>
      </c>
    </row>
    <row r="1074" spans="9:18">
      <c r="I1074" s="4">
        <v>1059</v>
      </c>
      <c r="J1074" s="5">
        <v>26634.853073396614</v>
      </c>
      <c r="K1074" s="5">
        <v>8124.7965732661823</v>
      </c>
      <c r="L1074" s="5">
        <v>25007.552172398639</v>
      </c>
      <c r="M1074" s="5">
        <v>19430.369425783585</v>
      </c>
      <c r="N1074" s="5">
        <v>16581.915858379376</v>
      </c>
      <c r="O1074" s="5">
        <v>13117.417685535194</v>
      </c>
      <c r="P1074" s="5">
        <v>44646.134934589521</v>
      </c>
      <c r="Q1074" s="5">
        <v>8502.450657922871</v>
      </c>
      <c r="R1074" s="5">
        <v>17687.533637716911</v>
      </c>
    </row>
    <row r="1075" spans="9:18">
      <c r="I1075" s="4">
        <v>1060</v>
      </c>
      <c r="J1075" s="5">
        <v>11936.262457073821</v>
      </c>
      <c r="K1075" s="5">
        <v>16132.555399908759</v>
      </c>
      <c r="L1075" s="5">
        <v>16071.478531535273</v>
      </c>
      <c r="M1075" s="5">
        <v>16510.442870615672</v>
      </c>
      <c r="N1075" s="5">
        <v>46248.895746171031</v>
      </c>
      <c r="O1075" s="5">
        <v>13117.417685535194</v>
      </c>
      <c r="P1075" s="5">
        <v>14376.883105731285</v>
      </c>
      <c r="Q1075" s="5">
        <v>18097.768262249352</v>
      </c>
      <c r="R1075" s="5">
        <v>20236.767651156802</v>
      </c>
    </row>
    <row r="1076" spans="9:18">
      <c r="I1076" s="4">
        <v>1061</v>
      </c>
      <c r="J1076" s="5">
        <v>14017.326487344162</v>
      </c>
      <c r="K1076" s="5">
        <v>95171.967522309933</v>
      </c>
      <c r="L1076" s="5">
        <v>17243.440968229323</v>
      </c>
      <c r="M1076" s="5">
        <v>12934.591863415189</v>
      </c>
      <c r="N1076" s="5">
        <v>23583.581287126868</v>
      </c>
      <c r="O1076" s="5">
        <v>3171.3006415671193</v>
      </c>
      <c r="P1076" s="5">
        <v>17643.087208586294</v>
      </c>
      <c r="Q1076" s="5">
        <v>28567.61306643406</v>
      </c>
      <c r="R1076" s="5">
        <v>30571.564004538617</v>
      </c>
    </row>
    <row r="1077" spans="9:18">
      <c r="I1077" s="4">
        <v>1062</v>
      </c>
      <c r="J1077" s="5">
        <v>14741.240040396578</v>
      </c>
      <c r="K1077" s="5">
        <v>21218.439146892688</v>
      </c>
      <c r="L1077" s="5">
        <v>14811.370758813007</v>
      </c>
      <c r="M1077" s="5">
        <v>11860.862376247747</v>
      </c>
      <c r="N1077" s="5">
        <v>17811.114014514766</v>
      </c>
      <c r="O1077" s="5">
        <v>5444.7598502623823</v>
      </c>
      <c r="P1077" s="5">
        <v>44646.134934589521</v>
      </c>
      <c r="Q1077" s="5">
        <v>37073.980790337926</v>
      </c>
      <c r="R1077" s="5">
        <v>23583.884732956092</v>
      </c>
    </row>
    <row r="1078" spans="9:18">
      <c r="I1078" s="4">
        <v>1063</v>
      </c>
      <c r="J1078" s="5">
        <v>16788.081681455456</v>
      </c>
      <c r="K1078" s="5">
        <v>16273.14570113692</v>
      </c>
      <c r="L1078" s="5">
        <v>17845.207337527903</v>
      </c>
      <c r="M1078" s="5">
        <v>14660.631931099009</v>
      </c>
      <c r="N1078" s="5">
        <v>18367.429489032103</v>
      </c>
      <c r="O1078" s="5">
        <v>83458.030763693328</v>
      </c>
      <c r="P1078" s="5">
        <v>54923.423457863879</v>
      </c>
      <c r="Q1078" s="5">
        <v>22145.301831504508</v>
      </c>
      <c r="R1078" s="5">
        <v>65420.116221752483</v>
      </c>
    </row>
    <row r="1079" spans="9:18">
      <c r="I1079" s="4">
        <v>1064</v>
      </c>
      <c r="J1079" s="5">
        <v>20768.286261788198</v>
      </c>
      <c r="K1079" s="5">
        <v>8223.1266007477425</v>
      </c>
      <c r="L1079" s="5">
        <v>15764.107424863063</v>
      </c>
      <c r="M1079" s="5">
        <v>12934.591863415189</v>
      </c>
      <c r="N1079" s="5">
        <v>18410.937863650517</v>
      </c>
      <c r="O1079" s="5">
        <v>10676.618215263648</v>
      </c>
      <c r="P1079" s="5">
        <v>10966.822219855034</v>
      </c>
      <c r="Q1079" s="5">
        <v>11173.074396969254</v>
      </c>
      <c r="R1079" s="5">
        <v>14051.647494499957</v>
      </c>
    </row>
    <row r="1080" spans="9:18">
      <c r="I1080" s="4">
        <v>1065</v>
      </c>
      <c r="J1080" s="5">
        <v>19048.674633640545</v>
      </c>
      <c r="K1080" s="5">
        <v>13520.836427679104</v>
      </c>
      <c r="L1080" s="5">
        <v>27289.607394458035</v>
      </c>
      <c r="M1080" s="5">
        <v>11529.920007560097</v>
      </c>
      <c r="N1080" s="5">
        <v>9563.1256545330361</v>
      </c>
      <c r="O1080" s="5">
        <v>13840.304699955392</v>
      </c>
      <c r="P1080" s="5">
        <v>41657.50350099193</v>
      </c>
      <c r="Q1080" s="5">
        <v>27789.973552634947</v>
      </c>
      <c r="R1080" s="5">
        <v>2071.5141323269809</v>
      </c>
    </row>
    <row r="1081" spans="9:18">
      <c r="I1081" s="4">
        <v>1066</v>
      </c>
      <c r="J1081" s="5">
        <v>11936.262457073821</v>
      </c>
      <c r="K1081" s="5">
        <v>6949.5708823216592</v>
      </c>
      <c r="L1081" s="5">
        <v>13417.453622029931</v>
      </c>
      <c r="M1081" s="5">
        <v>10451.914120098167</v>
      </c>
      <c r="N1081" s="5">
        <v>26152.705108198839</v>
      </c>
      <c r="O1081" s="5">
        <v>19492.655596593511</v>
      </c>
      <c r="P1081" s="5">
        <v>14327.191387816954</v>
      </c>
      <c r="Q1081" s="5">
        <v>28078.365156847896</v>
      </c>
      <c r="R1081" s="5">
        <v>90296.353221228885</v>
      </c>
    </row>
    <row r="1082" spans="9:18">
      <c r="I1082" s="4">
        <v>1067</v>
      </c>
      <c r="J1082" s="5">
        <v>26634.853073396614</v>
      </c>
      <c r="K1082" s="5">
        <v>16605.655749562578</v>
      </c>
      <c r="L1082" s="5">
        <v>16577.562442697115</v>
      </c>
      <c r="M1082" s="5">
        <v>32497.510405113037</v>
      </c>
      <c r="N1082" s="5">
        <v>26565.664379767408</v>
      </c>
      <c r="O1082" s="5">
        <v>31172.963108652857</v>
      </c>
      <c r="P1082" s="5">
        <v>16650.229067545235</v>
      </c>
      <c r="Q1082" s="5">
        <v>16591.881190929333</v>
      </c>
      <c r="R1082" s="5">
        <v>34970.397641695177</v>
      </c>
    </row>
    <row r="1083" spans="9:18">
      <c r="I1083" s="4">
        <v>1068</v>
      </c>
      <c r="J1083" s="5">
        <v>16710.807721801892</v>
      </c>
      <c r="K1083" s="5">
        <v>11857.447519815871</v>
      </c>
      <c r="L1083" s="5">
        <v>17482.478480142941</v>
      </c>
      <c r="M1083" s="5">
        <v>41698.977215629871</v>
      </c>
      <c r="N1083" s="5">
        <v>11788.341482962171</v>
      </c>
      <c r="O1083" s="5">
        <v>10270.120415297655</v>
      </c>
      <c r="P1083" s="5">
        <v>44816.412248582856</v>
      </c>
      <c r="Q1083" s="5">
        <v>27789.973552634947</v>
      </c>
      <c r="R1083" s="5">
        <v>62674.060343500474</v>
      </c>
    </row>
    <row r="1084" spans="9:18">
      <c r="I1084" s="4">
        <v>1069</v>
      </c>
      <c r="J1084" s="5">
        <v>73074.062486361407</v>
      </c>
      <c r="K1084" s="5">
        <v>17495.743706488822</v>
      </c>
      <c r="L1084" s="5">
        <v>19078.910217042379</v>
      </c>
      <c r="M1084" s="5">
        <v>18879.640760542785</v>
      </c>
      <c r="N1084" s="5">
        <v>13511.694619545402</v>
      </c>
      <c r="O1084" s="5">
        <v>14371.728352806511</v>
      </c>
      <c r="P1084" s="5">
        <v>18963.234565965948</v>
      </c>
      <c r="Q1084" s="5">
        <v>28567.61306643406</v>
      </c>
      <c r="R1084" s="5">
        <v>39788.288251916689</v>
      </c>
    </row>
    <row r="1085" spans="9:18">
      <c r="I1085" s="4">
        <v>1070</v>
      </c>
      <c r="J1085" s="5">
        <v>14750.660273177687</v>
      </c>
      <c r="K1085" s="5">
        <v>14351.415257675473</v>
      </c>
      <c r="L1085" s="5">
        <v>10752.183901283248</v>
      </c>
      <c r="M1085" s="5">
        <v>12987.517521908694</v>
      </c>
      <c r="N1085" s="5">
        <v>11251.634703629026</v>
      </c>
      <c r="O1085" s="5">
        <v>21930.527973988665</v>
      </c>
      <c r="P1085" s="5">
        <v>12790.85158217316</v>
      </c>
      <c r="Q1085" s="5">
        <v>31974.553851773013</v>
      </c>
      <c r="R1085" s="5">
        <v>3311.4906988006405</v>
      </c>
    </row>
    <row r="1086" spans="9:18">
      <c r="I1086" s="4">
        <v>1071</v>
      </c>
      <c r="J1086" s="5">
        <v>11036.461796239426</v>
      </c>
      <c r="K1086" s="5">
        <v>18218.584572172625</v>
      </c>
      <c r="L1086" s="5">
        <v>17716.90539191998</v>
      </c>
      <c r="M1086" s="5">
        <v>9623.0342442006167</v>
      </c>
      <c r="N1086" s="5">
        <v>12523.573732460784</v>
      </c>
      <c r="O1086" s="5">
        <v>10270.120415297655</v>
      </c>
      <c r="P1086" s="5">
        <v>26541.896041444568</v>
      </c>
      <c r="Q1086" s="5">
        <v>27789.973552634947</v>
      </c>
      <c r="R1086" s="5">
        <v>93933.045103013996</v>
      </c>
    </row>
    <row r="1087" spans="9:18">
      <c r="I1087" s="4">
        <v>1072</v>
      </c>
      <c r="J1087" s="5">
        <v>45301.532027110363</v>
      </c>
      <c r="K1087" s="5">
        <v>21958.925144875713</v>
      </c>
      <c r="L1087" s="5">
        <v>16014.071850041886</v>
      </c>
      <c r="M1087" s="5">
        <v>31472.019071027709</v>
      </c>
      <c r="N1087" s="5">
        <v>12297.015342318469</v>
      </c>
      <c r="O1087" s="5">
        <v>33720.545907536376</v>
      </c>
      <c r="P1087" s="5">
        <v>22708.601480587709</v>
      </c>
      <c r="Q1087" s="5">
        <v>9454.5906023793759</v>
      </c>
      <c r="R1087" s="5">
        <v>17687.533637716911</v>
      </c>
    </row>
    <row r="1088" spans="9:18">
      <c r="I1088" s="4">
        <v>1073</v>
      </c>
      <c r="J1088" s="5">
        <v>12452.764985867625</v>
      </c>
      <c r="K1088" s="5">
        <v>22732.797143159998</v>
      </c>
      <c r="L1088" s="5">
        <v>16071.478531535273</v>
      </c>
      <c r="M1088" s="5">
        <v>22326.253555179093</v>
      </c>
      <c r="N1088" s="5">
        <v>8555.1229659096207</v>
      </c>
      <c r="O1088" s="5">
        <v>9320.7026593487881</v>
      </c>
      <c r="P1088" s="5">
        <v>77603.711720266961</v>
      </c>
      <c r="Q1088" s="5">
        <v>15623.622662102793</v>
      </c>
      <c r="R1088" s="5">
        <v>7879.038918914337</v>
      </c>
    </row>
    <row r="1089" spans="9:18">
      <c r="I1089" s="4">
        <v>1074</v>
      </c>
      <c r="J1089" s="5">
        <v>15417.870921574262</v>
      </c>
      <c r="K1089" s="5">
        <v>15051.330276415061</v>
      </c>
      <c r="L1089" s="5">
        <v>13867.07093008449</v>
      </c>
      <c r="M1089" s="5">
        <v>18043.539897080744</v>
      </c>
      <c r="N1089" s="5">
        <v>15658.063692994532</v>
      </c>
      <c r="O1089" s="5">
        <v>10270.120415297655</v>
      </c>
      <c r="P1089" s="5">
        <v>10733.318076105543</v>
      </c>
      <c r="Q1089" s="5">
        <v>18097.768262249352</v>
      </c>
      <c r="R1089" s="5">
        <v>35232.418639121184</v>
      </c>
    </row>
    <row r="1090" spans="9:18">
      <c r="I1090" s="4">
        <v>1075</v>
      </c>
      <c r="J1090" s="5">
        <v>28590.354879265724</v>
      </c>
      <c r="K1090" s="5">
        <v>11206.053243692098</v>
      </c>
      <c r="L1090" s="5">
        <v>19189.275558866306</v>
      </c>
      <c r="M1090" s="5">
        <v>31554.722481137964</v>
      </c>
      <c r="N1090" s="5">
        <v>27841.916587595573</v>
      </c>
      <c r="O1090" s="5">
        <v>16524.769946939996</v>
      </c>
      <c r="P1090" s="5">
        <v>13452.921824087563</v>
      </c>
      <c r="Q1090" s="5">
        <v>35525.432376048877</v>
      </c>
      <c r="R1090" s="5">
        <v>41418.225609677866</v>
      </c>
    </row>
    <row r="1091" spans="9:18">
      <c r="I1091" s="4">
        <v>1076</v>
      </c>
      <c r="J1091" s="5">
        <v>14538.277247583976</v>
      </c>
      <c r="K1091" s="5">
        <v>35705.595198125673</v>
      </c>
      <c r="L1091" s="5">
        <v>23760.785349782636</v>
      </c>
      <c r="M1091" s="5">
        <v>23515.935489506261</v>
      </c>
      <c r="N1091" s="5">
        <v>4770.4216775830728</v>
      </c>
      <c r="O1091" s="5">
        <v>27068.054847826614</v>
      </c>
      <c r="P1091" s="5">
        <v>27708.613526855763</v>
      </c>
      <c r="Q1091" s="5">
        <v>43417.41805414496</v>
      </c>
      <c r="R1091" s="5">
        <v>8105.1944146993656</v>
      </c>
    </row>
    <row r="1092" spans="9:18">
      <c r="I1092" s="4">
        <v>1077</v>
      </c>
      <c r="J1092" s="5">
        <v>15064.079707240266</v>
      </c>
      <c r="K1092" s="5">
        <v>35705.595198125673</v>
      </c>
      <c r="L1092" s="5">
        <v>25389.332759288587</v>
      </c>
      <c r="M1092" s="5">
        <v>20041.623430301417</v>
      </c>
      <c r="N1092" s="5">
        <v>57711.498171893618</v>
      </c>
      <c r="O1092" s="5">
        <v>41800.463215706819</v>
      </c>
      <c r="P1092" s="5">
        <v>9826.8369575407578</v>
      </c>
      <c r="Q1092" s="5">
        <v>37497.234505125656</v>
      </c>
      <c r="R1092" s="5">
        <v>81423.874800517297</v>
      </c>
    </row>
    <row r="1093" spans="9:18">
      <c r="I1093" s="4">
        <v>1078</v>
      </c>
      <c r="J1093" s="5">
        <v>16166.107684907736</v>
      </c>
      <c r="K1093" s="5">
        <v>23327.217259521742</v>
      </c>
      <c r="L1093" s="5">
        <v>13622.976145621742</v>
      </c>
      <c r="M1093" s="5">
        <v>19795.661011456152</v>
      </c>
      <c r="N1093" s="5">
        <v>23283.854578052265</v>
      </c>
      <c r="O1093" s="5">
        <v>14371.728352806511</v>
      </c>
      <c r="P1093" s="5">
        <v>33715.790977629549</v>
      </c>
      <c r="Q1093" s="5">
        <v>13865.641566869812</v>
      </c>
      <c r="R1093" s="5">
        <v>12194.45251033065</v>
      </c>
    </row>
    <row r="1094" spans="9:18">
      <c r="I1094" s="4">
        <v>1079</v>
      </c>
      <c r="J1094" s="5">
        <v>16733.020222212988</v>
      </c>
      <c r="K1094" s="5">
        <v>11149.572204897504</v>
      </c>
      <c r="L1094" s="5">
        <v>14691.846656953887</v>
      </c>
      <c r="M1094" s="5">
        <v>32751.734100446065</v>
      </c>
      <c r="N1094" s="5">
        <v>22511.351424689696</v>
      </c>
      <c r="O1094" s="5">
        <v>10270.120415297655</v>
      </c>
      <c r="P1094" s="5">
        <v>23769.190223735484</v>
      </c>
      <c r="Q1094" s="5">
        <v>70295.978314632754</v>
      </c>
      <c r="R1094" s="5">
        <v>27349.63499959607</v>
      </c>
    </row>
    <row r="1095" spans="9:18">
      <c r="I1095" s="4">
        <v>1080</v>
      </c>
      <c r="J1095" s="5">
        <v>28085.9245102444</v>
      </c>
      <c r="K1095" s="5">
        <v>17495.743706488822</v>
      </c>
      <c r="L1095" s="5">
        <v>15922.087958863045</v>
      </c>
      <c r="M1095" s="5">
        <v>20185.026038758231</v>
      </c>
      <c r="N1095" s="5">
        <v>11952.903761138405</v>
      </c>
      <c r="O1095" s="5">
        <v>10270.120415297655</v>
      </c>
      <c r="P1095" s="5">
        <v>17737.38315098183</v>
      </c>
      <c r="Q1095" s="5">
        <v>100789.83462564547</v>
      </c>
      <c r="R1095" s="5">
        <v>14051.647494499957</v>
      </c>
    </row>
    <row r="1096" spans="9:18">
      <c r="I1096" s="4">
        <v>1081</v>
      </c>
      <c r="J1096" s="5">
        <v>49463.324094345015</v>
      </c>
      <c r="K1096" s="5">
        <v>14674.169276244838</v>
      </c>
      <c r="L1096" s="5">
        <v>13358.459356674217</v>
      </c>
      <c r="M1096" s="5">
        <v>29041.83725675238</v>
      </c>
      <c r="N1096" s="5">
        <v>23283.854578052265</v>
      </c>
      <c r="O1096" s="5">
        <v>13519.384207850644</v>
      </c>
      <c r="P1096" s="5">
        <v>9633.1652908310007</v>
      </c>
      <c r="Q1096" s="5">
        <v>29432.473148002948</v>
      </c>
      <c r="R1096" s="5">
        <v>216919.53009911609</v>
      </c>
    </row>
    <row r="1097" spans="9:18">
      <c r="I1097" s="4">
        <v>1082</v>
      </c>
      <c r="J1097" s="5">
        <v>28214.771032351968</v>
      </c>
      <c r="K1097" s="5">
        <v>9769.3659785458403</v>
      </c>
      <c r="L1097" s="5">
        <v>14815.394001212817</v>
      </c>
      <c r="M1097" s="5">
        <v>15202.972920708273</v>
      </c>
      <c r="N1097" s="5">
        <v>37309.151967087455</v>
      </c>
      <c r="O1097" s="5">
        <v>16505.600261180331</v>
      </c>
      <c r="P1097" s="5">
        <v>83536.241167211992</v>
      </c>
      <c r="Q1097" s="5">
        <v>27789.973552634947</v>
      </c>
      <c r="R1097" s="5">
        <v>31715.273557891396</v>
      </c>
    </row>
    <row r="1098" spans="9:18">
      <c r="I1098" s="4">
        <v>1083</v>
      </c>
      <c r="J1098" s="5">
        <v>21717.214093683677</v>
      </c>
      <c r="K1098" s="5">
        <v>31910.762633549082</v>
      </c>
      <c r="L1098" s="5">
        <v>27289.607394458035</v>
      </c>
      <c r="M1098" s="5">
        <v>7334.8610818348589</v>
      </c>
      <c r="N1098" s="5">
        <v>15251.140047572881</v>
      </c>
      <c r="O1098" s="5">
        <v>62082.6862081785</v>
      </c>
      <c r="P1098" s="5">
        <v>18963.234565965948</v>
      </c>
      <c r="Q1098" s="5">
        <v>28776.080424849053</v>
      </c>
      <c r="R1098" s="5">
        <v>33290.909836056817</v>
      </c>
    </row>
    <row r="1099" spans="9:18">
      <c r="I1099" s="4">
        <v>1084</v>
      </c>
      <c r="J1099" s="5">
        <v>15064.079707240266</v>
      </c>
      <c r="K1099" s="5">
        <v>15631.937142257386</v>
      </c>
      <c r="L1099" s="5">
        <v>14815.394001212817</v>
      </c>
      <c r="M1099" s="5">
        <v>7334.8610818348589</v>
      </c>
      <c r="N1099" s="5">
        <v>26152.705108198839</v>
      </c>
      <c r="O1099" s="5">
        <v>27084.483614751469</v>
      </c>
      <c r="P1099" s="5">
        <v>49519.098753410741</v>
      </c>
      <c r="Q1099" s="5">
        <v>20987.925664394581</v>
      </c>
      <c r="R1099" s="5">
        <v>90296.353221228885</v>
      </c>
    </row>
    <row r="1100" spans="9:18">
      <c r="I1100" s="4">
        <v>1085</v>
      </c>
      <c r="J1100" s="5">
        <v>15064.079707240266</v>
      </c>
      <c r="K1100" s="5">
        <v>11507.182177474708</v>
      </c>
      <c r="L1100" s="5">
        <v>17311.244744664215</v>
      </c>
      <c r="M1100" s="5">
        <v>16500.222621933419</v>
      </c>
      <c r="N1100" s="5">
        <v>12592.300437162297</v>
      </c>
      <c r="O1100" s="5">
        <v>27508.313315384185</v>
      </c>
      <c r="P1100" s="5">
        <v>12992.105410393709</v>
      </c>
      <c r="Q1100" s="5">
        <v>92068.726035424203</v>
      </c>
      <c r="R1100" s="5">
        <v>90296.353221228885</v>
      </c>
    </row>
    <row r="1101" spans="9:18">
      <c r="I1101" s="4">
        <v>1086</v>
      </c>
      <c r="J1101" s="5">
        <v>14420.293087375476</v>
      </c>
      <c r="K1101" s="5">
        <v>16952.949313901812</v>
      </c>
      <c r="L1101" s="5">
        <v>15922.087958863045</v>
      </c>
      <c r="M1101" s="5">
        <v>13414.385151739983</v>
      </c>
      <c r="N1101" s="5">
        <v>13511.694619545402</v>
      </c>
      <c r="O1101" s="5">
        <v>59207.798737851255</v>
      </c>
      <c r="P1101" s="5">
        <v>25258.981945036445</v>
      </c>
      <c r="Q1101" s="5">
        <v>68168.482468129529</v>
      </c>
      <c r="R1101" s="5">
        <v>17991.870496434763</v>
      </c>
    </row>
    <row r="1102" spans="9:18">
      <c r="I1102" s="4">
        <v>1087</v>
      </c>
      <c r="J1102" s="5">
        <v>15648.665245032147</v>
      </c>
      <c r="K1102" s="5">
        <v>11149.572204897504</v>
      </c>
      <c r="L1102" s="5">
        <v>19359.475411188432</v>
      </c>
      <c r="M1102" s="5">
        <v>12619.198742021435</v>
      </c>
      <c r="N1102" s="5">
        <v>22868.569282757788</v>
      </c>
      <c r="O1102" s="5">
        <v>49114.195066822271</v>
      </c>
      <c r="P1102" s="5">
        <v>16072.735485912413</v>
      </c>
      <c r="Q1102" s="5">
        <v>31974.553851773013</v>
      </c>
      <c r="R1102" s="5">
        <v>8105.1944146993656</v>
      </c>
    </row>
    <row r="1103" spans="9:18">
      <c r="I1103" s="4">
        <v>1088</v>
      </c>
      <c r="J1103" s="5">
        <v>8580.4413740966302</v>
      </c>
      <c r="K1103" s="5">
        <v>23327.217259521742</v>
      </c>
      <c r="L1103" s="5">
        <v>15126.980926457318</v>
      </c>
      <c r="M1103" s="5">
        <v>9623.0342442006167</v>
      </c>
      <c r="N1103" s="5">
        <v>10882.757905166785</v>
      </c>
      <c r="O1103" s="5">
        <v>42492.261063288854</v>
      </c>
      <c r="P1103" s="5">
        <v>10733.318076105543</v>
      </c>
      <c r="Q1103" s="5">
        <v>92068.726035424203</v>
      </c>
      <c r="R1103" s="5">
        <v>50287.76786557267</v>
      </c>
    </row>
    <row r="1104" spans="9:18">
      <c r="I1104" s="4">
        <v>1089</v>
      </c>
      <c r="J1104" s="5">
        <v>28590.354879265724</v>
      </c>
      <c r="K1104" s="5">
        <v>21958.925144875713</v>
      </c>
      <c r="L1104" s="5">
        <v>15764.107424863063</v>
      </c>
      <c r="M1104" s="5">
        <v>19795.661011456152</v>
      </c>
      <c r="N1104" s="5">
        <v>11251.634703629026</v>
      </c>
      <c r="O1104" s="5">
        <v>41653.890350944224</v>
      </c>
      <c r="P1104" s="5">
        <v>14773.185437294762</v>
      </c>
      <c r="Q1104" s="5">
        <v>96632.959478514502</v>
      </c>
      <c r="R1104" s="5">
        <v>20303.08745527079</v>
      </c>
    </row>
    <row r="1105" spans="9:18">
      <c r="I1105" s="4">
        <v>1090</v>
      </c>
      <c r="J1105" s="5">
        <v>13391.049101507895</v>
      </c>
      <c r="K1105" s="5">
        <v>12026.500118162745</v>
      </c>
      <c r="L1105" s="5">
        <v>15764.107424863063</v>
      </c>
      <c r="M1105" s="5">
        <v>31460.745851561904</v>
      </c>
      <c r="N1105" s="5">
        <v>51261.622558090799</v>
      </c>
      <c r="O1105" s="5">
        <v>40304.23053285561</v>
      </c>
      <c r="P1105" s="5">
        <v>106091.28270624072</v>
      </c>
      <c r="Q1105" s="5">
        <v>7457.1844090365566</v>
      </c>
      <c r="R1105" s="5">
        <v>20236.767651156802</v>
      </c>
    </row>
    <row r="1106" spans="9:18">
      <c r="I1106" s="4">
        <v>1091</v>
      </c>
      <c r="J1106" s="5">
        <v>21888.821432026474</v>
      </c>
      <c r="K1106" s="5">
        <v>19467.955014411935</v>
      </c>
      <c r="L1106" s="5">
        <v>34748.877779456467</v>
      </c>
      <c r="M1106" s="5">
        <v>23454.775510296178</v>
      </c>
      <c r="N1106" s="5">
        <v>32184.535272543482</v>
      </c>
      <c r="O1106" s="5">
        <v>53007.660727727191</v>
      </c>
      <c r="P1106" s="5">
        <v>12790.85158217316</v>
      </c>
      <c r="Q1106" s="5">
        <v>53055.59182561023</v>
      </c>
      <c r="R1106" s="5">
        <v>30571.564004538617</v>
      </c>
    </row>
    <row r="1107" spans="9:18">
      <c r="I1107" s="4">
        <v>1092</v>
      </c>
      <c r="J1107" s="5">
        <v>15130.594750069789</v>
      </c>
      <c r="K1107" s="5">
        <v>34164.842952759042</v>
      </c>
      <c r="L1107" s="5">
        <v>22412.045018675239</v>
      </c>
      <c r="M1107" s="5">
        <v>12426.949970383979</v>
      </c>
      <c r="N1107" s="5">
        <v>26565.664379767408</v>
      </c>
      <c r="O1107" s="5">
        <v>45451.954570113048</v>
      </c>
      <c r="P1107" s="5">
        <v>29283.825979394511</v>
      </c>
      <c r="Q1107" s="5">
        <v>31855.809428519857</v>
      </c>
      <c r="R1107" s="5">
        <v>51141.799458534304</v>
      </c>
    </row>
    <row r="1108" spans="9:18">
      <c r="I1108" s="4">
        <v>1093</v>
      </c>
      <c r="J1108" s="5">
        <v>14538.277247583976</v>
      </c>
      <c r="K1108" s="5">
        <v>23934.551191616061</v>
      </c>
      <c r="L1108" s="5">
        <v>22018.381599979773</v>
      </c>
      <c r="M1108" s="5">
        <v>23908.621352410395</v>
      </c>
      <c r="N1108" s="5">
        <v>20583.564383988036</v>
      </c>
      <c r="O1108" s="5">
        <v>16524.769946939996</v>
      </c>
      <c r="P1108" s="5">
        <v>55152.110177667731</v>
      </c>
      <c r="Q1108" s="5">
        <v>15623.622662102793</v>
      </c>
      <c r="R1108" s="5">
        <v>14051.647494499957</v>
      </c>
    </row>
    <row r="1109" spans="9:18">
      <c r="I1109" s="4">
        <v>1094</v>
      </c>
      <c r="J1109" s="5">
        <v>15623.733864199699</v>
      </c>
      <c r="K1109" s="5">
        <v>21527.93129974293</v>
      </c>
      <c r="L1109" s="5">
        <v>18475.258050488967</v>
      </c>
      <c r="M1109" s="5">
        <v>21332.072353846772</v>
      </c>
      <c r="N1109" s="5">
        <v>41563.89847100406</v>
      </c>
      <c r="O1109" s="5">
        <v>55264.438774006347</v>
      </c>
      <c r="P1109" s="5">
        <v>63015.124693769802</v>
      </c>
      <c r="Q1109" s="5">
        <v>17153.530968450712</v>
      </c>
      <c r="R1109" s="5">
        <v>3433.6677391851467</v>
      </c>
    </row>
    <row r="1110" spans="9:18">
      <c r="I1110" s="4">
        <v>1095</v>
      </c>
      <c r="J1110" s="5">
        <v>23517.429992060665</v>
      </c>
      <c r="K1110" s="5">
        <v>14017.262946034314</v>
      </c>
      <c r="L1110" s="5">
        <v>15922.087958863045</v>
      </c>
      <c r="M1110" s="5">
        <v>18816.787977140237</v>
      </c>
      <c r="N1110" s="5">
        <v>13745.376566850549</v>
      </c>
      <c r="O1110" s="5">
        <v>9869.5889207969612</v>
      </c>
      <c r="P1110" s="5">
        <v>17974.179326980211</v>
      </c>
      <c r="Q1110" s="5">
        <v>100789.83462564547</v>
      </c>
      <c r="R1110" s="5">
        <v>59414.886464347241</v>
      </c>
    </row>
    <row r="1111" spans="9:18">
      <c r="I1111" s="4">
        <v>1096</v>
      </c>
      <c r="J1111" s="5">
        <v>21717.214093683677</v>
      </c>
      <c r="K1111" s="5">
        <v>15631.937142257386</v>
      </c>
      <c r="L1111" s="5">
        <v>15300.182042823812</v>
      </c>
      <c r="M1111" s="5">
        <v>15202.972920708273</v>
      </c>
      <c r="N1111" s="5">
        <v>28426.778914975595</v>
      </c>
      <c r="O1111" s="5">
        <v>19430.912633256889</v>
      </c>
      <c r="P1111" s="5">
        <v>14376.883105731285</v>
      </c>
      <c r="Q1111" s="5">
        <v>43417.41805414496</v>
      </c>
      <c r="R1111" s="5">
        <v>19133.693426869788</v>
      </c>
    </row>
    <row r="1112" spans="9:18">
      <c r="I1112" s="4">
        <v>1097</v>
      </c>
      <c r="J1112" s="5">
        <v>14594.990625703947</v>
      </c>
      <c r="K1112" s="5">
        <v>24728.095385476983</v>
      </c>
      <c r="L1112" s="5">
        <v>17716.90539191998</v>
      </c>
      <c r="M1112" s="5">
        <v>25580.243606220469</v>
      </c>
      <c r="N1112" s="5">
        <v>12592.300437162297</v>
      </c>
      <c r="O1112" s="5">
        <v>40304.23053285561</v>
      </c>
      <c r="P1112" s="5">
        <v>27708.613526855763</v>
      </c>
      <c r="Q1112" s="5">
        <v>148345.62878828164</v>
      </c>
      <c r="R1112" s="5">
        <v>7394.6358885760465</v>
      </c>
    </row>
    <row r="1113" spans="9:18">
      <c r="I1113" s="4">
        <v>1098</v>
      </c>
      <c r="J1113" s="5">
        <v>16788.081681455456</v>
      </c>
      <c r="K1113" s="5">
        <v>11507.182177474708</v>
      </c>
      <c r="L1113" s="5">
        <v>15471.738323660695</v>
      </c>
      <c r="M1113" s="5">
        <v>12426.949970383979</v>
      </c>
      <c r="N1113" s="5">
        <v>12523.573732460784</v>
      </c>
      <c r="O1113" s="5">
        <v>20489.622805425737</v>
      </c>
      <c r="P1113" s="5">
        <v>35213.322626437533</v>
      </c>
      <c r="Q1113" s="5">
        <v>12253.299944531094</v>
      </c>
      <c r="R1113" s="5">
        <v>86510.608303273053</v>
      </c>
    </row>
    <row r="1114" spans="9:18">
      <c r="I1114" s="4">
        <v>1099</v>
      </c>
      <c r="J1114" s="5">
        <v>14344.692898101612</v>
      </c>
      <c r="K1114" s="5">
        <v>16273.14570113692</v>
      </c>
      <c r="L1114" s="5">
        <v>18379.634651549037</v>
      </c>
      <c r="M1114" s="5">
        <v>18177.175180585615</v>
      </c>
      <c r="N1114" s="5">
        <v>25424.029865101274</v>
      </c>
      <c r="O1114" s="5">
        <v>13840.304699955392</v>
      </c>
      <c r="P1114" s="5">
        <v>38024.168395914428</v>
      </c>
      <c r="Q1114" s="5">
        <v>43417.41805414496</v>
      </c>
      <c r="R1114" s="5">
        <v>7118.1729476780347</v>
      </c>
    </row>
    <row r="1115" spans="9:18">
      <c r="I1115" s="4">
        <v>1100</v>
      </c>
      <c r="J1115" s="5">
        <v>13391.049101507895</v>
      </c>
      <c r="K1115" s="5">
        <v>6949.5708823216592</v>
      </c>
      <c r="L1115" s="5">
        <v>27144.958215276103</v>
      </c>
      <c r="M1115" s="5">
        <v>10111.451009425113</v>
      </c>
      <c r="N1115" s="5">
        <v>16148.901635865295</v>
      </c>
      <c r="O1115" s="5">
        <v>41800.463215706819</v>
      </c>
      <c r="P1115" s="5">
        <v>8662.4232458952465</v>
      </c>
      <c r="Q1115" s="5">
        <v>31902.904306425251</v>
      </c>
      <c r="R1115" s="5">
        <v>18349.337771428582</v>
      </c>
    </row>
    <row r="1116" spans="9:18">
      <c r="I1116" s="4">
        <v>1101</v>
      </c>
      <c r="J1116" s="5">
        <v>16166.107684907736</v>
      </c>
      <c r="K1116" s="5">
        <v>18218.584572172625</v>
      </c>
      <c r="L1116" s="5">
        <v>17845.207337527903</v>
      </c>
      <c r="M1116" s="5">
        <v>11860.862376247747</v>
      </c>
      <c r="N1116" s="5">
        <v>13511.694619545402</v>
      </c>
      <c r="O1116" s="5">
        <v>53007.660727727191</v>
      </c>
      <c r="P1116" s="5">
        <v>8877.9712092977989</v>
      </c>
      <c r="Q1116" s="5">
        <v>10151.908492905288</v>
      </c>
      <c r="R1116" s="5">
        <v>8046.7106309763258</v>
      </c>
    </row>
    <row r="1117" spans="9:18">
      <c r="I1117" s="4">
        <v>1102</v>
      </c>
      <c r="J1117" s="5">
        <v>16733.020222212988</v>
      </c>
      <c r="K1117" s="5">
        <v>23934.551191616061</v>
      </c>
      <c r="L1117" s="5">
        <v>27289.607394458035</v>
      </c>
      <c r="M1117" s="5">
        <v>19097.39635881727</v>
      </c>
      <c r="N1117" s="5">
        <v>14240.123545764454</v>
      </c>
      <c r="O1117" s="5">
        <v>9869.5889207969612</v>
      </c>
      <c r="P1117" s="5">
        <v>8069.5385577067918</v>
      </c>
      <c r="Q1117" s="5">
        <v>47365.380972950254</v>
      </c>
      <c r="R1117" s="5">
        <v>44707.053087992797</v>
      </c>
    </row>
    <row r="1118" spans="9:18">
      <c r="I1118" s="4">
        <v>1103</v>
      </c>
      <c r="J1118" s="5">
        <v>20768.286261788198</v>
      </c>
      <c r="K1118" s="5">
        <v>16081.362509465702</v>
      </c>
      <c r="L1118" s="5">
        <v>17482.478480142941</v>
      </c>
      <c r="M1118" s="5">
        <v>30830.81083227017</v>
      </c>
      <c r="N1118" s="5">
        <v>16581.915858379376</v>
      </c>
      <c r="O1118" s="5">
        <v>27503.656957929088</v>
      </c>
      <c r="P1118" s="5">
        <v>27373.102585108634</v>
      </c>
      <c r="Q1118" s="5">
        <v>68168.482468129529</v>
      </c>
      <c r="R1118" s="5">
        <v>41056.152565483346</v>
      </c>
    </row>
    <row r="1119" spans="9:18">
      <c r="I1119" s="4">
        <v>1104</v>
      </c>
      <c r="J1119" s="5">
        <v>11843.28062342474</v>
      </c>
      <c r="K1119" s="5">
        <v>17003.901855709089</v>
      </c>
      <c r="L1119" s="5">
        <v>15764.107424863063</v>
      </c>
      <c r="M1119" s="5">
        <v>19430.369425783585</v>
      </c>
      <c r="N1119" s="5">
        <v>11635.644856128632</v>
      </c>
      <c r="O1119" s="5">
        <v>41653.890350944224</v>
      </c>
      <c r="P1119" s="5">
        <v>38771.994792132391</v>
      </c>
      <c r="Q1119" s="5">
        <v>4631.7430487757983</v>
      </c>
      <c r="R1119" s="5">
        <v>18720.450716365784</v>
      </c>
    </row>
    <row r="1120" spans="9:18">
      <c r="I1120" s="4">
        <v>1105</v>
      </c>
      <c r="J1120" s="5">
        <v>12452.764985867625</v>
      </c>
      <c r="K1120" s="5">
        <v>32294.121255311245</v>
      </c>
      <c r="L1120" s="5">
        <v>16577.562442697115</v>
      </c>
      <c r="M1120" s="5">
        <v>13011.820191946215</v>
      </c>
      <c r="N1120" s="5">
        <v>57711.498171893618</v>
      </c>
      <c r="O1120" s="5">
        <v>31172.963108652857</v>
      </c>
      <c r="P1120" s="5">
        <v>27820.721938889761</v>
      </c>
      <c r="Q1120" s="5">
        <v>37101.531383212743</v>
      </c>
      <c r="R1120" s="5">
        <v>87776.138236389699</v>
      </c>
    </row>
    <row r="1121" spans="9:18">
      <c r="I1121" s="4">
        <v>1106</v>
      </c>
      <c r="J1121" s="5">
        <v>22188.291830993156</v>
      </c>
      <c r="K1121" s="5">
        <v>11507.182177474708</v>
      </c>
      <c r="L1121" s="5">
        <v>18634.523182776735</v>
      </c>
      <c r="M1121" s="5">
        <v>30830.81083227017</v>
      </c>
      <c r="N1121" s="5">
        <v>11251.634703629026</v>
      </c>
      <c r="O1121" s="5">
        <v>10270.120415297655</v>
      </c>
      <c r="P1121" s="5">
        <v>83536.241167211992</v>
      </c>
      <c r="Q1121" s="5">
        <v>47365.380972950254</v>
      </c>
      <c r="R1121" s="5">
        <v>26783.439354489365</v>
      </c>
    </row>
    <row r="1122" spans="9:18">
      <c r="I1122" s="4">
        <v>1107</v>
      </c>
      <c r="J1122" s="5">
        <v>33627.941293959229</v>
      </c>
      <c r="K1122" s="5">
        <v>14351.415257675473</v>
      </c>
      <c r="L1122" s="5">
        <v>20698.842353987733</v>
      </c>
      <c r="M1122" s="5">
        <v>23515.935489506261</v>
      </c>
      <c r="N1122" s="5">
        <v>25424.029865101274</v>
      </c>
      <c r="O1122" s="5">
        <v>53007.660727727191</v>
      </c>
      <c r="P1122" s="5">
        <v>41657.50350099193</v>
      </c>
      <c r="Q1122" s="5">
        <v>28776.080424849053</v>
      </c>
      <c r="R1122" s="5">
        <v>181970.23111012415</v>
      </c>
    </row>
    <row r="1123" spans="9:18">
      <c r="I1123" s="4">
        <v>1108</v>
      </c>
      <c r="J1123" s="5">
        <v>33627.941293959229</v>
      </c>
      <c r="K1123" s="5">
        <v>17128.860847126922</v>
      </c>
      <c r="L1123" s="5">
        <v>14691.846656953887</v>
      </c>
      <c r="M1123" s="5">
        <v>12987.517521908694</v>
      </c>
      <c r="N1123" s="5">
        <v>27833.630848857778</v>
      </c>
      <c r="O1123" s="5">
        <v>27503.656957929088</v>
      </c>
      <c r="P1123" s="5">
        <v>29283.825979394511</v>
      </c>
      <c r="Q1123" s="5">
        <v>14064.158297039334</v>
      </c>
      <c r="R1123" s="5">
        <v>90296.353221228885</v>
      </c>
    </row>
    <row r="1124" spans="9:18">
      <c r="I1124" s="4">
        <v>1109</v>
      </c>
      <c r="J1124" s="5">
        <v>15064.079707240266</v>
      </c>
      <c r="K1124" s="5">
        <v>16199.334613834633</v>
      </c>
      <c r="L1124" s="5">
        <v>14146.191653372813</v>
      </c>
      <c r="M1124" s="5">
        <v>16842.379179328669</v>
      </c>
      <c r="N1124" s="5">
        <v>34295.124147811541</v>
      </c>
      <c r="O1124" s="5">
        <v>42492.261063288854</v>
      </c>
      <c r="P1124" s="5">
        <v>54923.423457863879</v>
      </c>
      <c r="Q1124" s="5">
        <v>8474.2603471579441</v>
      </c>
      <c r="R1124" s="5">
        <v>86510.608303273053</v>
      </c>
    </row>
    <row r="1125" spans="9:18">
      <c r="I1125" s="4">
        <v>1110</v>
      </c>
      <c r="J1125" s="5">
        <v>14960.076233580705</v>
      </c>
      <c r="K1125" s="5">
        <v>7753.2116148734594</v>
      </c>
      <c r="L1125" s="5">
        <v>16777.996633299583</v>
      </c>
      <c r="M1125" s="5">
        <v>22326.253555179093</v>
      </c>
      <c r="N1125" s="5">
        <v>10882.757905166785</v>
      </c>
      <c r="O1125" s="5">
        <v>83458.030763693328</v>
      </c>
      <c r="P1125" s="5">
        <v>66904.018529955298</v>
      </c>
      <c r="Q1125" s="5">
        <v>70295.978314632754</v>
      </c>
      <c r="R1125" s="5">
        <v>12116.34255245842</v>
      </c>
    </row>
    <row r="1126" spans="9:18">
      <c r="I1126" s="4">
        <v>1111</v>
      </c>
      <c r="J1126" s="5">
        <v>31559.699247539775</v>
      </c>
      <c r="K1126" s="5">
        <v>11857.447519815871</v>
      </c>
      <c r="L1126" s="5">
        <v>25389.332759288587</v>
      </c>
      <c r="M1126" s="5">
        <v>11529.920007560097</v>
      </c>
      <c r="N1126" s="5">
        <v>11684.605182472778</v>
      </c>
      <c r="O1126" s="5">
        <v>9320.7026593487881</v>
      </c>
      <c r="P1126" s="5">
        <v>26541.896041444568</v>
      </c>
      <c r="Q1126" s="5">
        <v>48866.209623168346</v>
      </c>
      <c r="R1126" s="5">
        <v>27349.63499959607</v>
      </c>
    </row>
    <row r="1127" spans="9:18">
      <c r="I1127" s="4">
        <v>1112</v>
      </c>
      <c r="J1127" s="5">
        <v>18650.249281571734</v>
      </c>
      <c r="K1127" s="5">
        <v>9739.7813029644258</v>
      </c>
      <c r="L1127" s="5">
        <v>23760.785349782636</v>
      </c>
      <c r="M1127" s="5">
        <v>32497.510405113037</v>
      </c>
      <c r="N1127" s="5">
        <v>36962.805083900916</v>
      </c>
      <c r="O1127" s="5">
        <v>24258.192244316608</v>
      </c>
      <c r="P1127" s="5">
        <v>14773.185437294762</v>
      </c>
      <c r="Q1127" s="5">
        <v>18097.768262249352</v>
      </c>
      <c r="R1127" s="5">
        <v>39727.513802035661</v>
      </c>
    </row>
    <row r="1128" spans="9:18">
      <c r="I1128" s="4">
        <v>1113</v>
      </c>
      <c r="J1128" s="5">
        <v>12035.382213755307</v>
      </c>
      <c r="K1128" s="5">
        <v>20887.307279900142</v>
      </c>
      <c r="L1128" s="5">
        <v>10752.183901283248</v>
      </c>
      <c r="M1128" s="5">
        <v>15202.972920708273</v>
      </c>
      <c r="N1128" s="5">
        <v>16148.901635865295</v>
      </c>
      <c r="O1128" s="5">
        <v>12110.196126281628</v>
      </c>
      <c r="P1128" s="5">
        <v>33715.790977629549</v>
      </c>
      <c r="Q1128" s="5">
        <v>11928.872068442162</v>
      </c>
      <c r="R1128" s="5">
        <v>302760.11878714536</v>
      </c>
    </row>
    <row r="1129" spans="9:18">
      <c r="I1129" s="4">
        <v>1114</v>
      </c>
      <c r="J1129" s="5">
        <v>15417.870921574262</v>
      </c>
      <c r="K1129" s="5">
        <v>56656.842992470461</v>
      </c>
      <c r="L1129" s="5">
        <v>17128.574519497746</v>
      </c>
      <c r="M1129" s="5">
        <v>13616.35938654862</v>
      </c>
      <c r="N1129" s="5">
        <v>11684.605182472778</v>
      </c>
      <c r="O1129" s="5">
        <v>28431.436490368542</v>
      </c>
      <c r="P1129" s="5">
        <v>63015.124693769802</v>
      </c>
      <c r="Q1129" s="5">
        <v>12253.299944531094</v>
      </c>
      <c r="R1129" s="5">
        <v>302760.11878714536</v>
      </c>
    </row>
    <row r="1130" spans="9:18">
      <c r="I1130" s="4">
        <v>1115</v>
      </c>
      <c r="J1130" s="5">
        <v>11036.461796239426</v>
      </c>
      <c r="K1130" s="5">
        <v>13520.836427679104</v>
      </c>
      <c r="L1130" s="5">
        <v>19359.475411188432</v>
      </c>
      <c r="M1130" s="5">
        <v>22815.60259636537</v>
      </c>
      <c r="N1130" s="5">
        <v>15251.140047572881</v>
      </c>
      <c r="O1130" s="5">
        <v>41653.890350944224</v>
      </c>
      <c r="P1130" s="5">
        <v>17643.087208586294</v>
      </c>
      <c r="Q1130" s="5">
        <v>22483.395143121877</v>
      </c>
      <c r="R1130" s="5">
        <v>31715.273557891396</v>
      </c>
    </row>
    <row r="1131" spans="9:18">
      <c r="I1131" s="4">
        <v>1116</v>
      </c>
      <c r="J1131" s="5">
        <v>13447.638004246244</v>
      </c>
      <c r="K1131" s="5">
        <v>17003.901855709089</v>
      </c>
      <c r="L1131" s="5">
        <v>16293.265064857471</v>
      </c>
      <c r="M1131" s="5">
        <v>33862.836621974391</v>
      </c>
      <c r="N1131" s="5">
        <v>40377.252444397986</v>
      </c>
      <c r="O1131" s="5">
        <v>41800.463215706819</v>
      </c>
      <c r="P1131" s="5">
        <v>5836.7810663002319</v>
      </c>
      <c r="Q1131" s="5">
        <v>53055.59182561023</v>
      </c>
      <c r="R1131" s="5">
        <v>59414.886464347241</v>
      </c>
    </row>
    <row r="1132" spans="9:18">
      <c r="I1132" s="4">
        <v>1117</v>
      </c>
      <c r="J1132" s="5">
        <v>29760.443016608337</v>
      </c>
      <c r="K1132" s="5">
        <v>13520.836427679104</v>
      </c>
      <c r="L1132" s="5">
        <v>19359.475411188432</v>
      </c>
      <c r="M1132" s="5">
        <v>29041.83725675238</v>
      </c>
      <c r="N1132" s="5">
        <v>8104.6265149430556</v>
      </c>
      <c r="O1132" s="5">
        <v>20489.622805425737</v>
      </c>
      <c r="P1132" s="5">
        <v>10733.318076105543</v>
      </c>
      <c r="Q1132" s="5">
        <v>116445.46783345108</v>
      </c>
      <c r="R1132" s="5">
        <v>89167.415757270224</v>
      </c>
    </row>
    <row r="1133" spans="9:18">
      <c r="I1133" s="4">
        <v>1118</v>
      </c>
      <c r="J1133" s="5">
        <v>14594.990625703947</v>
      </c>
      <c r="K1133" s="5">
        <v>35705.595198125673</v>
      </c>
      <c r="L1133" s="5">
        <v>18379.634651549037</v>
      </c>
      <c r="M1133" s="5">
        <v>11860.862376247747</v>
      </c>
      <c r="N1133" s="5">
        <v>26152.705108198839</v>
      </c>
      <c r="O1133" s="5">
        <v>40304.23053285561</v>
      </c>
      <c r="P1133" s="5">
        <v>26126.807131356076</v>
      </c>
      <c r="Q1133" s="5">
        <v>7349.2234634219121</v>
      </c>
      <c r="R1133" s="5">
        <v>72561.496699005787</v>
      </c>
    </row>
    <row r="1134" spans="9:18">
      <c r="I1134" s="4">
        <v>1119</v>
      </c>
      <c r="J1134" s="5">
        <v>17679.321624063952</v>
      </c>
      <c r="K1134" s="5">
        <v>15129.619337591721</v>
      </c>
      <c r="L1134" s="5">
        <v>16451.333928028147</v>
      </c>
      <c r="M1134" s="5">
        <v>41403.687663920646</v>
      </c>
      <c r="N1134" s="5">
        <v>11604.12831603515</v>
      </c>
      <c r="O1134" s="5">
        <v>26268.613803794757</v>
      </c>
      <c r="P1134" s="5">
        <v>55152.110177667731</v>
      </c>
      <c r="Q1134" s="5">
        <v>12253.299944531094</v>
      </c>
      <c r="R1134" s="5">
        <v>12130.167062525341</v>
      </c>
    </row>
    <row r="1135" spans="9:18">
      <c r="I1135" s="4">
        <v>1120</v>
      </c>
      <c r="J1135" s="5">
        <v>11843.28062342474</v>
      </c>
      <c r="K1135" s="5">
        <v>20887.307279900142</v>
      </c>
      <c r="L1135" s="5">
        <v>15832.5469007027</v>
      </c>
      <c r="M1135" s="5">
        <v>23908.621352410395</v>
      </c>
      <c r="N1135" s="5">
        <v>11251.634703629026</v>
      </c>
      <c r="O1135" s="5">
        <v>79848.944504816522</v>
      </c>
      <c r="P1135" s="5">
        <v>18862.487147419793</v>
      </c>
      <c r="Q1135" s="5">
        <v>37073.980790337926</v>
      </c>
      <c r="R1135" s="5">
        <v>39263.770877572199</v>
      </c>
    </row>
    <row r="1136" spans="9:18">
      <c r="I1136" s="4">
        <v>1121</v>
      </c>
      <c r="J1136" s="5">
        <v>49463.324094345015</v>
      </c>
      <c r="K1136" s="5">
        <v>12423.491400404893</v>
      </c>
      <c r="L1136" s="5">
        <v>14316.474075738101</v>
      </c>
      <c r="M1136" s="5">
        <v>32751.734100446065</v>
      </c>
      <c r="N1136" s="5">
        <v>35826.921212852278</v>
      </c>
      <c r="O1136" s="5">
        <v>26268.613803794757</v>
      </c>
      <c r="P1136" s="5">
        <v>8662.4232458952465</v>
      </c>
      <c r="Q1136" s="5">
        <v>22145.301831504508</v>
      </c>
      <c r="R1136" s="5">
        <v>7201.7586694681067</v>
      </c>
    </row>
    <row r="1137" spans="9:18">
      <c r="I1137" s="4">
        <v>1122</v>
      </c>
      <c r="J1137" s="5">
        <v>15554.996700302558</v>
      </c>
      <c r="K1137" s="5">
        <v>16199.334613834633</v>
      </c>
      <c r="L1137" s="5">
        <v>15764.107424863063</v>
      </c>
      <c r="M1137" s="5">
        <v>26477.996319655329</v>
      </c>
      <c r="N1137" s="5">
        <v>19125.360074567652</v>
      </c>
      <c r="O1137" s="5">
        <v>15936.062371781712</v>
      </c>
      <c r="P1137" s="5">
        <v>3831.1492650071077</v>
      </c>
      <c r="Q1137" s="5">
        <v>8880.8074399558282</v>
      </c>
      <c r="R1137" s="5">
        <v>7118.1729476780347</v>
      </c>
    </row>
    <row r="1138" spans="9:18">
      <c r="I1138" s="4">
        <v>1123</v>
      </c>
      <c r="J1138" s="5">
        <v>11036.461796239426</v>
      </c>
      <c r="K1138" s="5">
        <v>21527.93129974293</v>
      </c>
      <c r="L1138" s="5">
        <v>14364.472927446199</v>
      </c>
      <c r="M1138" s="5">
        <v>29041.83725675238</v>
      </c>
      <c r="N1138" s="5">
        <v>20583.564383988036</v>
      </c>
      <c r="O1138" s="5">
        <v>33720.545907536376</v>
      </c>
      <c r="P1138" s="5">
        <v>20391.123772341358</v>
      </c>
      <c r="Q1138" s="5">
        <v>4924.9171270300558</v>
      </c>
      <c r="R1138" s="5">
        <v>17304.847214362417</v>
      </c>
    </row>
    <row r="1139" spans="9:18">
      <c r="I1139" s="4">
        <v>1124</v>
      </c>
      <c r="J1139" s="5">
        <v>16016.491239086423</v>
      </c>
      <c r="K1139" s="5">
        <v>16952.949313901812</v>
      </c>
      <c r="L1139" s="5">
        <v>15832.5469007027</v>
      </c>
      <c r="M1139" s="5">
        <v>14432.283063351901</v>
      </c>
      <c r="N1139" s="5">
        <v>19225.139878706803</v>
      </c>
      <c r="O1139" s="5">
        <v>10738.305003664611</v>
      </c>
      <c r="P1139" s="5">
        <v>74840.036182179319</v>
      </c>
      <c r="Q1139" s="5">
        <v>20883.852062640355</v>
      </c>
      <c r="R1139" s="5">
        <v>96845.299789249824</v>
      </c>
    </row>
    <row r="1140" spans="9:18">
      <c r="I1140" s="4">
        <v>1125</v>
      </c>
      <c r="J1140" s="5">
        <v>9368.8270679249108</v>
      </c>
      <c r="K1140" s="5">
        <v>21187.174639714212</v>
      </c>
      <c r="L1140" s="5">
        <v>13622.976145621742</v>
      </c>
      <c r="M1140" s="5">
        <v>23449.501569180404</v>
      </c>
      <c r="N1140" s="5">
        <v>24314.043643333731</v>
      </c>
      <c r="O1140" s="5">
        <v>13117.417685535194</v>
      </c>
      <c r="P1140" s="5">
        <v>14327.191387816954</v>
      </c>
      <c r="Q1140" s="5">
        <v>31902.904306425251</v>
      </c>
      <c r="R1140" s="5">
        <v>87776.138236389699</v>
      </c>
    </row>
    <row r="1141" spans="9:18">
      <c r="I1141" s="4">
        <v>1126</v>
      </c>
      <c r="J1141" s="5">
        <v>27392.038553726634</v>
      </c>
      <c r="K1141" s="5">
        <v>14878.52734402675</v>
      </c>
      <c r="L1141" s="5">
        <v>18215.751370765771</v>
      </c>
      <c r="M1141" s="5">
        <v>11860.862376247747</v>
      </c>
      <c r="N1141" s="5">
        <v>14335.478134989447</v>
      </c>
      <c r="O1141" s="5">
        <v>42492.261063288854</v>
      </c>
      <c r="P1141" s="5">
        <v>36724.352187786957</v>
      </c>
      <c r="Q1141" s="5">
        <v>56069.347629295014</v>
      </c>
      <c r="R1141" s="5">
        <v>72640.340924600489</v>
      </c>
    </row>
    <row r="1142" spans="9:18">
      <c r="I1142" s="4">
        <v>1127</v>
      </c>
      <c r="J1142" s="5">
        <v>73074.062486361407</v>
      </c>
      <c r="K1142" s="5">
        <v>13520.836427679104</v>
      </c>
      <c r="L1142" s="5">
        <v>25389.332759288587</v>
      </c>
      <c r="M1142" s="5">
        <v>9623.0342442006167</v>
      </c>
      <c r="N1142" s="5">
        <v>23283.854578052265</v>
      </c>
      <c r="O1142" s="5">
        <v>25644.588869829797</v>
      </c>
      <c r="P1142" s="5">
        <v>22708.601480587709</v>
      </c>
      <c r="Q1142" s="5">
        <v>15663.43865741136</v>
      </c>
      <c r="R1142" s="5">
        <v>2071.5141323269809</v>
      </c>
    </row>
    <row r="1143" spans="9:18">
      <c r="I1143" s="4">
        <v>1128</v>
      </c>
      <c r="J1143" s="5">
        <v>12888.204629170894</v>
      </c>
      <c r="K1143" s="5">
        <v>31910.762633549082</v>
      </c>
      <c r="L1143" s="5">
        <v>22412.045018675239</v>
      </c>
      <c r="M1143" s="5">
        <v>37411.178129764201</v>
      </c>
      <c r="N1143" s="5">
        <v>23998.040874392525</v>
      </c>
      <c r="O1143" s="5">
        <v>67717.30633712461</v>
      </c>
      <c r="P1143" s="5">
        <v>45161.732159568586</v>
      </c>
      <c r="Q1143" s="5">
        <v>15623.622662102793</v>
      </c>
      <c r="R1143" s="5">
        <v>18720.450716365784</v>
      </c>
    </row>
    <row r="1144" spans="9:18">
      <c r="I1144" s="4">
        <v>1129</v>
      </c>
      <c r="J1144" s="5">
        <v>22812.564910649318</v>
      </c>
      <c r="K1144" s="5">
        <v>18821.113178054162</v>
      </c>
      <c r="L1144" s="5">
        <v>25007.552172398639</v>
      </c>
      <c r="M1144" s="5">
        <v>18043.539897080744</v>
      </c>
      <c r="N1144" s="5">
        <v>22735.120948269971</v>
      </c>
      <c r="O1144" s="5">
        <v>27084.483614751469</v>
      </c>
      <c r="P1144" s="5">
        <v>66904.018529955298</v>
      </c>
      <c r="Q1144" s="5">
        <v>37497.234505125656</v>
      </c>
      <c r="R1144" s="5">
        <v>72561.496699005787</v>
      </c>
    </row>
    <row r="1145" spans="9:18">
      <c r="I1145" s="4">
        <v>1130</v>
      </c>
      <c r="J1145" s="5">
        <v>29760.443016608337</v>
      </c>
      <c r="K1145" s="5">
        <v>19467.955014411935</v>
      </c>
      <c r="L1145" s="5">
        <v>23760.785349782636</v>
      </c>
      <c r="M1145" s="5">
        <v>29058.117767351498</v>
      </c>
      <c r="N1145" s="5">
        <v>26115.05281128412</v>
      </c>
      <c r="O1145" s="5">
        <v>16524.769946939996</v>
      </c>
      <c r="P1145" s="5">
        <v>9965.8330787532959</v>
      </c>
      <c r="Q1145" s="5">
        <v>15623.622662102793</v>
      </c>
      <c r="R1145" s="5">
        <v>8046.7106309763258</v>
      </c>
    </row>
    <row r="1146" spans="9:18">
      <c r="I1146" s="4">
        <v>1131</v>
      </c>
      <c r="J1146" s="5">
        <v>13595.404057849493</v>
      </c>
      <c r="K1146" s="5">
        <v>13559.080695844099</v>
      </c>
      <c r="L1146" s="5">
        <v>19189.275558866306</v>
      </c>
      <c r="M1146" s="5">
        <v>29834.240613550006</v>
      </c>
      <c r="N1146" s="5">
        <v>12297.015342318469</v>
      </c>
      <c r="O1146" s="5">
        <v>41653.890350944224</v>
      </c>
      <c r="P1146" s="5">
        <v>66904.018529955298</v>
      </c>
      <c r="Q1146" s="5">
        <v>43417.41805414496</v>
      </c>
      <c r="R1146" s="5">
        <v>18720.450716365784</v>
      </c>
    </row>
    <row r="1147" spans="9:18">
      <c r="I1147" s="4">
        <v>1132</v>
      </c>
      <c r="J1147" s="5">
        <v>13595.404057849493</v>
      </c>
      <c r="K1147" s="5">
        <v>32073.547537933715</v>
      </c>
      <c r="L1147" s="5">
        <v>15922.087958863045</v>
      </c>
      <c r="M1147" s="5">
        <v>32751.734100446065</v>
      </c>
      <c r="N1147" s="5">
        <v>15251.140047572881</v>
      </c>
      <c r="O1147" s="5">
        <v>19492.655596593511</v>
      </c>
      <c r="P1147" s="5">
        <v>9965.8330787532959</v>
      </c>
      <c r="Q1147" s="5">
        <v>35525.432376048877</v>
      </c>
      <c r="R1147" s="5">
        <v>33290.909836056817</v>
      </c>
    </row>
    <row r="1148" spans="9:18">
      <c r="I1148" s="4">
        <v>1133</v>
      </c>
      <c r="J1148" s="5">
        <v>14076.209333698853</v>
      </c>
      <c r="K1148" s="5">
        <v>21527.93129974293</v>
      </c>
      <c r="L1148" s="5">
        <v>15359.132481533357</v>
      </c>
      <c r="M1148" s="5">
        <v>12934.591863415189</v>
      </c>
      <c r="N1148" s="5">
        <v>11604.12831603515</v>
      </c>
      <c r="O1148" s="5">
        <v>18637.945795127704</v>
      </c>
      <c r="P1148" s="5">
        <v>9965.8330787532959</v>
      </c>
      <c r="Q1148" s="5">
        <v>12451.066014448154</v>
      </c>
      <c r="R1148" s="5">
        <v>7201.7586694681067</v>
      </c>
    </row>
    <row r="1149" spans="9:18">
      <c r="I1149" s="4">
        <v>1134</v>
      </c>
      <c r="J1149" s="5">
        <v>16511.332839561353</v>
      </c>
      <c r="K1149" s="5">
        <v>16665.1498926479</v>
      </c>
      <c r="L1149" s="5">
        <v>17073.17760523731</v>
      </c>
      <c r="M1149" s="5">
        <v>15202.972920708273</v>
      </c>
      <c r="N1149" s="5">
        <v>46248.895746171031</v>
      </c>
      <c r="O1149" s="5">
        <v>27508.313315384185</v>
      </c>
      <c r="P1149" s="5">
        <v>12992.105410393709</v>
      </c>
      <c r="Q1149" s="5">
        <v>96632.959478514502</v>
      </c>
      <c r="R1149" s="5">
        <v>8130.5639219412278</v>
      </c>
    </row>
    <row r="1150" spans="9:18">
      <c r="I1150" s="4">
        <v>1135</v>
      </c>
      <c r="J1150" s="5">
        <v>13045.114546182727</v>
      </c>
      <c r="K1150" s="5">
        <v>13652.224205833634</v>
      </c>
      <c r="L1150" s="5">
        <v>10752.183901283248</v>
      </c>
      <c r="M1150" s="5">
        <v>18043.539897080744</v>
      </c>
      <c r="N1150" s="5">
        <v>11635.644856128632</v>
      </c>
      <c r="O1150" s="5">
        <v>10738.305003664611</v>
      </c>
      <c r="P1150" s="5">
        <v>55119.366528283317</v>
      </c>
      <c r="Q1150" s="5">
        <v>54060.5331097772</v>
      </c>
      <c r="R1150" s="5">
        <v>39788.288251916689</v>
      </c>
    </row>
    <row r="1151" spans="9:18">
      <c r="I1151" s="4">
        <v>1136</v>
      </c>
      <c r="J1151" s="5">
        <v>14420.293087375476</v>
      </c>
      <c r="K1151" s="5">
        <v>14021.934268028277</v>
      </c>
      <c r="L1151" s="5">
        <v>17683.765335572589</v>
      </c>
      <c r="M1151" s="5">
        <v>17349.963215818931</v>
      </c>
      <c r="N1151" s="5">
        <v>23746.795665493762</v>
      </c>
      <c r="O1151" s="5">
        <v>30876.675913171162</v>
      </c>
      <c r="P1151" s="5">
        <v>22708.601480587709</v>
      </c>
      <c r="Q1151" s="5">
        <v>2356.8990887111336</v>
      </c>
      <c r="R1151" s="5">
        <v>19133.693426869788</v>
      </c>
    </row>
    <row r="1152" spans="9:18">
      <c r="I1152" s="4">
        <v>1137</v>
      </c>
      <c r="J1152" s="5">
        <v>12888.204629170894</v>
      </c>
      <c r="K1152" s="5">
        <v>56656.842992470461</v>
      </c>
      <c r="L1152" s="5">
        <v>15126.980926457318</v>
      </c>
      <c r="M1152" s="5">
        <v>16881.579299055</v>
      </c>
      <c r="N1152" s="5">
        <v>18367.429489032103</v>
      </c>
      <c r="O1152" s="5">
        <v>30608.431994348266</v>
      </c>
      <c r="P1152" s="5">
        <v>12790.85158217316</v>
      </c>
      <c r="Q1152" s="5">
        <v>31618.396253255491</v>
      </c>
      <c r="R1152" s="5">
        <v>72561.496699005787</v>
      </c>
    </row>
    <row r="1153" spans="9:18">
      <c r="I1153" s="4">
        <v>1138</v>
      </c>
      <c r="J1153" s="5">
        <v>21717.214093683677</v>
      </c>
      <c r="K1153" s="5">
        <v>18086.448513145526</v>
      </c>
      <c r="L1153" s="5">
        <v>14264.23790876064</v>
      </c>
      <c r="M1153" s="5">
        <v>42282.977640783138</v>
      </c>
      <c r="N1153" s="5">
        <v>24853.247795632611</v>
      </c>
      <c r="O1153" s="5">
        <v>8121.6248378263163</v>
      </c>
      <c r="P1153" s="5">
        <v>35569.894390728325</v>
      </c>
      <c r="Q1153" s="5">
        <v>25156.033327562815</v>
      </c>
      <c r="R1153" s="5">
        <v>39788.288251916689</v>
      </c>
    </row>
    <row r="1154" spans="9:18">
      <c r="I1154" s="4">
        <v>1139</v>
      </c>
      <c r="J1154" s="5">
        <v>12888.204629170894</v>
      </c>
      <c r="K1154" s="5">
        <v>6949.5708823216592</v>
      </c>
      <c r="L1154" s="5">
        <v>17845.207337527903</v>
      </c>
      <c r="M1154" s="5">
        <v>13065.820809359835</v>
      </c>
      <c r="N1154" s="5">
        <v>13909.728487455486</v>
      </c>
      <c r="O1154" s="5">
        <v>41653.890350944224</v>
      </c>
      <c r="P1154" s="5">
        <v>13452.921824087563</v>
      </c>
      <c r="Q1154" s="5">
        <v>31974.553851773013</v>
      </c>
      <c r="R1154" s="5">
        <v>7784.2246210242874</v>
      </c>
    </row>
    <row r="1155" spans="9:18">
      <c r="I1155" s="4">
        <v>1140</v>
      </c>
      <c r="J1155" s="5">
        <v>19121.054099180623</v>
      </c>
      <c r="K1155" s="5">
        <v>18086.448513145526</v>
      </c>
      <c r="L1155" s="5">
        <v>15060.431658965737</v>
      </c>
      <c r="M1155" s="5">
        <v>37411.178129764201</v>
      </c>
      <c r="N1155" s="5">
        <v>13745.376566850549</v>
      </c>
      <c r="O1155" s="5">
        <v>13519.384207850644</v>
      </c>
      <c r="P1155" s="5">
        <v>3017.2887813579896</v>
      </c>
      <c r="Q1155" s="5">
        <v>31855.809428519857</v>
      </c>
      <c r="R1155" s="5">
        <v>14051.647494499957</v>
      </c>
    </row>
    <row r="1156" spans="9:18">
      <c r="I1156" s="4">
        <v>1141</v>
      </c>
      <c r="J1156" s="5">
        <v>15417.870921574262</v>
      </c>
      <c r="K1156" s="5">
        <v>17003.901855709089</v>
      </c>
      <c r="L1156" s="5">
        <v>16071.260291253868</v>
      </c>
      <c r="M1156" s="5">
        <v>41403.687663920646</v>
      </c>
      <c r="N1156" s="5">
        <v>27833.630848857778</v>
      </c>
      <c r="O1156" s="5">
        <v>13550.031670770122</v>
      </c>
      <c r="P1156" s="5">
        <v>18963.234565965948</v>
      </c>
      <c r="Q1156" s="5">
        <v>20883.852062640355</v>
      </c>
      <c r="R1156" s="5">
        <v>18349.337771428582</v>
      </c>
    </row>
    <row r="1157" spans="9:18">
      <c r="I1157" s="4">
        <v>1142</v>
      </c>
      <c r="J1157" s="5">
        <v>15081.728672246438</v>
      </c>
      <c r="K1157" s="5">
        <v>18821.113178054162</v>
      </c>
      <c r="L1157" s="5">
        <v>23561.450544884348</v>
      </c>
      <c r="M1157" s="5">
        <v>29041.83725675238</v>
      </c>
      <c r="N1157" s="5">
        <v>35826.921212852278</v>
      </c>
      <c r="O1157" s="5">
        <v>25604.597681740845</v>
      </c>
      <c r="P1157" s="5">
        <v>18862.487147419793</v>
      </c>
      <c r="Q1157" s="5">
        <v>31974.553851773013</v>
      </c>
      <c r="R1157" s="5">
        <v>87776.138236389699</v>
      </c>
    </row>
    <row r="1158" spans="9:18">
      <c r="I1158" s="4">
        <v>1143</v>
      </c>
      <c r="J1158" s="5">
        <v>12888.204629170894</v>
      </c>
      <c r="K1158" s="5">
        <v>16605.655749562578</v>
      </c>
      <c r="L1158" s="5">
        <v>13622.976145621742</v>
      </c>
      <c r="M1158" s="5">
        <v>10451.914120098167</v>
      </c>
      <c r="N1158" s="5">
        <v>25549.748582175915</v>
      </c>
      <c r="O1158" s="5">
        <v>14371.728352806511</v>
      </c>
      <c r="P1158" s="5">
        <v>74840.036182179319</v>
      </c>
      <c r="Q1158" s="5">
        <v>20883.852062640355</v>
      </c>
      <c r="R1158" s="5">
        <v>62674.060343500474</v>
      </c>
    </row>
    <row r="1159" spans="9:18">
      <c r="I1159" s="4">
        <v>1144</v>
      </c>
      <c r="J1159" s="5">
        <v>14420.293087375476</v>
      </c>
      <c r="K1159" s="5">
        <v>17128.860847126922</v>
      </c>
      <c r="L1159" s="5">
        <v>16955.349467865559</v>
      </c>
      <c r="M1159" s="5">
        <v>26477.996319655329</v>
      </c>
      <c r="N1159" s="5">
        <v>26565.664379767408</v>
      </c>
      <c r="O1159" s="5">
        <v>5444.7598502623823</v>
      </c>
      <c r="P1159" s="5">
        <v>83536.241167211992</v>
      </c>
      <c r="Q1159" s="5">
        <v>3272.4685014937832</v>
      </c>
      <c r="R1159" s="5">
        <v>40368.364083205248</v>
      </c>
    </row>
    <row r="1160" spans="9:18">
      <c r="I1160" s="4">
        <v>1145</v>
      </c>
      <c r="J1160" s="5">
        <v>22812.564910649318</v>
      </c>
      <c r="K1160" s="5">
        <v>15782.544184844044</v>
      </c>
      <c r="L1160" s="5">
        <v>17073.17760523731</v>
      </c>
      <c r="M1160" s="5">
        <v>31554.722481137964</v>
      </c>
      <c r="N1160" s="5">
        <v>13909.728487455486</v>
      </c>
      <c r="O1160" s="5">
        <v>24369.28567093279</v>
      </c>
      <c r="P1160" s="5">
        <v>32167.874670939738</v>
      </c>
      <c r="Q1160" s="5">
        <v>71213.172792303565</v>
      </c>
      <c r="R1160" s="5">
        <v>62674.060343500474</v>
      </c>
    </row>
    <row r="1161" spans="9:18">
      <c r="I1161" s="4">
        <v>1146</v>
      </c>
      <c r="J1161" s="5">
        <v>22370.105711697011</v>
      </c>
      <c r="K1161" s="5">
        <v>11206.053243692098</v>
      </c>
      <c r="L1161" s="5">
        <v>16616.161224349555</v>
      </c>
      <c r="M1161" s="5">
        <v>18043.539897080744</v>
      </c>
      <c r="N1161" s="5">
        <v>32184.535272543482</v>
      </c>
      <c r="O1161" s="5">
        <v>32474.063027682765</v>
      </c>
      <c r="P1161" s="5">
        <v>26126.807131356076</v>
      </c>
      <c r="Q1161" s="5">
        <v>43417.41805414496</v>
      </c>
      <c r="R1161" s="5">
        <v>91403.228438796665</v>
      </c>
    </row>
    <row r="1162" spans="9:18">
      <c r="I1162" s="4">
        <v>1147</v>
      </c>
      <c r="J1162" s="5">
        <v>27392.038553726634</v>
      </c>
      <c r="K1162" s="5">
        <v>14021.934268028277</v>
      </c>
      <c r="L1162" s="5">
        <v>17716.90539191998</v>
      </c>
      <c r="M1162" s="5">
        <v>9623.0342442006167</v>
      </c>
      <c r="N1162" s="5">
        <v>19225.139878706803</v>
      </c>
      <c r="O1162" s="5">
        <v>13966.178986479143</v>
      </c>
      <c r="P1162" s="5">
        <v>8877.9712092977989</v>
      </c>
      <c r="Q1162" s="5">
        <v>96632.959478514502</v>
      </c>
      <c r="R1162" s="5">
        <v>87776.138236389699</v>
      </c>
    </row>
    <row r="1163" spans="9:18">
      <c r="I1163" s="4">
        <v>1148</v>
      </c>
      <c r="J1163" s="5">
        <v>15352.465904292809</v>
      </c>
      <c r="K1163" s="5">
        <v>14587.813833513306</v>
      </c>
      <c r="L1163" s="5">
        <v>15651.346103181355</v>
      </c>
      <c r="M1163" s="5">
        <v>14432.283063351901</v>
      </c>
      <c r="N1163" s="5">
        <v>40377.252444397986</v>
      </c>
      <c r="O1163" s="5">
        <v>24258.192244316608</v>
      </c>
      <c r="P1163" s="5">
        <v>83536.241167211992</v>
      </c>
      <c r="Q1163" s="5">
        <v>9652.8114206999071</v>
      </c>
      <c r="R1163" s="5">
        <v>114016.93673542379</v>
      </c>
    </row>
    <row r="1164" spans="9:18">
      <c r="I1164" s="4">
        <v>1149</v>
      </c>
      <c r="J1164" s="5">
        <v>15064.079707240266</v>
      </c>
      <c r="K1164" s="5">
        <v>15428.770955406064</v>
      </c>
      <c r="L1164" s="5">
        <v>13417.453622029931</v>
      </c>
      <c r="M1164" s="5">
        <v>13642.678686731051</v>
      </c>
      <c r="N1164" s="5">
        <v>11251.634703629026</v>
      </c>
      <c r="O1164" s="5">
        <v>24258.192244316608</v>
      </c>
      <c r="P1164" s="5">
        <v>16072.735485912413</v>
      </c>
      <c r="Q1164" s="5">
        <v>22895.455950885695</v>
      </c>
      <c r="R1164" s="5">
        <v>34970.397641695177</v>
      </c>
    </row>
    <row r="1165" spans="9:18">
      <c r="I1165" s="4">
        <v>1150</v>
      </c>
      <c r="J1165" s="5">
        <v>18650.249281571734</v>
      </c>
      <c r="K1165" s="5">
        <v>20887.307279900142</v>
      </c>
      <c r="L1165" s="5">
        <v>15126.980926457318</v>
      </c>
      <c r="M1165" s="5">
        <v>29834.240613550006</v>
      </c>
      <c r="N1165" s="5">
        <v>23583.581287126868</v>
      </c>
      <c r="O1165" s="5">
        <v>67717.30633712461</v>
      </c>
      <c r="P1165" s="5">
        <v>95486.196907583406</v>
      </c>
      <c r="Q1165" s="5">
        <v>27018.509959127641</v>
      </c>
      <c r="R1165" s="5">
        <v>50287.76786557267</v>
      </c>
    </row>
    <row r="1166" spans="9:18">
      <c r="I1166" s="4">
        <v>1151</v>
      </c>
      <c r="J1166" s="5">
        <v>16016.491239086423</v>
      </c>
      <c r="K1166" s="5">
        <v>16132.555399908759</v>
      </c>
      <c r="L1166" s="5">
        <v>16616.161224349555</v>
      </c>
      <c r="M1166" s="5">
        <v>41403.687663920646</v>
      </c>
      <c r="N1166" s="5">
        <v>12592.300437162297</v>
      </c>
      <c r="O1166" s="5">
        <v>11282.178219986479</v>
      </c>
      <c r="P1166" s="5">
        <v>13793.886507202402</v>
      </c>
      <c r="Q1166" s="5">
        <v>31618.396253255491</v>
      </c>
      <c r="R1166" s="5">
        <v>81423.874800517297</v>
      </c>
    </row>
    <row r="1167" spans="9:18">
      <c r="I1167" s="4">
        <v>1152</v>
      </c>
      <c r="J1167" s="5">
        <v>49463.324094345015</v>
      </c>
      <c r="K1167" s="5">
        <v>19467.955014411935</v>
      </c>
      <c r="L1167" s="5">
        <v>29265.217478369766</v>
      </c>
      <c r="M1167" s="5">
        <v>19433.64679949253</v>
      </c>
      <c r="N1167" s="5">
        <v>29468.83360104046</v>
      </c>
      <c r="O1167" s="5">
        <v>32474.063027682765</v>
      </c>
      <c r="P1167" s="5">
        <v>41657.50350099193</v>
      </c>
      <c r="Q1167" s="5">
        <v>27789.973552634947</v>
      </c>
      <c r="R1167" s="5">
        <v>12130.167062525341</v>
      </c>
    </row>
    <row r="1168" spans="9:18">
      <c r="I1168" s="4">
        <v>1153</v>
      </c>
      <c r="J1168" s="5">
        <v>17592.832480262863</v>
      </c>
      <c r="K1168" s="5">
        <v>16081.362509465702</v>
      </c>
      <c r="L1168" s="5">
        <v>14042.41908879921</v>
      </c>
      <c r="M1168" s="5">
        <v>31554.722481137964</v>
      </c>
      <c r="N1168" s="5">
        <v>21931.347680292267</v>
      </c>
      <c r="O1168" s="5">
        <v>8801.3667015774663</v>
      </c>
      <c r="P1168" s="5">
        <v>95486.196907583406</v>
      </c>
      <c r="Q1168" s="5">
        <v>15663.43865741136</v>
      </c>
      <c r="R1168" s="5">
        <v>18349.337771428582</v>
      </c>
    </row>
    <row r="1169" spans="9:18">
      <c r="I1169" s="4">
        <v>1154</v>
      </c>
      <c r="J1169" s="5">
        <v>14017.326487344162</v>
      </c>
      <c r="K1169" s="5">
        <v>15698.764831033119</v>
      </c>
      <c r="L1169" s="5">
        <v>16014.071850041886</v>
      </c>
      <c r="M1169" s="5">
        <v>41403.687663920646</v>
      </c>
      <c r="N1169" s="5">
        <v>16148.901635865295</v>
      </c>
      <c r="O1169" s="5">
        <v>27062.73412298776</v>
      </c>
      <c r="P1169" s="5">
        <v>33500.490132682797</v>
      </c>
      <c r="Q1169" s="5">
        <v>31618.396253255491</v>
      </c>
      <c r="R1169" s="5">
        <v>62674.060343500474</v>
      </c>
    </row>
    <row r="1170" spans="9:18">
      <c r="I1170" s="4">
        <v>1155</v>
      </c>
      <c r="J1170" s="5">
        <v>13841.207384998772</v>
      </c>
      <c r="K1170" s="5">
        <v>11857.447519815871</v>
      </c>
      <c r="L1170" s="5">
        <v>11827.803406885578</v>
      </c>
      <c r="M1170" s="5">
        <v>11529.920007560097</v>
      </c>
      <c r="N1170" s="5">
        <v>39672.376281023731</v>
      </c>
      <c r="O1170" s="5">
        <v>20721.57544042755</v>
      </c>
      <c r="P1170" s="5">
        <v>9811.9720599964548</v>
      </c>
      <c r="Q1170" s="5">
        <v>27018.509959127641</v>
      </c>
      <c r="R1170" s="5">
        <v>2180.6148629084787</v>
      </c>
    </row>
    <row r="1171" spans="9:18">
      <c r="I1171" s="4">
        <v>1156</v>
      </c>
      <c r="J1171" s="5">
        <v>15873.12561080002</v>
      </c>
      <c r="K1171" s="5">
        <v>17495.743706488822</v>
      </c>
      <c r="L1171" s="5">
        <v>15225.811035017256</v>
      </c>
      <c r="M1171" s="5">
        <v>10111.451009425113</v>
      </c>
      <c r="N1171" s="5">
        <v>4770.4216775830728</v>
      </c>
      <c r="O1171" s="5">
        <v>15124.35050053727</v>
      </c>
      <c r="P1171" s="5">
        <v>46514.467673254068</v>
      </c>
      <c r="Q1171" s="5">
        <v>79566.621912742485</v>
      </c>
      <c r="R1171" s="5">
        <v>10885.018205103002</v>
      </c>
    </row>
    <row r="1172" spans="9:18">
      <c r="I1172" s="4">
        <v>1157</v>
      </c>
      <c r="J1172" s="5">
        <v>16733.020222212988</v>
      </c>
      <c r="K1172" s="5">
        <v>8124.7965732661823</v>
      </c>
      <c r="L1172" s="5">
        <v>22412.045018675239</v>
      </c>
      <c r="M1172" s="5">
        <v>16001.653036457456</v>
      </c>
      <c r="N1172" s="5">
        <v>22511.351424689696</v>
      </c>
      <c r="O1172" s="5">
        <v>13519.384207850644</v>
      </c>
      <c r="P1172" s="5">
        <v>12790.85158217316</v>
      </c>
      <c r="Q1172" s="5">
        <v>8502.450657922871</v>
      </c>
      <c r="R1172" s="5">
        <v>122304.95880137496</v>
      </c>
    </row>
    <row r="1173" spans="9:18">
      <c r="I1173" s="4">
        <v>1158</v>
      </c>
      <c r="J1173" s="5">
        <v>14710.037865351254</v>
      </c>
      <c r="K1173" s="5">
        <v>11403.533194020869</v>
      </c>
      <c r="L1173" s="5">
        <v>16616.161224349555</v>
      </c>
      <c r="M1173" s="5">
        <v>37411.178129764201</v>
      </c>
      <c r="N1173" s="5">
        <v>14335.478134989447</v>
      </c>
      <c r="O1173" s="5">
        <v>94068.324736096256</v>
      </c>
      <c r="P1173" s="5">
        <v>14773.185437294762</v>
      </c>
      <c r="Q1173" s="5">
        <v>9652.8114206999071</v>
      </c>
      <c r="R1173" s="5">
        <v>14051.647494499957</v>
      </c>
    </row>
    <row r="1174" spans="9:18">
      <c r="I1174" s="4">
        <v>1159</v>
      </c>
      <c r="J1174" s="5">
        <v>15873.12561080002</v>
      </c>
      <c r="K1174" s="5">
        <v>15129.619337591721</v>
      </c>
      <c r="L1174" s="5">
        <v>17243.440968229323</v>
      </c>
      <c r="M1174" s="5">
        <v>19433.64679949253</v>
      </c>
      <c r="N1174" s="5">
        <v>27841.916587595573</v>
      </c>
      <c r="O1174" s="5">
        <v>26565.882515615398</v>
      </c>
      <c r="P1174" s="5">
        <v>34814.458119125498</v>
      </c>
      <c r="Q1174" s="5">
        <v>27018.509959127641</v>
      </c>
      <c r="R1174" s="5">
        <v>7118.1729476780347</v>
      </c>
    </row>
    <row r="1175" spans="9:18">
      <c r="I1175" s="4">
        <v>1160</v>
      </c>
      <c r="J1175" s="5">
        <v>26634.853073396614</v>
      </c>
      <c r="K1175" s="5">
        <v>8124.7965732661823</v>
      </c>
      <c r="L1175" s="5">
        <v>14610.165745300763</v>
      </c>
      <c r="M1175" s="5">
        <v>11860.862376247747</v>
      </c>
      <c r="N1175" s="5">
        <v>20718.434293991453</v>
      </c>
      <c r="O1175" s="5">
        <v>9320.7026593487881</v>
      </c>
      <c r="P1175" s="5">
        <v>54100.778483493887</v>
      </c>
      <c r="Q1175" s="5">
        <v>48866.209623168346</v>
      </c>
      <c r="R1175" s="5">
        <v>51141.799458534304</v>
      </c>
    </row>
    <row r="1176" spans="9:18">
      <c r="I1176" s="4">
        <v>1161</v>
      </c>
      <c r="J1176" s="5">
        <v>15352.465904292809</v>
      </c>
      <c r="K1176" s="5">
        <v>32073.547537933715</v>
      </c>
      <c r="L1176" s="5">
        <v>10896.494237357269</v>
      </c>
      <c r="M1176" s="5">
        <v>17542.15972125496</v>
      </c>
      <c r="N1176" s="5">
        <v>28426.778914975595</v>
      </c>
      <c r="O1176" s="5">
        <v>49114.195066822271</v>
      </c>
      <c r="P1176" s="5">
        <v>9047.5556949992188</v>
      </c>
      <c r="Q1176" s="5">
        <v>44911.749632594299</v>
      </c>
      <c r="R1176" s="5">
        <v>54594.567438884274</v>
      </c>
    </row>
    <row r="1177" spans="9:18">
      <c r="I1177" s="4">
        <v>1162</v>
      </c>
      <c r="J1177" s="5">
        <v>13447.638004246244</v>
      </c>
      <c r="K1177" s="5">
        <v>15391.837334808681</v>
      </c>
      <c r="L1177" s="5">
        <v>15126.980926457318</v>
      </c>
      <c r="M1177" s="5">
        <v>18816.787977140237</v>
      </c>
      <c r="N1177" s="5">
        <v>21617.945168312468</v>
      </c>
      <c r="O1177" s="5">
        <v>13550.031670770122</v>
      </c>
      <c r="P1177" s="5">
        <v>95486.196907583406</v>
      </c>
      <c r="Q1177" s="5">
        <v>73941.636731325911</v>
      </c>
      <c r="R1177" s="5">
        <v>12194.45251033065</v>
      </c>
    </row>
    <row r="1178" spans="9:18">
      <c r="I1178" s="4">
        <v>1163</v>
      </c>
      <c r="J1178" s="5">
        <v>21717.214093683677</v>
      </c>
      <c r="K1178" s="5">
        <v>18086.448513145526</v>
      </c>
      <c r="L1178" s="5">
        <v>25389.332759288587</v>
      </c>
      <c r="M1178" s="5">
        <v>13011.820191946215</v>
      </c>
      <c r="N1178" s="5">
        <v>22010.718648995869</v>
      </c>
      <c r="O1178" s="5">
        <v>51330.340277512776</v>
      </c>
      <c r="P1178" s="5">
        <v>27708.613526855763</v>
      </c>
      <c r="Q1178" s="5">
        <v>27789.973552634947</v>
      </c>
      <c r="R1178" s="5">
        <v>81423.874800517297</v>
      </c>
    </row>
    <row r="1179" spans="9:18">
      <c r="I1179" s="4">
        <v>1164</v>
      </c>
      <c r="J1179" s="5">
        <v>13045.114546182727</v>
      </c>
      <c r="K1179" s="5">
        <v>9769.3659785458403</v>
      </c>
      <c r="L1179" s="5">
        <v>22018.381599979773</v>
      </c>
      <c r="M1179" s="5">
        <v>20185.026038758231</v>
      </c>
      <c r="N1179" s="5">
        <v>21933.097106966918</v>
      </c>
      <c r="O1179" s="5">
        <v>16462.170789592048</v>
      </c>
      <c r="P1179" s="5">
        <v>24349.301972630979</v>
      </c>
      <c r="Q1179" s="5">
        <v>16591.881190929333</v>
      </c>
      <c r="R1179" s="5">
        <v>17304.847214362417</v>
      </c>
    </row>
    <row r="1180" spans="9:18">
      <c r="I1180" s="4">
        <v>1165</v>
      </c>
      <c r="J1180" s="5">
        <v>16544.73779470181</v>
      </c>
      <c r="K1180" s="5">
        <v>11857.447519815871</v>
      </c>
      <c r="L1180" s="5">
        <v>17920.486090689363</v>
      </c>
      <c r="M1180" s="5">
        <v>13642.678686731051</v>
      </c>
      <c r="N1180" s="5">
        <v>13745.376566850549</v>
      </c>
      <c r="O1180" s="5">
        <v>13550.031670770122</v>
      </c>
      <c r="P1180" s="5">
        <v>44646.134934589521</v>
      </c>
      <c r="Q1180" s="5">
        <v>42044.890065817184</v>
      </c>
      <c r="R1180" s="5">
        <v>59414.886464347241</v>
      </c>
    </row>
    <row r="1181" spans="9:18">
      <c r="I1181" s="4">
        <v>1166</v>
      </c>
      <c r="J1181" s="5">
        <v>15130.594750069789</v>
      </c>
      <c r="K1181" s="5">
        <v>14351.415257675473</v>
      </c>
      <c r="L1181" s="5">
        <v>16071.260291253868</v>
      </c>
      <c r="M1181" s="5">
        <v>21712.71007234112</v>
      </c>
      <c r="N1181" s="5">
        <v>57711.498171893618</v>
      </c>
      <c r="O1181" s="5">
        <v>8024.6340027919978</v>
      </c>
      <c r="P1181" s="5">
        <v>9965.8330787532959</v>
      </c>
      <c r="Q1181" s="5">
        <v>11173.074396969254</v>
      </c>
      <c r="R1181" s="5">
        <v>2071.5141323269809</v>
      </c>
    </row>
    <row r="1182" spans="9:18">
      <c r="I1182" s="4">
        <v>1167</v>
      </c>
      <c r="J1182" s="5">
        <v>16788.081681455456</v>
      </c>
      <c r="K1182" s="5">
        <v>21958.925144875713</v>
      </c>
      <c r="L1182" s="5">
        <v>18810.091753970282</v>
      </c>
      <c r="M1182" s="5">
        <v>23908.621352410395</v>
      </c>
      <c r="N1182" s="5">
        <v>39406.658185292261</v>
      </c>
      <c r="O1182" s="5">
        <v>5909.5347260996277</v>
      </c>
      <c r="P1182" s="5">
        <v>3017.2887813579896</v>
      </c>
      <c r="Q1182" s="5">
        <v>64585.328088516922</v>
      </c>
      <c r="R1182" s="5">
        <v>3989.7956692889929</v>
      </c>
    </row>
    <row r="1183" spans="9:18">
      <c r="I1183" s="4">
        <v>1168</v>
      </c>
      <c r="J1183" s="5">
        <v>14344.692898101612</v>
      </c>
      <c r="K1183" s="5">
        <v>15768.312122029349</v>
      </c>
      <c r="L1183" s="5">
        <v>16451.333928028147</v>
      </c>
      <c r="M1183" s="5">
        <v>20788.503422877813</v>
      </c>
      <c r="N1183" s="5">
        <v>8555.1229659096207</v>
      </c>
      <c r="O1183" s="5">
        <v>16524.769946939996</v>
      </c>
      <c r="P1183" s="5">
        <v>14316.965520592317</v>
      </c>
      <c r="Q1183" s="5">
        <v>11928.872068442162</v>
      </c>
      <c r="R1183" s="5">
        <v>17687.533637716911</v>
      </c>
    </row>
    <row r="1184" spans="9:18">
      <c r="I1184" s="4">
        <v>1169</v>
      </c>
      <c r="J1184" s="5">
        <v>8580.4413740966302</v>
      </c>
      <c r="K1184" s="5">
        <v>30552.499930043898</v>
      </c>
      <c r="L1184" s="5">
        <v>16616.161224349555</v>
      </c>
      <c r="M1184" s="5">
        <v>19097.39635881727</v>
      </c>
      <c r="N1184" s="5">
        <v>14240.123545764454</v>
      </c>
      <c r="O1184" s="5">
        <v>5444.7598502623823</v>
      </c>
      <c r="P1184" s="5">
        <v>44646.134934589521</v>
      </c>
      <c r="Q1184" s="5">
        <v>13099.063525342741</v>
      </c>
      <c r="R1184" s="5">
        <v>27349.63499959607</v>
      </c>
    </row>
    <row r="1185" spans="9:18">
      <c r="I1185" s="4">
        <v>1170</v>
      </c>
      <c r="J1185" s="5">
        <v>28590.354879265724</v>
      </c>
      <c r="K1185" s="5">
        <v>43843.85059185313</v>
      </c>
      <c r="L1185" s="5">
        <v>14264.23790876064</v>
      </c>
      <c r="M1185" s="5">
        <v>13022.686998540772</v>
      </c>
      <c r="N1185" s="5">
        <v>13511.694619545402</v>
      </c>
      <c r="O1185" s="5">
        <v>33720.545907536376</v>
      </c>
      <c r="P1185" s="5">
        <v>95486.196907583406</v>
      </c>
      <c r="Q1185" s="5">
        <v>44911.749632594299</v>
      </c>
      <c r="R1185" s="5">
        <v>41056.152565483346</v>
      </c>
    </row>
    <row r="1186" spans="9:18">
      <c r="I1186" s="4">
        <v>1171</v>
      </c>
      <c r="J1186" s="5">
        <v>28590.354879265724</v>
      </c>
      <c r="K1186" s="5">
        <v>15391.837334808681</v>
      </c>
      <c r="L1186" s="5">
        <v>14042.41908879921</v>
      </c>
      <c r="M1186" s="5">
        <v>18177.175180585615</v>
      </c>
      <c r="N1186" s="5">
        <v>23008.246229813707</v>
      </c>
      <c r="O1186" s="5">
        <v>8024.6340027919978</v>
      </c>
      <c r="P1186" s="5">
        <v>66904.018529955298</v>
      </c>
      <c r="Q1186" s="5">
        <v>37802.358878968138</v>
      </c>
      <c r="R1186" s="5">
        <v>7952.6989268572033</v>
      </c>
    </row>
    <row r="1187" spans="9:18">
      <c r="I1187" s="4">
        <v>1172</v>
      </c>
      <c r="J1187" s="5">
        <v>13663.281817546009</v>
      </c>
      <c r="K1187" s="5">
        <v>18218.584572172625</v>
      </c>
      <c r="L1187" s="5">
        <v>15161.007794371622</v>
      </c>
      <c r="M1187" s="5">
        <v>9623.0342442006167</v>
      </c>
      <c r="N1187" s="5">
        <v>36962.805083900916</v>
      </c>
      <c r="O1187" s="5">
        <v>16572.483389649329</v>
      </c>
      <c r="P1187" s="5">
        <v>10180.109839011631</v>
      </c>
      <c r="Q1187" s="5">
        <v>28567.61306643406</v>
      </c>
      <c r="R1187" s="5">
        <v>8046.7106309763258</v>
      </c>
    </row>
    <row r="1188" spans="9:18">
      <c r="I1188" s="4">
        <v>1173</v>
      </c>
      <c r="J1188" s="5">
        <v>13391.049101507895</v>
      </c>
      <c r="K1188" s="5">
        <v>17495.743706488822</v>
      </c>
      <c r="L1188" s="5">
        <v>13037.115556745504</v>
      </c>
      <c r="M1188" s="5">
        <v>33862.836621974391</v>
      </c>
      <c r="N1188" s="5">
        <v>16418.492928415813</v>
      </c>
      <c r="O1188" s="5">
        <v>8801.3667015774663</v>
      </c>
      <c r="P1188" s="5">
        <v>74840.036182179319</v>
      </c>
      <c r="Q1188" s="5">
        <v>37277.391668005912</v>
      </c>
      <c r="R1188" s="5">
        <v>51358.6267760993</v>
      </c>
    </row>
    <row r="1189" spans="9:18">
      <c r="I1189" s="4">
        <v>1174</v>
      </c>
      <c r="J1189" s="5">
        <v>11116.191595722205</v>
      </c>
      <c r="K1189" s="5">
        <v>12026.500118162745</v>
      </c>
      <c r="L1189" s="5">
        <v>15764.107424863063</v>
      </c>
      <c r="M1189" s="5">
        <v>16500.222621933419</v>
      </c>
      <c r="N1189" s="5">
        <v>24769.339976495565</v>
      </c>
      <c r="O1189" s="5">
        <v>62082.6862081785</v>
      </c>
      <c r="P1189" s="5">
        <v>20403.656304140692</v>
      </c>
      <c r="Q1189" s="5">
        <v>17493.456269945855</v>
      </c>
      <c r="R1189" s="5">
        <v>89167.415757270224</v>
      </c>
    </row>
    <row r="1190" spans="9:18">
      <c r="I1190" s="4">
        <v>1175</v>
      </c>
      <c r="J1190" s="5">
        <v>22370.105711697011</v>
      </c>
      <c r="K1190" s="5">
        <v>9769.3659785458403</v>
      </c>
      <c r="L1190" s="5">
        <v>14042.41908879921</v>
      </c>
      <c r="M1190" s="5">
        <v>13616.35938654862</v>
      </c>
      <c r="N1190" s="5">
        <v>15658.063692994532</v>
      </c>
      <c r="O1190" s="5">
        <v>8024.6340027919978</v>
      </c>
      <c r="P1190" s="5">
        <v>9811.9720599964548</v>
      </c>
      <c r="Q1190" s="5">
        <v>31974.553851773013</v>
      </c>
      <c r="R1190" s="5">
        <v>16039.216896723072</v>
      </c>
    </row>
    <row r="1191" spans="9:18">
      <c r="I1191" s="4">
        <v>1176</v>
      </c>
      <c r="J1191" s="5">
        <v>14960.076233580705</v>
      </c>
      <c r="K1191" s="5">
        <v>6949.5708823216592</v>
      </c>
      <c r="L1191" s="5">
        <v>16616.161224349555</v>
      </c>
      <c r="M1191" s="5">
        <v>19097.39635881727</v>
      </c>
      <c r="N1191" s="5">
        <v>17214.078970533748</v>
      </c>
      <c r="O1191" s="5">
        <v>10369.402667058452</v>
      </c>
      <c r="P1191" s="5">
        <v>32167.874670939738</v>
      </c>
      <c r="Q1191" s="5">
        <v>11928.872068442162</v>
      </c>
      <c r="R1191" s="5">
        <v>23583.884732956092</v>
      </c>
    </row>
    <row r="1192" spans="9:18">
      <c r="I1192" s="4">
        <v>1177</v>
      </c>
      <c r="J1192" s="5">
        <v>11116.191595722205</v>
      </c>
      <c r="K1192" s="5">
        <v>30552.499930043898</v>
      </c>
      <c r="L1192" s="5">
        <v>19224.583269019437</v>
      </c>
      <c r="M1192" s="5">
        <v>16842.379179328669</v>
      </c>
      <c r="N1192" s="5">
        <v>14240.123545764454</v>
      </c>
      <c r="O1192" s="5">
        <v>59207.798737851255</v>
      </c>
      <c r="P1192" s="5">
        <v>54100.778483493887</v>
      </c>
      <c r="Q1192" s="5">
        <v>11928.872068442162</v>
      </c>
      <c r="R1192" s="5">
        <v>7394.6358885760465</v>
      </c>
    </row>
    <row r="1193" spans="9:18">
      <c r="I1193" s="4">
        <v>1178</v>
      </c>
      <c r="J1193" s="5">
        <v>13841.207384998772</v>
      </c>
      <c r="K1193" s="5">
        <v>21958.925144875713</v>
      </c>
      <c r="L1193" s="5">
        <v>16472.138192556791</v>
      </c>
      <c r="M1193" s="5">
        <v>19262.243095117232</v>
      </c>
      <c r="N1193" s="5">
        <v>6130.3882288404347</v>
      </c>
      <c r="O1193" s="5">
        <v>13550.031670770122</v>
      </c>
      <c r="P1193" s="5">
        <v>17996.895987204196</v>
      </c>
      <c r="Q1193" s="5">
        <v>9652.8114206999071</v>
      </c>
      <c r="R1193" s="5">
        <v>44707.053087992797</v>
      </c>
    </row>
    <row r="1194" spans="9:18">
      <c r="I1194" s="4">
        <v>1179</v>
      </c>
      <c r="J1194" s="5">
        <v>31053.540961463306</v>
      </c>
      <c r="K1194" s="5">
        <v>23327.217259521742</v>
      </c>
      <c r="L1194" s="5">
        <v>17073.17760523731</v>
      </c>
      <c r="M1194" s="5">
        <v>19262.243095117232</v>
      </c>
      <c r="N1194" s="5">
        <v>9209.4418830788036</v>
      </c>
      <c r="O1194" s="5">
        <v>6199.3195463515376</v>
      </c>
      <c r="P1194" s="5">
        <v>33715.790977629549</v>
      </c>
      <c r="Q1194" s="5">
        <v>17493.456269945855</v>
      </c>
      <c r="R1194" s="5">
        <v>20303.08745527079</v>
      </c>
    </row>
    <row r="1195" spans="9:18">
      <c r="I1195" s="4">
        <v>1180</v>
      </c>
      <c r="J1195" s="5">
        <v>21888.821432026474</v>
      </c>
      <c r="K1195" s="5">
        <v>17495.743706488822</v>
      </c>
      <c r="L1195" s="5">
        <v>17311.244744664215</v>
      </c>
      <c r="M1195" s="5">
        <v>22815.60259636537</v>
      </c>
      <c r="N1195" s="5">
        <v>15658.063692994532</v>
      </c>
      <c r="O1195" s="5">
        <v>8801.3667015774663</v>
      </c>
      <c r="P1195" s="5">
        <v>5735.6883097179207</v>
      </c>
      <c r="Q1195" s="5">
        <v>13865.641566869812</v>
      </c>
      <c r="R1195" s="5">
        <v>18349.337771428582</v>
      </c>
    </row>
    <row r="1196" spans="9:18">
      <c r="I1196" s="4">
        <v>1181</v>
      </c>
      <c r="J1196" s="5">
        <v>14960.076233580705</v>
      </c>
      <c r="K1196" s="5">
        <v>21187.174639714212</v>
      </c>
      <c r="L1196" s="5">
        <v>15300.182042823812</v>
      </c>
      <c r="M1196" s="5">
        <v>12426.949970383979</v>
      </c>
      <c r="N1196" s="5">
        <v>26565.664379767408</v>
      </c>
      <c r="O1196" s="5">
        <v>13550.031670770122</v>
      </c>
      <c r="P1196" s="5">
        <v>16650.229067545235</v>
      </c>
      <c r="Q1196" s="5">
        <v>56069.347629295014</v>
      </c>
      <c r="R1196" s="5">
        <v>39263.770877572199</v>
      </c>
    </row>
    <row r="1197" spans="9:18">
      <c r="I1197" s="4">
        <v>1182</v>
      </c>
      <c r="J1197" s="5">
        <v>9405.362381917912</v>
      </c>
      <c r="K1197" s="5">
        <v>10931.803935361211</v>
      </c>
      <c r="L1197" s="5">
        <v>15923.549351835489</v>
      </c>
      <c r="M1197" s="5">
        <v>18691.941789825862</v>
      </c>
      <c r="N1197" s="5">
        <v>34295.124147811541</v>
      </c>
      <c r="O1197" s="5">
        <v>40304.23053285561</v>
      </c>
      <c r="P1197" s="5">
        <v>10966.822219855034</v>
      </c>
      <c r="Q1197" s="5">
        <v>20883.852062640355</v>
      </c>
      <c r="R1197" s="5">
        <v>46004.399892616471</v>
      </c>
    </row>
    <row r="1198" spans="9:18">
      <c r="I1198" s="4">
        <v>1183</v>
      </c>
      <c r="J1198" s="5">
        <v>13841.207384998772</v>
      </c>
      <c r="K1198" s="5">
        <v>16674.541027260992</v>
      </c>
      <c r="L1198" s="5">
        <v>18475.258050488967</v>
      </c>
      <c r="M1198" s="5">
        <v>21913.431401527439</v>
      </c>
      <c r="N1198" s="5">
        <v>26152.705108198839</v>
      </c>
      <c r="O1198" s="5">
        <v>13966.178986479143</v>
      </c>
      <c r="P1198" s="5">
        <v>48123.003747643132</v>
      </c>
      <c r="Q1198" s="5">
        <v>42044.890065817184</v>
      </c>
      <c r="R1198" s="5">
        <v>24831.679362998926</v>
      </c>
    </row>
    <row r="1199" spans="9:18">
      <c r="I1199" s="4">
        <v>1184</v>
      </c>
      <c r="J1199" s="5">
        <v>73074.062486361407</v>
      </c>
      <c r="K1199" s="5">
        <v>14095.75230105142</v>
      </c>
      <c r="L1199" s="5">
        <v>22162.138529251199</v>
      </c>
      <c r="M1199" s="5">
        <v>12426.949970383979</v>
      </c>
      <c r="N1199" s="5">
        <v>19125.360074567652</v>
      </c>
      <c r="O1199" s="5">
        <v>20721.57544042755</v>
      </c>
      <c r="P1199" s="5">
        <v>48123.003747643132</v>
      </c>
      <c r="Q1199" s="5">
        <v>31618.396253255491</v>
      </c>
      <c r="R1199" s="5">
        <v>17991.870496434763</v>
      </c>
    </row>
    <row r="1200" spans="9:18">
      <c r="I1200" s="4">
        <v>1185</v>
      </c>
      <c r="J1200" s="5">
        <v>22812.564910649318</v>
      </c>
      <c r="K1200" s="5">
        <v>11857.447519815871</v>
      </c>
      <c r="L1200" s="5">
        <v>17920.486090689363</v>
      </c>
      <c r="M1200" s="5">
        <v>23454.775510296178</v>
      </c>
      <c r="N1200" s="5">
        <v>29468.83360104046</v>
      </c>
      <c r="O1200" s="5">
        <v>8024.6340027919978</v>
      </c>
      <c r="P1200" s="5">
        <v>77603.711720266961</v>
      </c>
      <c r="Q1200" s="5">
        <v>52421.574537857021</v>
      </c>
      <c r="R1200" s="5">
        <v>16039.216896723072</v>
      </c>
    </row>
    <row r="1201" spans="9:18">
      <c r="I1201" s="4">
        <v>1186</v>
      </c>
      <c r="J1201" s="5">
        <v>13841.207384998772</v>
      </c>
      <c r="K1201" s="5">
        <v>12423.491400404893</v>
      </c>
      <c r="L1201" s="5">
        <v>11827.803406885578</v>
      </c>
      <c r="M1201" s="5">
        <v>23067.94260629595</v>
      </c>
      <c r="N1201" s="5">
        <v>57711.498171893618</v>
      </c>
      <c r="O1201" s="5">
        <v>27503.656957929088</v>
      </c>
      <c r="P1201" s="5">
        <v>35213.322626437533</v>
      </c>
      <c r="Q1201" s="5">
        <v>53055.59182561023</v>
      </c>
      <c r="R1201" s="5">
        <v>17687.533637716911</v>
      </c>
    </row>
    <row r="1202" spans="9:18">
      <c r="I1202" s="4">
        <v>1187</v>
      </c>
      <c r="J1202" s="5">
        <v>14017.326487344162</v>
      </c>
      <c r="K1202" s="5">
        <v>14674.169276244838</v>
      </c>
      <c r="L1202" s="5">
        <v>29265.217478369766</v>
      </c>
      <c r="M1202" s="5">
        <v>21072.983263501868</v>
      </c>
      <c r="N1202" s="5">
        <v>14921.795973817481</v>
      </c>
      <c r="O1202" s="5">
        <v>24422.445067017139</v>
      </c>
      <c r="P1202" s="5">
        <v>8877.9712092977989</v>
      </c>
      <c r="Q1202" s="5">
        <v>31902.904306425251</v>
      </c>
      <c r="R1202" s="5">
        <v>20236.767651156802</v>
      </c>
    </row>
    <row r="1203" spans="9:18">
      <c r="I1203" s="4">
        <v>1188</v>
      </c>
      <c r="J1203" s="5">
        <v>12888.204629170894</v>
      </c>
      <c r="K1203" s="5">
        <v>17128.860847126922</v>
      </c>
      <c r="L1203" s="5">
        <v>15759.954187048656</v>
      </c>
      <c r="M1203" s="5">
        <v>17116.951435661951</v>
      </c>
      <c r="N1203" s="5">
        <v>15658.063692994532</v>
      </c>
      <c r="O1203" s="5">
        <v>42492.261063288854</v>
      </c>
      <c r="P1203" s="5">
        <v>46514.467673254068</v>
      </c>
      <c r="Q1203" s="5">
        <v>8474.2603471579441</v>
      </c>
      <c r="R1203" s="5">
        <v>8105.1944146993656</v>
      </c>
    </row>
    <row r="1204" spans="9:18">
      <c r="I1204" s="4">
        <v>1189</v>
      </c>
      <c r="J1204" s="5">
        <v>18650.249281571734</v>
      </c>
      <c r="K1204" s="5">
        <v>35488.449387009874</v>
      </c>
      <c r="L1204" s="5">
        <v>15225.811035017256</v>
      </c>
      <c r="M1204" s="5">
        <v>30785.663999045999</v>
      </c>
      <c r="N1204" s="5">
        <v>14921.795973817481</v>
      </c>
      <c r="O1204" s="5">
        <v>20721.57544042755</v>
      </c>
      <c r="P1204" s="5">
        <v>18862.487147419793</v>
      </c>
      <c r="Q1204" s="5">
        <v>11173.074396969254</v>
      </c>
      <c r="R1204" s="5">
        <v>24831.679362998926</v>
      </c>
    </row>
    <row r="1205" spans="9:18">
      <c r="I1205" s="4">
        <v>1190</v>
      </c>
      <c r="J1205" s="5">
        <v>16305.770155972396</v>
      </c>
      <c r="K1205" s="5">
        <v>9739.7813029644258</v>
      </c>
      <c r="L1205" s="5">
        <v>21725.131459372977</v>
      </c>
      <c r="M1205" s="5">
        <v>29058.117767351498</v>
      </c>
      <c r="N1205" s="5">
        <v>13909.728487455486</v>
      </c>
      <c r="O1205" s="5">
        <v>19492.655596593511</v>
      </c>
      <c r="P1205" s="5">
        <v>17737.38315098183</v>
      </c>
      <c r="Q1205" s="5">
        <v>2356.8990887111336</v>
      </c>
      <c r="R1205" s="5">
        <v>8130.5639219412278</v>
      </c>
    </row>
    <row r="1206" spans="9:18">
      <c r="I1206" s="4">
        <v>1191</v>
      </c>
      <c r="J1206" s="5">
        <v>13595.404057849493</v>
      </c>
      <c r="K1206" s="5">
        <v>17128.860847126922</v>
      </c>
      <c r="L1206" s="5">
        <v>15225.811035017256</v>
      </c>
      <c r="M1206" s="5">
        <v>11680.747299075838</v>
      </c>
      <c r="N1206" s="5">
        <v>59876.136849941562</v>
      </c>
      <c r="O1206" s="5">
        <v>16826.763259351828</v>
      </c>
      <c r="P1206" s="5">
        <v>49519.098753410741</v>
      </c>
      <c r="Q1206" s="5">
        <v>43417.41805414496</v>
      </c>
      <c r="R1206" s="5">
        <v>302760.11878714536</v>
      </c>
    </row>
    <row r="1207" spans="9:18">
      <c r="I1207" s="4">
        <v>1192</v>
      </c>
      <c r="J1207" s="5">
        <v>11116.191595722205</v>
      </c>
      <c r="K1207" s="5">
        <v>14587.813833513306</v>
      </c>
      <c r="L1207" s="5">
        <v>14796.875457021113</v>
      </c>
      <c r="M1207" s="5">
        <v>42282.977640783138</v>
      </c>
      <c r="N1207" s="5">
        <v>59876.136849941562</v>
      </c>
      <c r="O1207" s="5">
        <v>11282.178219986479</v>
      </c>
      <c r="P1207" s="5">
        <v>34814.458119125498</v>
      </c>
      <c r="Q1207" s="5">
        <v>28776.080424849053</v>
      </c>
      <c r="R1207" s="5">
        <v>17304.847214362417</v>
      </c>
    </row>
    <row r="1208" spans="9:18">
      <c r="I1208" s="4">
        <v>1193</v>
      </c>
      <c r="J1208" s="5">
        <v>13447.638004246244</v>
      </c>
      <c r="K1208" s="5">
        <v>12777.667398488715</v>
      </c>
      <c r="L1208" s="5">
        <v>15923.549351835489</v>
      </c>
      <c r="M1208" s="5">
        <v>17116.951435661951</v>
      </c>
      <c r="N1208" s="5">
        <v>32184.535272543482</v>
      </c>
      <c r="O1208" s="5">
        <v>16505.600261180331</v>
      </c>
      <c r="P1208" s="5">
        <v>48123.003747643132</v>
      </c>
      <c r="Q1208" s="5">
        <v>16803.875627203233</v>
      </c>
      <c r="R1208" s="5">
        <v>2071.5141323269809</v>
      </c>
    </row>
    <row r="1209" spans="9:18">
      <c r="I1209" s="4">
        <v>1194</v>
      </c>
      <c r="J1209" s="5">
        <v>15623.733864199699</v>
      </c>
      <c r="K1209" s="5">
        <v>15768.312122029349</v>
      </c>
      <c r="L1209" s="5">
        <v>10896.494237357269</v>
      </c>
      <c r="M1209" s="5">
        <v>16842.379179328669</v>
      </c>
      <c r="N1209" s="5">
        <v>11251.634703629026</v>
      </c>
      <c r="O1209" s="5">
        <v>67717.30633712461</v>
      </c>
      <c r="P1209" s="5">
        <v>3017.2887813579896</v>
      </c>
      <c r="Q1209" s="5">
        <v>28078.365156847896</v>
      </c>
      <c r="R1209" s="5">
        <v>17687.533637716911</v>
      </c>
    </row>
    <row r="1210" spans="9:18">
      <c r="I1210" s="4">
        <v>1195</v>
      </c>
      <c r="J1210" s="5">
        <v>14960.076233580705</v>
      </c>
      <c r="K1210" s="5">
        <v>35705.595198125673</v>
      </c>
      <c r="L1210" s="5">
        <v>27144.958215276103</v>
      </c>
      <c r="M1210" s="5">
        <v>30785.663999045999</v>
      </c>
      <c r="N1210" s="5">
        <v>13909.728487455486</v>
      </c>
      <c r="O1210" s="5">
        <v>8801.3667015774663</v>
      </c>
      <c r="P1210" s="5">
        <v>23769.190223735484</v>
      </c>
      <c r="Q1210" s="5">
        <v>9652.8114206999071</v>
      </c>
      <c r="R1210" s="5">
        <v>55012.315589742022</v>
      </c>
    </row>
    <row r="1211" spans="9:18">
      <c r="I1211" s="4">
        <v>1196</v>
      </c>
      <c r="J1211" s="5">
        <v>16156.372629961115</v>
      </c>
      <c r="K1211" s="5">
        <v>13288.692555879701</v>
      </c>
      <c r="L1211" s="5">
        <v>14042.41908879921</v>
      </c>
      <c r="M1211" s="5">
        <v>21833.004790208965</v>
      </c>
      <c r="N1211" s="5">
        <v>18367.429489032103</v>
      </c>
      <c r="O1211" s="5">
        <v>41800.463215706819</v>
      </c>
      <c r="P1211" s="5">
        <v>27820.721938889761</v>
      </c>
      <c r="Q1211" s="5">
        <v>19541.409060825732</v>
      </c>
      <c r="R1211" s="5">
        <v>2180.6148629084787</v>
      </c>
    </row>
    <row r="1212" spans="9:18">
      <c r="I1212" s="4">
        <v>1197</v>
      </c>
      <c r="J1212" s="5">
        <v>28590.354879265724</v>
      </c>
      <c r="K1212" s="5">
        <v>8124.7965732661823</v>
      </c>
      <c r="L1212" s="5">
        <v>19359.475411188432</v>
      </c>
      <c r="M1212" s="5">
        <v>41403.687663920646</v>
      </c>
      <c r="N1212" s="5">
        <v>57711.498171893618</v>
      </c>
      <c r="O1212" s="5">
        <v>19492.655596593511</v>
      </c>
      <c r="P1212" s="5">
        <v>48123.003747643132</v>
      </c>
      <c r="Q1212" s="5">
        <v>27018.509959127641</v>
      </c>
      <c r="R1212" s="5">
        <v>16039.216896723072</v>
      </c>
    </row>
    <row r="1213" spans="9:18">
      <c r="I1213" s="4">
        <v>1198</v>
      </c>
      <c r="J1213" s="5">
        <v>7855.2948890116513</v>
      </c>
      <c r="K1213" s="5">
        <v>29672.680843304515</v>
      </c>
      <c r="L1213" s="5">
        <v>16017.890956041876</v>
      </c>
      <c r="M1213" s="5">
        <v>18177.175180585615</v>
      </c>
      <c r="N1213" s="5">
        <v>34295.124147811541</v>
      </c>
      <c r="O1213" s="5">
        <v>14371.728352806511</v>
      </c>
      <c r="P1213" s="5">
        <v>9633.1652908310007</v>
      </c>
      <c r="Q1213" s="5">
        <v>44911.749632594299</v>
      </c>
      <c r="R1213" s="5">
        <v>91403.228438796665</v>
      </c>
    </row>
    <row r="1214" spans="9:18">
      <c r="I1214" s="4">
        <v>1199</v>
      </c>
      <c r="J1214" s="5">
        <v>19048.674633640545</v>
      </c>
      <c r="K1214" s="5">
        <v>15631.937142257386</v>
      </c>
      <c r="L1214" s="5">
        <v>22319.409576580376</v>
      </c>
      <c r="M1214" s="5">
        <v>9623.0342442006167</v>
      </c>
      <c r="N1214" s="5">
        <v>34295.124147811541</v>
      </c>
      <c r="O1214" s="5">
        <v>10746.295275180995</v>
      </c>
      <c r="P1214" s="5">
        <v>26126.807131356076</v>
      </c>
      <c r="Q1214" s="5">
        <v>53055.59182561023</v>
      </c>
      <c r="R1214" s="5">
        <v>302760.11878714536</v>
      </c>
    </row>
    <row r="1215" spans="9:18">
      <c r="I1215" s="4">
        <v>1200</v>
      </c>
      <c r="J1215" s="5">
        <v>29760.443016608337</v>
      </c>
      <c r="K1215" s="5">
        <v>16674.541027260992</v>
      </c>
      <c r="L1215" s="5">
        <v>17683.765335572589</v>
      </c>
      <c r="M1215" s="5">
        <v>12934.591863415189</v>
      </c>
      <c r="N1215" s="5">
        <v>8104.6265149430556</v>
      </c>
      <c r="O1215" s="5">
        <v>13840.304699955392</v>
      </c>
      <c r="P1215" s="5">
        <v>14316.965520592317</v>
      </c>
      <c r="Q1215" s="5">
        <v>21421.044775857536</v>
      </c>
      <c r="R1215" s="5">
        <v>76851.431017396084</v>
      </c>
    </row>
    <row r="1216" spans="9:18">
      <c r="I1216" s="4">
        <v>1201</v>
      </c>
      <c r="J1216" s="5">
        <v>73074.062486361407</v>
      </c>
      <c r="K1216" s="5">
        <v>24728.095385476983</v>
      </c>
      <c r="L1216" s="5">
        <v>19359.475411188432</v>
      </c>
      <c r="M1216" s="5">
        <v>13139.022167648376</v>
      </c>
      <c r="N1216" s="5">
        <v>21009.255892677338</v>
      </c>
      <c r="O1216" s="5">
        <v>16505.600261180331</v>
      </c>
      <c r="P1216" s="5">
        <v>9482.0186426688688</v>
      </c>
      <c r="Q1216" s="5">
        <v>3909.239690544402</v>
      </c>
      <c r="R1216" s="5">
        <v>5865.9802599669383</v>
      </c>
    </row>
    <row r="1217" spans="9:18">
      <c r="I1217" s="4">
        <v>1202</v>
      </c>
      <c r="J1217" s="5">
        <v>19467.17453557903</v>
      </c>
      <c r="K1217" s="5">
        <v>14854.898507619706</v>
      </c>
      <c r="L1217" s="5">
        <v>19359.475411188432</v>
      </c>
      <c r="M1217" s="5">
        <v>13065.820809359835</v>
      </c>
      <c r="N1217" s="5">
        <v>9563.1256545330361</v>
      </c>
      <c r="O1217" s="5">
        <v>79848.944504816522</v>
      </c>
      <c r="P1217" s="5">
        <v>66904.018529955298</v>
      </c>
      <c r="Q1217" s="5">
        <v>35525.432376048877</v>
      </c>
      <c r="R1217" s="5">
        <v>302760.11878714536</v>
      </c>
    </row>
    <row r="1218" spans="9:18">
      <c r="I1218" s="4">
        <v>1203</v>
      </c>
      <c r="J1218" s="5">
        <v>14741.240040396578</v>
      </c>
      <c r="K1218" s="5">
        <v>16674.541027260992</v>
      </c>
      <c r="L1218" s="5">
        <v>18634.523182776735</v>
      </c>
      <c r="M1218" s="5">
        <v>18816.787977140237</v>
      </c>
      <c r="N1218" s="5">
        <v>15804.474686449519</v>
      </c>
      <c r="O1218" s="5">
        <v>10270.120415297655</v>
      </c>
      <c r="P1218" s="5">
        <v>77603.711720266961</v>
      </c>
      <c r="Q1218" s="5">
        <v>8880.8074399558282</v>
      </c>
      <c r="R1218" s="5">
        <v>34970.397641695177</v>
      </c>
    </row>
    <row r="1219" spans="9:18">
      <c r="I1219" s="4">
        <v>1204</v>
      </c>
      <c r="J1219" s="5">
        <v>18650.249281571734</v>
      </c>
      <c r="K1219" s="5">
        <v>23934.551191616061</v>
      </c>
      <c r="L1219" s="5">
        <v>15126.980926457318</v>
      </c>
      <c r="M1219" s="5">
        <v>9623.0342442006167</v>
      </c>
      <c r="N1219" s="5">
        <v>40377.252444397986</v>
      </c>
      <c r="O1219" s="5">
        <v>62082.6862081785</v>
      </c>
      <c r="P1219" s="5">
        <v>39054.462981000084</v>
      </c>
      <c r="Q1219" s="5">
        <v>71213.172792303565</v>
      </c>
      <c r="R1219" s="5">
        <v>20236.767651156802</v>
      </c>
    </row>
    <row r="1220" spans="9:18">
      <c r="I1220" s="4">
        <v>1205</v>
      </c>
      <c r="J1220" s="5">
        <v>15352.465904292809</v>
      </c>
      <c r="K1220" s="5">
        <v>15347.101709242541</v>
      </c>
      <c r="L1220" s="5">
        <v>21725.131459372977</v>
      </c>
      <c r="M1220" s="5">
        <v>20041.623430301417</v>
      </c>
      <c r="N1220" s="5">
        <v>35826.921212852278</v>
      </c>
      <c r="O1220" s="5">
        <v>10738.305003664611</v>
      </c>
      <c r="P1220" s="5">
        <v>9633.1652908310007</v>
      </c>
      <c r="Q1220" s="5">
        <v>31855.809428519857</v>
      </c>
      <c r="R1220" s="5">
        <v>7952.6989268572033</v>
      </c>
    </row>
    <row r="1221" spans="9:18">
      <c r="I1221" s="4">
        <v>1206</v>
      </c>
      <c r="J1221" s="5">
        <v>11936.262457073821</v>
      </c>
      <c r="K1221" s="5">
        <v>32294.121255311245</v>
      </c>
      <c r="L1221" s="5">
        <v>18475.258050488967</v>
      </c>
      <c r="M1221" s="5">
        <v>18816.787977140237</v>
      </c>
      <c r="N1221" s="5">
        <v>34295.124147811541</v>
      </c>
      <c r="O1221" s="5">
        <v>19430.912633256889</v>
      </c>
      <c r="P1221" s="5">
        <v>49519.098753410741</v>
      </c>
      <c r="Q1221" s="5">
        <v>79566.621912742485</v>
      </c>
      <c r="R1221" s="5">
        <v>3311.4906988006405</v>
      </c>
    </row>
    <row r="1222" spans="9:18">
      <c r="I1222" s="4">
        <v>1207</v>
      </c>
      <c r="J1222" s="5">
        <v>16733.020222212988</v>
      </c>
      <c r="K1222" s="5">
        <v>11149.572204897504</v>
      </c>
      <c r="L1222" s="5">
        <v>17920.486090689363</v>
      </c>
      <c r="M1222" s="5">
        <v>21072.983263501868</v>
      </c>
      <c r="N1222" s="5">
        <v>39406.658185292261</v>
      </c>
      <c r="O1222" s="5">
        <v>27503.656957929088</v>
      </c>
      <c r="P1222" s="5">
        <v>10733.318076105543</v>
      </c>
      <c r="Q1222" s="5">
        <v>11928.872068442162</v>
      </c>
      <c r="R1222" s="5">
        <v>40368.364083205248</v>
      </c>
    </row>
    <row r="1223" spans="9:18">
      <c r="I1223" s="4">
        <v>1208</v>
      </c>
      <c r="J1223" s="5">
        <v>28169.050633834027</v>
      </c>
      <c r="K1223" s="5">
        <v>26110.948843472826</v>
      </c>
      <c r="L1223" s="5">
        <v>11827.803406885578</v>
      </c>
      <c r="M1223" s="5">
        <v>18177.175180585615</v>
      </c>
      <c r="N1223" s="5">
        <v>23998.040874392525</v>
      </c>
      <c r="O1223" s="5">
        <v>8024.6340027919978</v>
      </c>
      <c r="P1223" s="5">
        <v>106091.28270624072</v>
      </c>
      <c r="Q1223" s="5">
        <v>8502.450657922871</v>
      </c>
      <c r="R1223" s="5">
        <v>54594.567438884274</v>
      </c>
    </row>
    <row r="1224" spans="9:18">
      <c r="I1224" s="4">
        <v>1209</v>
      </c>
      <c r="J1224" s="5">
        <v>13841.207384998772</v>
      </c>
      <c r="K1224" s="5">
        <v>21958.925144875713</v>
      </c>
      <c r="L1224" s="5">
        <v>15922.087958863045</v>
      </c>
      <c r="M1224" s="5">
        <v>9623.0342442006167</v>
      </c>
      <c r="N1224" s="5">
        <v>17811.114014514766</v>
      </c>
      <c r="O1224" s="5">
        <v>13966.178986479143</v>
      </c>
      <c r="P1224" s="5">
        <v>16072.735485912413</v>
      </c>
      <c r="Q1224" s="5">
        <v>28797.29222718185</v>
      </c>
      <c r="R1224" s="5">
        <v>6360.7905155660001</v>
      </c>
    </row>
    <row r="1225" spans="9:18">
      <c r="I1225" s="4">
        <v>1210</v>
      </c>
      <c r="J1225" s="5">
        <v>9405.362381917912</v>
      </c>
      <c r="K1225" s="5">
        <v>61827.107730316675</v>
      </c>
      <c r="L1225" s="5">
        <v>16071.260291253868</v>
      </c>
      <c r="M1225" s="5">
        <v>18177.175180585615</v>
      </c>
      <c r="N1225" s="5">
        <v>17811.114014514766</v>
      </c>
      <c r="O1225" s="5">
        <v>27503.656957929088</v>
      </c>
      <c r="P1225" s="5">
        <v>9047.5556949992188</v>
      </c>
      <c r="Q1225" s="5">
        <v>52545.991451361173</v>
      </c>
      <c r="R1225" s="5">
        <v>216919.53009911609</v>
      </c>
    </row>
    <row r="1226" spans="9:18">
      <c r="I1226" s="4">
        <v>1211</v>
      </c>
      <c r="J1226" s="5">
        <v>16788.081681455456</v>
      </c>
      <c r="K1226" s="5">
        <v>17903.387243834499</v>
      </c>
      <c r="L1226" s="5">
        <v>15746.942257105531</v>
      </c>
      <c r="M1226" s="5">
        <v>30830.81083227017</v>
      </c>
      <c r="N1226" s="5">
        <v>32184.535272543482</v>
      </c>
      <c r="O1226" s="5">
        <v>27084.483614751469</v>
      </c>
      <c r="P1226" s="5">
        <v>8877.9712092977989</v>
      </c>
      <c r="Q1226" s="5">
        <v>43417.41805414496</v>
      </c>
      <c r="R1226" s="5">
        <v>7394.6358885760465</v>
      </c>
    </row>
    <row r="1227" spans="9:18">
      <c r="I1227" s="4">
        <v>1212</v>
      </c>
      <c r="J1227" s="5">
        <v>14344.692898101612</v>
      </c>
      <c r="K1227" s="5">
        <v>21527.93129974293</v>
      </c>
      <c r="L1227" s="5">
        <v>16293.265064857471</v>
      </c>
      <c r="M1227" s="5">
        <v>13139.022167648376</v>
      </c>
      <c r="N1227" s="5">
        <v>11635.644856128632</v>
      </c>
      <c r="O1227" s="5">
        <v>24258.192244316608</v>
      </c>
      <c r="P1227" s="5">
        <v>54100.778483493887</v>
      </c>
      <c r="Q1227" s="5">
        <v>52545.991451361173</v>
      </c>
      <c r="R1227" s="5">
        <v>3433.6677391851467</v>
      </c>
    </row>
    <row r="1228" spans="9:18">
      <c r="I1228" s="4">
        <v>1213</v>
      </c>
      <c r="J1228" s="5">
        <v>14017.326487344162</v>
      </c>
      <c r="K1228" s="5">
        <v>23327.217259521742</v>
      </c>
      <c r="L1228" s="5">
        <v>16577.562442697115</v>
      </c>
      <c r="M1228" s="5">
        <v>22326.253555179093</v>
      </c>
      <c r="N1228" s="5">
        <v>11635.644856128632</v>
      </c>
      <c r="O1228" s="5">
        <v>24258.192244316608</v>
      </c>
      <c r="P1228" s="5">
        <v>33715.790977629549</v>
      </c>
      <c r="Q1228" s="5">
        <v>47365.380972950254</v>
      </c>
      <c r="R1228" s="5">
        <v>55012.315589742022</v>
      </c>
    </row>
    <row r="1229" spans="9:18">
      <c r="I1229" s="4">
        <v>1214</v>
      </c>
      <c r="J1229" s="5">
        <v>21150.169973104224</v>
      </c>
      <c r="K1229" s="5">
        <v>15698.764831033119</v>
      </c>
      <c r="L1229" s="5">
        <v>13037.115556745504</v>
      </c>
      <c r="M1229" s="5">
        <v>29834.240613550006</v>
      </c>
      <c r="N1229" s="5">
        <v>8104.6265149430556</v>
      </c>
      <c r="O1229" s="5">
        <v>66253.993323243907</v>
      </c>
      <c r="P1229" s="5">
        <v>5836.7810663002319</v>
      </c>
      <c r="Q1229" s="5">
        <v>27789.973552634947</v>
      </c>
      <c r="R1229" s="5">
        <v>20236.767651156802</v>
      </c>
    </row>
    <row r="1230" spans="9:18">
      <c r="I1230" s="4">
        <v>1215</v>
      </c>
      <c r="J1230" s="5">
        <v>14017.326487344162</v>
      </c>
      <c r="K1230" s="5">
        <v>61827.107730316675</v>
      </c>
      <c r="L1230" s="5">
        <v>15664.99858445921</v>
      </c>
      <c r="M1230" s="5">
        <v>30785.663999045999</v>
      </c>
      <c r="N1230" s="5">
        <v>14240.123545764454</v>
      </c>
      <c r="O1230" s="5">
        <v>15936.062371781712</v>
      </c>
      <c r="P1230" s="5">
        <v>27708.613526855763</v>
      </c>
      <c r="Q1230" s="5">
        <v>37277.391668005912</v>
      </c>
      <c r="R1230" s="5">
        <v>54594.567438884274</v>
      </c>
    </row>
    <row r="1231" spans="9:18">
      <c r="I1231" s="4">
        <v>1216</v>
      </c>
      <c r="J1231" s="5">
        <v>12056.41843703942</v>
      </c>
      <c r="K1231" s="5">
        <v>15487.124352801369</v>
      </c>
      <c r="L1231" s="5">
        <v>17128.574519497746</v>
      </c>
      <c r="M1231" s="5">
        <v>19890.009981657669</v>
      </c>
      <c r="N1231" s="5">
        <v>22010.718648995869</v>
      </c>
      <c r="O1231" s="5">
        <v>10676.618215263648</v>
      </c>
      <c r="P1231" s="5">
        <v>3831.1492650071077</v>
      </c>
      <c r="Q1231" s="5">
        <v>27018.509959127641</v>
      </c>
      <c r="R1231" s="5">
        <v>76851.431017396084</v>
      </c>
    </row>
    <row r="1232" spans="9:18">
      <c r="I1232" s="4">
        <v>1217</v>
      </c>
      <c r="J1232" s="5">
        <v>20768.286261788198</v>
      </c>
      <c r="K1232" s="5">
        <v>12777.667398488715</v>
      </c>
      <c r="L1232" s="5">
        <v>14364.472927446199</v>
      </c>
      <c r="M1232" s="5">
        <v>6367.5407465007311</v>
      </c>
      <c r="N1232" s="5">
        <v>13745.376566850549</v>
      </c>
      <c r="O1232" s="5">
        <v>94068.324736096256</v>
      </c>
      <c r="P1232" s="5">
        <v>21933.779100635442</v>
      </c>
      <c r="Q1232" s="5">
        <v>8832.660767995616</v>
      </c>
      <c r="R1232" s="5">
        <v>14706.681111065362</v>
      </c>
    </row>
    <row r="1233" spans="9:18">
      <c r="I1233" s="4">
        <v>1218</v>
      </c>
      <c r="J1233" s="5">
        <v>16788.081681455456</v>
      </c>
      <c r="K1233" s="5">
        <v>21958.925144875713</v>
      </c>
      <c r="L1233" s="5">
        <v>15161.007794371622</v>
      </c>
      <c r="M1233" s="5">
        <v>19433.64679949253</v>
      </c>
      <c r="N1233" s="5">
        <v>11684.605182472778</v>
      </c>
      <c r="O1233" s="5">
        <v>94068.324736096256</v>
      </c>
      <c r="P1233" s="5">
        <v>26126.807131356076</v>
      </c>
      <c r="Q1233" s="5">
        <v>20883.852062640355</v>
      </c>
      <c r="R1233" s="5">
        <v>27349.63499959607</v>
      </c>
    </row>
    <row r="1234" spans="9:18">
      <c r="I1234" s="4">
        <v>1219</v>
      </c>
      <c r="J1234" s="5">
        <v>16710.807721801892</v>
      </c>
      <c r="K1234" s="5">
        <v>15768.312122029349</v>
      </c>
      <c r="L1234" s="5">
        <v>25007.552172398639</v>
      </c>
      <c r="M1234" s="5">
        <v>21913.431401527439</v>
      </c>
      <c r="N1234" s="5">
        <v>39672.376281023731</v>
      </c>
      <c r="O1234" s="5">
        <v>42492.261063288854</v>
      </c>
      <c r="P1234" s="5">
        <v>10180.109839011631</v>
      </c>
      <c r="Q1234" s="5">
        <v>3909.239690544402</v>
      </c>
      <c r="R1234" s="5">
        <v>84289.422255274636</v>
      </c>
    </row>
    <row r="1235" spans="9:18">
      <c r="I1235" s="4">
        <v>1220</v>
      </c>
      <c r="J1235" s="5">
        <v>15352.465904292809</v>
      </c>
      <c r="K1235" s="5">
        <v>35705.595198125673</v>
      </c>
      <c r="L1235" s="5">
        <v>16616.161224349555</v>
      </c>
      <c r="M1235" s="5">
        <v>18816.787977140237</v>
      </c>
      <c r="N1235" s="5">
        <v>39672.376281023731</v>
      </c>
      <c r="O1235" s="5">
        <v>35865.625349531729</v>
      </c>
      <c r="P1235" s="5">
        <v>16574.429708560569</v>
      </c>
      <c r="Q1235" s="5">
        <v>37277.391668005912</v>
      </c>
      <c r="R1235" s="5">
        <v>181970.23111012415</v>
      </c>
    </row>
    <row r="1236" spans="9:18">
      <c r="I1236" s="4">
        <v>1221</v>
      </c>
      <c r="J1236" s="5">
        <v>11843.28062342474</v>
      </c>
      <c r="K1236" s="5">
        <v>15391.837334808681</v>
      </c>
      <c r="L1236" s="5">
        <v>27144.958215276103</v>
      </c>
      <c r="M1236" s="5">
        <v>36301.422888051464</v>
      </c>
      <c r="N1236" s="5">
        <v>40377.252444397986</v>
      </c>
      <c r="O1236" s="5">
        <v>30656.031716467984</v>
      </c>
      <c r="P1236" s="5">
        <v>31127.87225845682</v>
      </c>
      <c r="Q1236" s="5">
        <v>31974.553851773013</v>
      </c>
      <c r="R1236" s="5">
        <v>12194.45251033065</v>
      </c>
    </row>
    <row r="1237" spans="9:18">
      <c r="I1237" s="4">
        <v>1222</v>
      </c>
      <c r="J1237" s="5">
        <v>22812.564910649318</v>
      </c>
      <c r="K1237" s="5">
        <v>43843.85059185313</v>
      </c>
      <c r="L1237" s="5">
        <v>16577.562442697115</v>
      </c>
      <c r="M1237" s="5">
        <v>12426.949970383979</v>
      </c>
      <c r="N1237" s="5">
        <v>8104.6265149430556</v>
      </c>
      <c r="O1237" s="5">
        <v>30656.031716467984</v>
      </c>
      <c r="P1237" s="5">
        <v>26126.807131356076</v>
      </c>
      <c r="Q1237" s="5">
        <v>28567.61306643406</v>
      </c>
      <c r="R1237" s="5">
        <v>17687.533637716911</v>
      </c>
    </row>
    <row r="1238" spans="9:18">
      <c r="I1238" s="4">
        <v>1223</v>
      </c>
      <c r="J1238" s="5">
        <v>16710.807721801892</v>
      </c>
      <c r="K1238" s="5">
        <v>17495.743706488822</v>
      </c>
      <c r="L1238" s="5">
        <v>10752.183901283248</v>
      </c>
      <c r="M1238" s="5">
        <v>14660.631931099009</v>
      </c>
      <c r="N1238" s="5">
        <v>27833.630848857778</v>
      </c>
      <c r="O1238" s="5">
        <v>25604.597681740845</v>
      </c>
      <c r="P1238" s="5">
        <v>74840.036182179319</v>
      </c>
      <c r="Q1238" s="5">
        <v>48866.209623168346</v>
      </c>
      <c r="R1238" s="5">
        <v>8130.5639219412278</v>
      </c>
    </row>
    <row r="1239" spans="9:18">
      <c r="I1239" s="4">
        <v>1224</v>
      </c>
      <c r="J1239" s="5">
        <v>23517.429992060665</v>
      </c>
      <c r="K1239" s="5">
        <v>14611.618478071941</v>
      </c>
      <c r="L1239" s="5">
        <v>15225.811035017256</v>
      </c>
      <c r="M1239" s="5">
        <v>18043.539897080744</v>
      </c>
      <c r="N1239" s="5">
        <v>20718.434293991453</v>
      </c>
      <c r="O1239" s="5">
        <v>27508.313315384185</v>
      </c>
      <c r="P1239" s="5">
        <v>12992.105410393709</v>
      </c>
      <c r="Q1239" s="5">
        <v>9652.8114206999071</v>
      </c>
      <c r="R1239" s="5">
        <v>39727.513802035661</v>
      </c>
    </row>
    <row r="1240" spans="9:18">
      <c r="I1240" s="4">
        <v>1225</v>
      </c>
      <c r="J1240" s="5">
        <v>14344.692898101612</v>
      </c>
      <c r="K1240" s="5">
        <v>17495.743706488822</v>
      </c>
      <c r="L1240" s="5">
        <v>18810.091753970282</v>
      </c>
      <c r="M1240" s="5">
        <v>19042.78605337895</v>
      </c>
      <c r="N1240" s="5">
        <v>16581.915858379376</v>
      </c>
      <c r="O1240" s="5">
        <v>27508.313315384185</v>
      </c>
      <c r="P1240" s="5">
        <v>28537.545734403488</v>
      </c>
      <c r="Q1240" s="5">
        <v>22483.395143121877</v>
      </c>
      <c r="R1240" s="5">
        <v>1535.701520095213</v>
      </c>
    </row>
    <row r="1241" spans="9:18">
      <c r="I1241" s="4">
        <v>1226</v>
      </c>
      <c r="J1241" s="5">
        <v>15064.079707240266</v>
      </c>
      <c r="K1241" s="5">
        <v>15782.544184844044</v>
      </c>
      <c r="L1241" s="5">
        <v>16106.634875163341</v>
      </c>
      <c r="M1241" s="5">
        <v>19151.339770278159</v>
      </c>
      <c r="N1241" s="5">
        <v>14335.478134989447</v>
      </c>
      <c r="O1241" s="5">
        <v>40304.23053285561</v>
      </c>
      <c r="P1241" s="5">
        <v>66904.018529955298</v>
      </c>
      <c r="Q1241" s="5">
        <v>100789.83462564547</v>
      </c>
      <c r="R1241" s="5">
        <v>24722.972470599001</v>
      </c>
    </row>
    <row r="1242" spans="9:18">
      <c r="I1242" s="4">
        <v>1227</v>
      </c>
      <c r="J1242" s="5">
        <v>11936.262457073821</v>
      </c>
      <c r="K1242" s="5">
        <v>11857.447519815871</v>
      </c>
      <c r="L1242" s="5">
        <v>17716.90539191998</v>
      </c>
      <c r="M1242" s="5">
        <v>31554.722481137964</v>
      </c>
      <c r="N1242" s="5">
        <v>42744.618431291936</v>
      </c>
      <c r="O1242" s="5">
        <v>41653.890350944224</v>
      </c>
      <c r="P1242" s="5">
        <v>20403.656304140692</v>
      </c>
      <c r="Q1242" s="5">
        <v>9652.8114206999071</v>
      </c>
      <c r="R1242" s="5">
        <v>34970.397641695177</v>
      </c>
    </row>
    <row r="1243" spans="9:18">
      <c r="I1243" s="4">
        <v>1228</v>
      </c>
      <c r="J1243" s="5">
        <v>14076.209333698853</v>
      </c>
      <c r="K1243" s="5">
        <v>22732.797143159998</v>
      </c>
      <c r="L1243" s="5">
        <v>16293.265064857471</v>
      </c>
      <c r="M1243" s="5">
        <v>17116.951435661951</v>
      </c>
      <c r="N1243" s="5">
        <v>23746.795665493762</v>
      </c>
      <c r="O1243" s="5">
        <v>13966.178986479143</v>
      </c>
      <c r="P1243" s="5">
        <v>66904.018529955298</v>
      </c>
      <c r="Q1243" s="5">
        <v>17153.530968450712</v>
      </c>
      <c r="R1243" s="5">
        <v>86510.608303273053</v>
      </c>
    </row>
    <row r="1244" spans="9:18">
      <c r="I1244" s="4">
        <v>1229</v>
      </c>
      <c r="J1244" s="5">
        <v>11843.28062342474</v>
      </c>
      <c r="K1244" s="5">
        <v>56656.842992470461</v>
      </c>
      <c r="L1244" s="5">
        <v>16017.890956041876</v>
      </c>
      <c r="M1244" s="5">
        <v>18177.175180585615</v>
      </c>
      <c r="N1244" s="5">
        <v>57711.498171893618</v>
      </c>
      <c r="O1244" s="5">
        <v>83458.030763693328</v>
      </c>
      <c r="P1244" s="5">
        <v>34814.458119125498</v>
      </c>
      <c r="Q1244" s="5">
        <v>31902.904306425251</v>
      </c>
      <c r="R1244" s="5">
        <v>38898.713625068609</v>
      </c>
    </row>
    <row r="1245" spans="9:18">
      <c r="I1245" s="4">
        <v>1230</v>
      </c>
      <c r="J1245" s="5">
        <v>16710.807721801892</v>
      </c>
      <c r="K1245" s="5">
        <v>14674.169276244838</v>
      </c>
      <c r="L1245" s="5">
        <v>15923.549351835489</v>
      </c>
      <c r="M1245" s="5">
        <v>20041.623430301417</v>
      </c>
      <c r="N1245" s="5">
        <v>51261.622558090799</v>
      </c>
      <c r="O1245" s="5">
        <v>5444.7598502623823</v>
      </c>
      <c r="P1245" s="5">
        <v>63015.124693769802</v>
      </c>
      <c r="Q1245" s="5">
        <v>56069.347629295014</v>
      </c>
      <c r="R1245" s="5">
        <v>3433.6677391851467</v>
      </c>
    </row>
    <row r="1246" spans="9:18">
      <c r="I1246" s="4">
        <v>1231</v>
      </c>
      <c r="J1246" s="5">
        <v>15417.870921574262</v>
      </c>
      <c r="K1246" s="5">
        <v>12777.667398488715</v>
      </c>
      <c r="L1246" s="5">
        <v>14344.859750762502</v>
      </c>
      <c r="M1246" s="5">
        <v>31554.722481137964</v>
      </c>
      <c r="N1246" s="5">
        <v>23008.246229813707</v>
      </c>
      <c r="O1246" s="5">
        <v>27503.656957929088</v>
      </c>
      <c r="P1246" s="5">
        <v>32155.527541400057</v>
      </c>
      <c r="Q1246" s="5">
        <v>29432.473148002948</v>
      </c>
      <c r="R1246" s="5">
        <v>12194.45251033065</v>
      </c>
    </row>
    <row r="1247" spans="9:18">
      <c r="I1247" s="4">
        <v>1232</v>
      </c>
      <c r="J1247" s="5">
        <v>28169.050633834027</v>
      </c>
      <c r="K1247" s="5">
        <v>14021.934268028277</v>
      </c>
      <c r="L1247" s="5">
        <v>11827.803406885578</v>
      </c>
      <c r="M1247" s="5">
        <v>10142.860128720422</v>
      </c>
      <c r="N1247" s="5">
        <v>26115.05281128412</v>
      </c>
      <c r="O1247" s="5">
        <v>55264.438774006347</v>
      </c>
      <c r="P1247" s="5">
        <v>21039.927746191301</v>
      </c>
      <c r="Q1247" s="5">
        <v>37802.358878968138</v>
      </c>
      <c r="R1247" s="5">
        <v>26783.439354489365</v>
      </c>
    </row>
    <row r="1248" spans="9:18">
      <c r="I1248" s="4">
        <v>1233</v>
      </c>
      <c r="J1248" s="5">
        <v>16710.807721801892</v>
      </c>
      <c r="K1248" s="5">
        <v>7753.2116148734594</v>
      </c>
      <c r="L1248" s="5">
        <v>13867.07093008449</v>
      </c>
      <c r="M1248" s="5">
        <v>12934.591863415189</v>
      </c>
      <c r="N1248" s="5">
        <v>23583.581287126868</v>
      </c>
      <c r="O1248" s="5">
        <v>5909.5347260996277</v>
      </c>
      <c r="P1248" s="5">
        <v>106091.28270624072</v>
      </c>
      <c r="Q1248" s="5">
        <v>18097.768262249352</v>
      </c>
      <c r="R1248" s="5">
        <v>13258.538726001538</v>
      </c>
    </row>
    <row r="1249" spans="9:18">
      <c r="I1249" s="4">
        <v>1234</v>
      </c>
      <c r="J1249" s="5">
        <v>43272.831879770602</v>
      </c>
      <c r="K1249" s="5">
        <v>43843.85059185313</v>
      </c>
      <c r="L1249" s="5">
        <v>16616.161224349555</v>
      </c>
      <c r="M1249" s="5">
        <v>11860.862376247747</v>
      </c>
      <c r="N1249" s="5">
        <v>25549.748582175915</v>
      </c>
      <c r="O1249" s="5">
        <v>3171.3006415671193</v>
      </c>
      <c r="P1249" s="5">
        <v>9047.5556949992188</v>
      </c>
      <c r="Q1249" s="5">
        <v>11173.074396969254</v>
      </c>
      <c r="R1249" s="5">
        <v>16039.216896723072</v>
      </c>
    </row>
    <row r="1250" spans="9:18">
      <c r="I1250" s="4">
        <v>1235</v>
      </c>
      <c r="J1250" s="5">
        <v>15352.465904292809</v>
      </c>
      <c r="K1250" s="5">
        <v>13652.224205833634</v>
      </c>
      <c r="L1250" s="5">
        <v>15359.132481533357</v>
      </c>
      <c r="M1250" s="5">
        <v>12987.517521908694</v>
      </c>
      <c r="N1250" s="5">
        <v>48565.498233359976</v>
      </c>
      <c r="O1250" s="5">
        <v>13966.178986479143</v>
      </c>
      <c r="P1250" s="5">
        <v>32167.874670939738</v>
      </c>
      <c r="Q1250" s="5">
        <v>21421.044775857536</v>
      </c>
      <c r="R1250" s="5">
        <v>20236.767651156802</v>
      </c>
    </row>
    <row r="1251" spans="9:18">
      <c r="I1251" s="4">
        <v>1236</v>
      </c>
      <c r="J1251" s="5">
        <v>14076.209333698853</v>
      </c>
      <c r="K1251" s="5">
        <v>16873.752266014431</v>
      </c>
      <c r="L1251" s="5">
        <v>14649.721476864312</v>
      </c>
      <c r="M1251" s="5">
        <v>20185.026038758231</v>
      </c>
      <c r="N1251" s="5">
        <v>19125.360074567652</v>
      </c>
      <c r="O1251" s="5">
        <v>10738.305003664611</v>
      </c>
      <c r="P1251" s="5">
        <v>8662.4232458952465</v>
      </c>
      <c r="Q1251" s="5">
        <v>25156.033327562815</v>
      </c>
      <c r="R1251" s="5">
        <v>26783.439354489365</v>
      </c>
    </row>
    <row r="1252" spans="9:18">
      <c r="I1252" s="4">
        <v>1237</v>
      </c>
      <c r="J1252" s="5">
        <v>22188.291830993156</v>
      </c>
      <c r="K1252" s="5">
        <v>35488.449387009874</v>
      </c>
      <c r="L1252" s="5">
        <v>15161.007794371622</v>
      </c>
      <c r="M1252" s="5">
        <v>15586.009710351766</v>
      </c>
      <c r="N1252" s="5">
        <v>16418.492928415813</v>
      </c>
      <c r="O1252" s="5">
        <v>26268.613803794757</v>
      </c>
      <c r="P1252" s="5">
        <v>12639.596794453437</v>
      </c>
      <c r="Q1252" s="5">
        <v>10151.908492905288</v>
      </c>
      <c r="R1252" s="5">
        <v>7201.7586694681067</v>
      </c>
    </row>
    <row r="1253" spans="9:18">
      <c r="I1253" s="4">
        <v>1238</v>
      </c>
      <c r="J1253" s="5">
        <v>16459.003095225507</v>
      </c>
      <c r="K1253" s="5">
        <v>6949.5708823216592</v>
      </c>
      <c r="L1253" s="5">
        <v>25389.332759288587</v>
      </c>
      <c r="M1253" s="5">
        <v>10451.914120098167</v>
      </c>
      <c r="N1253" s="5">
        <v>21009.255892677338</v>
      </c>
      <c r="O1253" s="5">
        <v>28431.436490368542</v>
      </c>
      <c r="P1253" s="5">
        <v>6275.8915673055426</v>
      </c>
      <c r="Q1253" s="5">
        <v>8474.2603471579441</v>
      </c>
      <c r="R1253" s="5">
        <v>7879.038918914337</v>
      </c>
    </row>
    <row r="1254" spans="9:18">
      <c r="I1254" s="4">
        <v>1239</v>
      </c>
      <c r="J1254" s="5">
        <v>33627.941293959229</v>
      </c>
      <c r="K1254" s="5">
        <v>23327.217259521742</v>
      </c>
      <c r="L1254" s="5">
        <v>17683.765335572589</v>
      </c>
      <c r="M1254" s="5">
        <v>19890.009981657669</v>
      </c>
      <c r="N1254" s="5">
        <v>39406.658185292261</v>
      </c>
      <c r="O1254" s="5">
        <v>62082.6862081785</v>
      </c>
      <c r="P1254" s="5">
        <v>20391.123772341358</v>
      </c>
      <c r="Q1254" s="5">
        <v>116445.46783345108</v>
      </c>
      <c r="R1254" s="5">
        <v>41418.225609677866</v>
      </c>
    </row>
    <row r="1255" spans="9:18">
      <c r="I1255" s="4">
        <v>1240</v>
      </c>
      <c r="J1255" s="5">
        <v>9405.362381917912</v>
      </c>
      <c r="K1255" s="5">
        <v>15487.124352801369</v>
      </c>
      <c r="L1255" s="5">
        <v>21428.663623484812</v>
      </c>
      <c r="M1255" s="5">
        <v>16842.379179328669</v>
      </c>
      <c r="N1255" s="5">
        <v>23043.345403059295</v>
      </c>
      <c r="O1255" s="5">
        <v>8801.3667015774663</v>
      </c>
      <c r="P1255" s="5">
        <v>14327.191387816954</v>
      </c>
      <c r="Q1255" s="5">
        <v>17234.335939857254</v>
      </c>
      <c r="R1255" s="5">
        <v>18349.337771428582</v>
      </c>
    </row>
    <row r="1256" spans="9:18">
      <c r="I1256" s="4">
        <v>1241</v>
      </c>
      <c r="J1256" s="5">
        <v>43272.831879770602</v>
      </c>
      <c r="K1256" s="5">
        <v>12026.500118162745</v>
      </c>
      <c r="L1256" s="5">
        <v>16014.071850041886</v>
      </c>
      <c r="M1256" s="5">
        <v>22326.253555179093</v>
      </c>
      <c r="N1256" s="5">
        <v>17214.078970533748</v>
      </c>
      <c r="O1256" s="5">
        <v>41653.890350944224</v>
      </c>
      <c r="P1256" s="5">
        <v>9965.8330787532959</v>
      </c>
      <c r="Q1256" s="5">
        <v>4924.9171270300558</v>
      </c>
      <c r="R1256" s="5">
        <v>122304.95880137496</v>
      </c>
    </row>
    <row r="1257" spans="9:18">
      <c r="I1257" s="4">
        <v>1242</v>
      </c>
      <c r="J1257" s="5">
        <v>14710.037865351254</v>
      </c>
      <c r="K1257" s="5">
        <v>35488.449387009874</v>
      </c>
      <c r="L1257" s="5">
        <v>14610.165745300763</v>
      </c>
      <c r="M1257" s="5">
        <v>13011.820191946215</v>
      </c>
      <c r="N1257" s="5">
        <v>36962.805083900916</v>
      </c>
      <c r="O1257" s="5">
        <v>10738.305003664611</v>
      </c>
      <c r="P1257" s="5">
        <v>106091.28270624072</v>
      </c>
      <c r="Q1257" s="5">
        <v>19315.033835554255</v>
      </c>
      <c r="R1257" s="5">
        <v>8046.7106309763258</v>
      </c>
    </row>
    <row r="1258" spans="9:18">
      <c r="I1258" s="4">
        <v>1243</v>
      </c>
      <c r="J1258" s="5">
        <v>16459.003095225507</v>
      </c>
      <c r="K1258" s="5">
        <v>14611.618478071941</v>
      </c>
      <c r="L1258" s="5">
        <v>19359.475411188432</v>
      </c>
      <c r="M1258" s="5">
        <v>19262.243095117232</v>
      </c>
      <c r="N1258" s="5">
        <v>39672.376281023731</v>
      </c>
      <c r="O1258" s="5">
        <v>20489.622805425737</v>
      </c>
      <c r="P1258" s="5">
        <v>106091.28270624072</v>
      </c>
      <c r="Q1258" s="5">
        <v>8832.660767995616</v>
      </c>
      <c r="R1258" s="5">
        <v>7394.6358885760465</v>
      </c>
    </row>
    <row r="1259" spans="9:18">
      <c r="I1259" s="4">
        <v>1244</v>
      </c>
      <c r="J1259" s="5">
        <v>16788.081681455456</v>
      </c>
      <c r="K1259" s="5">
        <v>6949.5708823216592</v>
      </c>
      <c r="L1259" s="5">
        <v>22162.138529251199</v>
      </c>
      <c r="M1259" s="5">
        <v>6367.5407465007311</v>
      </c>
      <c r="N1259" s="5">
        <v>22735.120948269971</v>
      </c>
      <c r="O1259" s="5">
        <v>40304.23053285561</v>
      </c>
      <c r="P1259" s="5">
        <v>8877.9712092977989</v>
      </c>
      <c r="Q1259" s="5">
        <v>116445.46783345108</v>
      </c>
      <c r="R1259" s="5">
        <v>27349.63499959607</v>
      </c>
    </row>
    <row r="1260" spans="9:18">
      <c r="I1260" s="4">
        <v>1245</v>
      </c>
      <c r="J1260" s="5">
        <v>13918.242013140338</v>
      </c>
      <c r="K1260" s="5">
        <v>20887.307279900142</v>
      </c>
      <c r="L1260" s="5">
        <v>22319.409576580376</v>
      </c>
      <c r="M1260" s="5">
        <v>41403.687663920646</v>
      </c>
      <c r="N1260" s="5">
        <v>26115.05281128412</v>
      </c>
      <c r="O1260" s="5">
        <v>16505.600261180331</v>
      </c>
      <c r="P1260" s="5">
        <v>33715.790977629549</v>
      </c>
      <c r="Q1260" s="5">
        <v>10151.908492905288</v>
      </c>
      <c r="R1260" s="5">
        <v>41418.225609677866</v>
      </c>
    </row>
    <row r="1261" spans="9:18">
      <c r="I1261" s="4">
        <v>1246</v>
      </c>
      <c r="J1261" s="5">
        <v>23517.429992060665</v>
      </c>
      <c r="K1261" s="5">
        <v>18218.584572172625</v>
      </c>
      <c r="L1261" s="5">
        <v>18602.881797624486</v>
      </c>
      <c r="M1261" s="5">
        <v>20550.782384061673</v>
      </c>
      <c r="N1261" s="5">
        <v>23283.854578052265</v>
      </c>
      <c r="O1261" s="5">
        <v>30656.031716467984</v>
      </c>
      <c r="P1261" s="5">
        <v>10733.318076105543</v>
      </c>
      <c r="Q1261" s="5">
        <v>59134.059519022907</v>
      </c>
      <c r="R1261" s="5">
        <v>41418.225609677866</v>
      </c>
    </row>
    <row r="1262" spans="9:18">
      <c r="I1262" s="4">
        <v>1247</v>
      </c>
      <c r="J1262" s="5">
        <v>31559.699247539775</v>
      </c>
      <c r="K1262" s="5">
        <v>12777.667398488715</v>
      </c>
      <c r="L1262" s="5">
        <v>17482.478480142941</v>
      </c>
      <c r="M1262" s="5">
        <v>19151.339770278159</v>
      </c>
      <c r="N1262" s="5">
        <v>23746.795665493762</v>
      </c>
      <c r="O1262" s="5">
        <v>10270.120415297655</v>
      </c>
      <c r="P1262" s="5">
        <v>25258.981945036445</v>
      </c>
      <c r="Q1262" s="5">
        <v>8832.660767995616</v>
      </c>
      <c r="R1262" s="5">
        <v>39727.513802035661</v>
      </c>
    </row>
    <row r="1263" spans="9:18">
      <c r="I1263" s="4">
        <v>1248</v>
      </c>
      <c r="J1263" s="5">
        <v>14344.692898101612</v>
      </c>
      <c r="K1263" s="5">
        <v>9739.7813029644258</v>
      </c>
      <c r="L1263" s="5">
        <v>14649.721476864312</v>
      </c>
      <c r="M1263" s="5">
        <v>22326.253555179093</v>
      </c>
      <c r="N1263" s="5">
        <v>37309.151967087455</v>
      </c>
      <c r="O1263" s="5">
        <v>51330.340277512776</v>
      </c>
      <c r="P1263" s="5">
        <v>16650.229067545235</v>
      </c>
      <c r="Q1263" s="5">
        <v>44911.749632594299</v>
      </c>
      <c r="R1263" s="5">
        <v>87776.138236389699</v>
      </c>
    </row>
    <row r="1264" spans="9:18">
      <c r="I1264" s="4">
        <v>1249</v>
      </c>
      <c r="J1264" s="5">
        <v>16088.430030489333</v>
      </c>
      <c r="K1264" s="5">
        <v>15768.312122029349</v>
      </c>
      <c r="L1264" s="5">
        <v>24256.352541181568</v>
      </c>
      <c r="M1264" s="5">
        <v>17370.588707072598</v>
      </c>
      <c r="N1264" s="5">
        <v>9209.4418830788036</v>
      </c>
      <c r="O1264" s="5">
        <v>35286.662852302201</v>
      </c>
      <c r="P1264" s="5">
        <v>27820.721938889761</v>
      </c>
      <c r="Q1264" s="5">
        <v>8474.2603471579441</v>
      </c>
      <c r="R1264" s="5">
        <v>41418.225609677866</v>
      </c>
    </row>
    <row r="1265" spans="9:18">
      <c r="I1265" s="4">
        <v>1250</v>
      </c>
      <c r="J1265" s="5">
        <v>14750.660273177687</v>
      </c>
      <c r="K1265" s="5">
        <v>16665.1498926479</v>
      </c>
      <c r="L1265" s="5">
        <v>14042.41908879921</v>
      </c>
      <c r="M1265" s="5">
        <v>12619.198742021435</v>
      </c>
      <c r="N1265" s="5">
        <v>17891.96347244953</v>
      </c>
      <c r="O1265" s="5">
        <v>16826.763259351828</v>
      </c>
      <c r="P1265" s="5">
        <v>27820.721938889761</v>
      </c>
      <c r="Q1265" s="5">
        <v>52421.574537857021</v>
      </c>
      <c r="R1265" s="5">
        <v>12194.45251033065</v>
      </c>
    </row>
    <row r="1266" spans="9:18">
      <c r="I1266" s="4">
        <v>1251</v>
      </c>
      <c r="J1266" s="5">
        <v>45301.532027110363</v>
      </c>
      <c r="K1266" s="5">
        <v>9769.3659785458403</v>
      </c>
      <c r="L1266" s="5">
        <v>16616.161224349555</v>
      </c>
      <c r="M1266" s="5">
        <v>13011.820191946215</v>
      </c>
      <c r="N1266" s="5">
        <v>16418.492928415813</v>
      </c>
      <c r="O1266" s="5">
        <v>24369.28567093279</v>
      </c>
      <c r="P1266" s="5">
        <v>17996.895987204196</v>
      </c>
      <c r="Q1266" s="5">
        <v>9454.5906023793759</v>
      </c>
      <c r="R1266" s="5">
        <v>55012.315589742022</v>
      </c>
    </row>
    <row r="1267" spans="9:18">
      <c r="I1267" s="4">
        <v>1252</v>
      </c>
      <c r="J1267" s="5">
        <v>22370.105711697011</v>
      </c>
      <c r="K1267" s="5">
        <v>20887.307279900142</v>
      </c>
      <c r="L1267" s="5">
        <v>27289.607394458035</v>
      </c>
      <c r="M1267" s="5">
        <v>33862.836621974391</v>
      </c>
      <c r="N1267" s="5">
        <v>63974.903847153939</v>
      </c>
      <c r="O1267" s="5">
        <v>77417.02098927302</v>
      </c>
      <c r="P1267" s="5">
        <v>26126.807131356076</v>
      </c>
      <c r="Q1267" s="5">
        <v>15623.622662102793</v>
      </c>
      <c r="R1267" s="5">
        <v>30571.564004538617</v>
      </c>
    </row>
    <row r="1268" spans="9:18">
      <c r="I1268" s="4">
        <v>1253</v>
      </c>
      <c r="J1268" s="5">
        <v>18650.249281571734</v>
      </c>
      <c r="K1268" s="5">
        <v>14017.262946034314</v>
      </c>
      <c r="L1268" s="5">
        <v>14264.23790876064</v>
      </c>
      <c r="M1268" s="5">
        <v>14217.48832834715</v>
      </c>
      <c r="N1268" s="5">
        <v>25424.029865101274</v>
      </c>
      <c r="O1268" s="5">
        <v>35286.662852302201</v>
      </c>
      <c r="P1268" s="5">
        <v>17974.179326980211</v>
      </c>
      <c r="Q1268" s="5">
        <v>54060.5331097772</v>
      </c>
      <c r="R1268" s="5">
        <v>96845.299789249824</v>
      </c>
    </row>
    <row r="1269" spans="9:18">
      <c r="I1269" s="4">
        <v>1254</v>
      </c>
      <c r="J1269" s="5">
        <v>8580.4413740966302</v>
      </c>
      <c r="K1269" s="5">
        <v>7753.2116148734594</v>
      </c>
      <c r="L1269" s="5">
        <v>17693.864646288712</v>
      </c>
      <c r="M1269" s="5">
        <v>19097.39635881727</v>
      </c>
      <c r="N1269" s="5">
        <v>22511.351424689696</v>
      </c>
      <c r="O1269" s="5">
        <v>21930.527973988665</v>
      </c>
      <c r="P1269" s="5">
        <v>16072.735485912413</v>
      </c>
      <c r="Q1269" s="5">
        <v>8880.8074399558282</v>
      </c>
      <c r="R1269" s="5">
        <v>86510.608303273053</v>
      </c>
    </row>
    <row r="1270" spans="9:18">
      <c r="I1270" s="4">
        <v>1255</v>
      </c>
      <c r="J1270" s="5">
        <v>16733.020222212988</v>
      </c>
      <c r="K1270" s="5">
        <v>17495.743706488822</v>
      </c>
      <c r="L1270" s="5">
        <v>14815.394001212817</v>
      </c>
      <c r="M1270" s="5">
        <v>16510.442870615672</v>
      </c>
      <c r="N1270" s="5">
        <v>34295.124147811541</v>
      </c>
      <c r="O1270" s="5">
        <v>67717.30633712461</v>
      </c>
      <c r="P1270" s="5">
        <v>25258.981945036445</v>
      </c>
      <c r="Q1270" s="5">
        <v>28797.29222718185</v>
      </c>
      <c r="R1270" s="5">
        <v>123773.40402252052</v>
      </c>
    </row>
    <row r="1271" spans="9:18">
      <c r="I1271" s="4">
        <v>1256</v>
      </c>
      <c r="J1271" s="5">
        <v>15352.465904292809</v>
      </c>
      <c r="K1271" s="5">
        <v>17003.901855709089</v>
      </c>
      <c r="L1271" s="5">
        <v>25389.332759288587</v>
      </c>
      <c r="M1271" s="5">
        <v>10451.914120098167</v>
      </c>
      <c r="N1271" s="5">
        <v>8104.6265149430556</v>
      </c>
      <c r="O1271" s="5">
        <v>40581.847217937895</v>
      </c>
      <c r="P1271" s="5">
        <v>21813.848941464526</v>
      </c>
      <c r="Q1271" s="5">
        <v>31902.904306425251</v>
      </c>
      <c r="R1271" s="5">
        <v>87776.138236389699</v>
      </c>
    </row>
    <row r="1272" spans="9:18">
      <c r="I1272" s="4">
        <v>1257</v>
      </c>
      <c r="J1272" s="5">
        <v>16511.332839561353</v>
      </c>
      <c r="K1272" s="5">
        <v>53937.689698015136</v>
      </c>
      <c r="L1272" s="5">
        <v>14316.474075738101</v>
      </c>
      <c r="M1272" s="5">
        <v>20550.782384061673</v>
      </c>
      <c r="N1272" s="5">
        <v>9563.1256545330361</v>
      </c>
      <c r="O1272" s="5">
        <v>51330.340277512776</v>
      </c>
      <c r="P1272" s="5">
        <v>3930.0915591834291</v>
      </c>
      <c r="Q1272" s="5">
        <v>2356.8990887111336</v>
      </c>
      <c r="R1272" s="5">
        <v>261393.32711858812</v>
      </c>
    </row>
    <row r="1273" spans="9:18">
      <c r="I1273" s="4">
        <v>1258</v>
      </c>
      <c r="J1273" s="5">
        <v>16459.003095225507</v>
      </c>
      <c r="K1273" s="5">
        <v>30552.499930043898</v>
      </c>
      <c r="L1273" s="5">
        <v>23561.450544884348</v>
      </c>
      <c r="M1273" s="5">
        <v>12619.198742021435</v>
      </c>
      <c r="N1273" s="5">
        <v>26565.664379767408</v>
      </c>
      <c r="O1273" s="5">
        <v>33720.545907536376</v>
      </c>
      <c r="P1273" s="5">
        <v>27820.721938889761</v>
      </c>
      <c r="Q1273" s="5">
        <v>54060.5331097772</v>
      </c>
      <c r="R1273" s="5">
        <v>86510.608303273053</v>
      </c>
    </row>
    <row r="1274" spans="9:18">
      <c r="I1274" s="4">
        <v>1259</v>
      </c>
      <c r="J1274" s="5">
        <v>14710.037865351254</v>
      </c>
      <c r="K1274" s="5">
        <v>32294.121255311245</v>
      </c>
      <c r="L1274" s="5">
        <v>27289.607394458035</v>
      </c>
      <c r="M1274" s="5">
        <v>12934.591863415189</v>
      </c>
      <c r="N1274" s="5">
        <v>59876.136849941562</v>
      </c>
      <c r="O1274" s="5">
        <v>8801.3667015774663</v>
      </c>
      <c r="P1274" s="5">
        <v>27708.613526855763</v>
      </c>
      <c r="Q1274" s="5">
        <v>116445.46783345108</v>
      </c>
      <c r="R1274" s="5">
        <v>55012.315589742022</v>
      </c>
    </row>
    <row r="1275" spans="9:18">
      <c r="I1275" s="4">
        <v>1260</v>
      </c>
      <c r="J1275" s="5">
        <v>14710.037865351254</v>
      </c>
      <c r="K1275" s="5">
        <v>16605.655749562578</v>
      </c>
      <c r="L1275" s="5">
        <v>23561.450544884348</v>
      </c>
      <c r="M1275" s="5">
        <v>20229.919588372999</v>
      </c>
      <c r="N1275" s="5">
        <v>15658.063692994532</v>
      </c>
      <c r="O1275" s="5">
        <v>13613.378495715853</v>
      </c>
      <c r="P1275" s="5">
        <v>9047.5556949992188</v>
      </c>
      <c r="Q1275" s="5">
        <v>37277.391668005912</v>
      </c>
      <c r="R1275" s="5">
        <v>39727.513802035661</v>
      </c>
    </row>
    <row r="1276" spans="9:18">
      <c r="I1276" s="4">
        <v>1261</v>
      </c>
      <c r="J1276" s="5">
        <v>22370.105711697011</v>
      </c>
      <c r="K1276" s="5">
        <v>11149.572204897504</v>
      </c>
      <c r="L1276" s="5">
        <v>13867.07093008449</v>
      </c>
      <c r="M1276" s="5">
        <v>19795.661011456152</v>
      </c>
      <c r="N1276" s="5">
        <v>22735.120948269971</v>
      </c>
      <c r="O1276" s="5">
        <v>20721.57544042755</v>
      </c>
      <c r="P1276" s="5">
        <v>54292.749740228588</v>
      </c>
      <c r="Q1276" s="5">
        <v>13865.641566869812</v>
      </c>
      <c r="R1276" s="5">
        <v>55106.806585409526</v>
      </c>
    </row>
    <row r="1277" spans="9:18">
      <c r="I1277" s="4">
        <v>1262</v>
      </c>
      <c r="J1277" s="5">
        <v>33627.941293959229</v>
      </c>
      <c r="K1277" s="5">
        <v>16873.752266014431</v>
      </c>
      <c r="L1277" s="5">
        <v>15300.182042823812</v>
      </c>
      <c r="M1277" s="5">
        <v>29041.83725675238</v>
      </c>
      <c r="N1277" s="5">
        <v>63974.903847153939</v>
      </c>
      <c r="O1277" s="5">
        <v>20489.622805425737</v>
      </c>
      <c r="P1277" s="5">
        <v>29283.825979394511</v>
      </c>
      <c r="Q1277" s="5">
        <v>13214.632802255031</v>
      </c>
      <c r="R1277" s="5">
        <v>59414.886464347241</v>
      </c>
    </row>
    <row r="1278" spans="9:18">
      <c r="I1278" s="4">
        <v>1263</v>
      </c>
      <c r="J1278" s="5">
        <v>14671.176405938595</v>
      </c>
      <c r="K1278" s="5">
        <v>21187.174639714212</v>
      </c>
      <c r="L1278" s="5">
        <v>15161.007794371622</v>
      </c>
      <c r="M1278" s="5">
        <v>12934.591863415189</v>
      </c>
      <c r="N1278" s="5">
        <v>9989.086510768735</v>
      </c>
      <c r="O1278" s="5">
        <v>26565.882515615398</v>
      </c>
      <c r="P1278" s="5">
        <v>32155.527541400057</v>
      </c>
      <c r="Q1278" s="5">
        <v>129470.11441833655</v>
      </c>
      <c r="R1278" s="5">
        <v>7394.6358885760465</v>
      </c>
    </row>
    <row r="1279" spans="9:18">
      <c r="I1279" s="4">
        <v>1264</v>
      </c>
      <c r="J1279" s="5">
        <v>15623.733864199699</v>
      </c>
      <c r="K1279" s="5">
        <v>23934.551191616061</v>
      </c>
      <c r="L1279" s="5">
        <v>18215.751370765771</v>
      </c>
      <c r="M1279" s="5">
        <v>31460.745851561904</v>
      </c>
      <c r="N1279" s="5">
        <v>26152.705108198839</v>
      </c>
      <c r="O1279" s="5">
        <v>6199.3195463515376</v>
      </c>
      <c r="P1279" s="5">
        <v>54292.749740228588</v>
      </c>
      <c r="Q1279" s="5">
        <v>52421.574537857021</v>
      </c>
      <c r="R1279" s="5">
        <v>72640.340924600489</v>
      </c>
    </row>
    <row r="1280" spans="9:18">
      <c r="I1280" s="4">
        <v>1265</v>
      </c>
      <c r="J1280" s="5">
        <v>13447.638004246244</v>
      </c>
      <c r="K1280" s="5">
        <v>14021.934268028277</v>
      </c>
      <c r="L1280" s="5">
        <v>15359.132481533357</v>
      </c>
      <c r="M1280" s="5">
        <v>16510.442870615672</v>
      </c>
      <c r="N1280" s="5">
        <v>17891.96347244953</v>
      </c>
      <c r="O1280" s="5">
        <v>20930.098352661731</v>
      </c>
      <c r="P1280" s="5">
        <v>55152.110177667731</v>
      </c>
      <c r="Q1280" s="5">
        <v>44911.749632594299</v>
      </c>
      <c r="R1280" s="5">
        <v>41056.152565483346</v>
      </c>
    </row>
    <row r="1281" spans="9:18">
      <c r="I1281" s="4">
        <v>1266</v>
      </c>
      <c r="J1281" s="5">
        <v>26634.853073396614</v>
      </c>
      <c r="K1281" s="5">
        <v>32294.121255311245</v>
      </c>
      <c r="L1281" s="5">
        <v>17920.486090689363</v>
      </c>
      <c r="M1281" s="5">
        <v>22961.931350882205</v>
      </c>
      <c r="N1281" s="5">
        <v>23746.795665493762</v>
      </c>
      <c r="O1281" s="5">
        <v>49114.195066822271</v>
      </c>
      <c r="P1281" s="5">
        <v>45161.732159568586</v>
      </c>
      <c r="Q1281" s="5">
        <v>17493.456269945855</v>
      </c>
      <c r="R1281" s="5">
        <v>24831.679362998926</v>
      </c>
    </row>
    <row r="1282" spans="9:18">
      <c r="I1282" s="4">
        <v>1267</v>
      </c>
      <c r="J1282" s="5">
        <v>26634.853073396614</v>
      </c>
      <c r="K1282" s="5">
        <v>16132.555399908759</v>
      </c>
      <c r="L1282" s="5">
        <v>29265.217478369766</v>
      </c>
      <c r="M1282" s="5">
        <v>23454.775510296178</v>
      </c>
      <c r="N1282" s="5">
        <v>21009.255892677338</v>
      </c>
      <c r="O1282" s="5">
        <v>77417.02098927302</v>
      </c>
      <c r="P1282" s="5">
        <v>26541.896041444568</v>
      </c>
      <c r="Q1282" s="5">
        <v>4631.7430487757983</v>
      </c>
      <c r="R1282" s="5">
        <v>41418.225609677866</v>
      </c>
    </row>
    <row r="1283" spans="9:18">
      <c r="I1283" s="4">
        <v>1268</v>
      </c>
      <c r="J1283" s="5">
        <v>18650.249281571734</v>
      </c>
      <c r="K1283" s="5">
        <v>15782.544184844044</v>
      </c>
      <c r="L1283" s="5">
        <v>15359.132481533357</v>
      </c>
      <c r="M1283" s="5">
        <v>15586.009710351766</v>
      </c>
      <c r="N1283" s="5">
        <v>14921.795973817481</v>
      </c>
      <c r="O1283" s="5">
        <v>13840.304699955392</v>
      </c>
      <c r="P1283" s="5">
        <v>23769.190223735484</v>
      </c>
      <c r="Q1283" s="5">
        <v>37497.234505125656</v>
      </c>
      <c r="R1283" s="5">
        <v>55012.315589742022</v>
      </c>
    </row>
    <row r="1284" spans="9:18">
      <c r="I1284" s="4">
        <v>1269</v>
      </c>
      <c r="J1284" s="5">
        <v>14420.293087375476</v>
      </c>
      <c r="K1284" s="5">
        <v>15129.619337591721</v>
      </c>
      <c r="L1284" s="5">
        <v>13622.976145621742</v>
      </c>
      <c r="M1284" s="5">
        <v>18879.640760542785</v>
      </c>
      <c r="N1284" s="5">
        <v>21933.097106966918</v>
      </c>
      <c r="O1284" s="5">
        <v>51330.340277512776</v>
      </c>
      <c r="P1284" s="5">
        <v>28537.545734403488</v>
      </c>
      <c r="Q1284" s="5">
        <v>19315.033835554255</v>
      </c>
      <c r="R1284" s="5">
        <v>38898.713625068609</v>
      </c>
    </row>
    <row r="1285" spans="9:18">
      <c r="I1285" s="4">
        <v>1270</v>
      </c>
      <c r="J1285" s="5">
        <v>16459.003095225507</v>
      </c>
      <c r="K1285" s="5">
        <v>11206.053243692098</v>
      </c>
      <c r="L1285" s="5">
        <v>15471.738323660695</v>
      </c>
      <c r="M1285" s="5">
        <v>23449.501569180404</v>
      </c>
      <c r="N1285" s="5">
        <v>9209.4418830788036</v>
      </c>
      <c r="O1285" s="5">
        <v>19430.912633256889</v>
      </c>
      <c r="P1285" s="5">
        <v>3930.0915591834291</v>
      </c>
      <c r="Q1285" s="5">
        <v>17234.335939857254</v>
      </c>
      <c r="R1285" s="5">
        <v>302760.11878714536</v>
      </c>
    </row>
    <row r="1286" spans="9:18">
      <c r="I1286" s="4">
        <v>1271</v>
      </c>
      <c r="J1286" s="5">
        <v>12701.339251949787</v>
      </c>
      <c r="K1286" s="5">
        <v>16665.1498926479</v>
      </c>
      <c r="L1286" s="5">
        <v>13417.453622029931</v>
      </c>
      <c r="M1286" s="5">
        <v>20229.919588372999</v>
      </c>
      <c r="N1286" s="5">
        <v>23043.345403059295</v>
      </c>
      <c r="O1286" s="5">
        <v>16462.170789592048</v>
      </c>
      <c r="P1286" s="5">
        <v>8877.9712092977989</v>
      </c>
      <c r="Q1286" s="5">
        <v>17234.335939857254</v>
      </c>
      <c r="R1286" s="5">
        <v>16039.216896723072</v>
      </c>
    </row>
    <row r="1287" spans="9:18">
      <c r="I1287" s="4">
        <v>1272</v>
      </c>
      <c r="J1287" s="5">
        <v>14420.293087375476</v>
      </c>
      <c r="K1287" s="5">
        <v>11857.447519815871</v>
      </c>
      <c r="L1287" s="5">
        <v>19224.583269019437</v>
      </c>
      <c r="M1287" s="5">
        <v>14217.48832834715</v>
      </c>
      <c r="N1287" s="5">
        <v>23583.581287126868</v>
      </c>
      <c r="O1287" s="5">
        <v>30656.031716467984</v>
      </c>
      <c r="P1287" s="5">
        <v>8662.4232458952465</v>
      </c>
      <c r="Q1287" s="5">
        <v>13099.063525342741</v>
      </c>
      <c r="R1287" s="5">
        <v>302760.11878714536</v>
      </c>
    </row>
    <row r="1288" spans="9:18">
      <c r="I1288" s="4">
        <v>1273</v>
      </c>
      <c r="J1288" s="5">
        <v>12035.382213755307</v>
      </c>
      <c r="K1288" s="5">
        <v>23543.914024953676</v>
      </c>
      <c r="L1288" s="5">
        <v>17716.90539191998</v>
      </c>
      <c r="M1288" s="5">
        <v>20041.623430301417</v>
      </c>
      <c r="N1288" s="5">
        <v>23746.795665493762</v>
      </c>
      <c r="O1288" s="5">
        <v>51330.340277512776</v>
      </c>
      <c r="P1288" s="5">
        <v>32167.874670939738</v>
      </c>
      <c r="Q1288" s="5">
        <v>70295.978314632754</v>
      </c>
      <c r="R1288" s="5">
        <v>17304.847214362417</v>
      </c>
    </row>
    <row r="1289" spans="9:18">
      <c r="I1289" s="4">
        <v>1274</v>
      </c>
      <c r="J1289" s="5">
        <v>12888.204629170894</v>
      </c>
      <c r="K1289" s="5">
        <v>56656.842992470461</v>
      </c>
      <c r="L1289" s="5">
        <v>16616.161224349555</v>
      </c>
      <c r="M1289" s="5">
        <v>30785.663999045999</v>
      </c>
      <c r="N1289" s="5">
        <v>39406.658185292261</v>
      </c>
      <c r="O1289" s="5">
        <v>27068.054847826614</v>
      </c>
      <c r="P1289" s="5">
        <v>18963.234565965948</v>
      </c>
      <c r="Q1289" s="5">
        <v>31974.553851773013</v>
      </c>
      <c r="R1289" s="5">
        <v>41056.152565483346</v>
      </c>
    </row>
    <row r="1290" spans="9:18">
      <c r="I1290" s="4">
        <v>1275</v>
      </c>
      <c r="J1290" s="5">
        <v>16416.142496463777</v>
      </c>
      <c r="K1290" s="5">
        <v>17003.901855709089</v>
      </c>
      <c r="L1290" s="5">
        <v>16293.265064857471</v>
      </c>
      <c r="M1290" s="5">
        <v>20788.503422877813</v>
      </c>
      <c r="N1290" s="5">
        <v>13909.728487455486</v>
      </c>
      <c r="O1290" s="5">
        <v>79848.944504816522</v>
      </c>
      <c r="P1290" s="5">
        <v>39054.462981000084</v>
      </c>
      <c r="Q1290" s="5">
        <v>7457.1844090365566</v>
      </c>
      <c r="R1290" s="5">
        <v>122304.95880137496</v>
      </c>
    </row>
    <row r="1291" spans="9:18">
      <c r="I1291" s="4">
        <v>1276</v>
      </c>
      <c r="J1291" s="5">
        <v>16166.107684907736</v>
      </c>
      <c r="K1291" s="5">
        <v>11507.182177474708</v>
      </c>
      <c r="L1291" s="5">
        <v>22018.381599979773</v>
      </c>
      <c r="M1291" s="5">
        <v>19262.243095117232</v>
      </c>
      <c r="N1291" s="5">
        <v>11751.639947035985</v>
      </c>
      <c r="O1291" s="5">
        <v>41653.890350944224</v>
      </c>
      <c r="P1291" s="5">
        <v>14773.185437294762</v>
      </c>
      <c r="Q1291" s="5">
        <v>4924.9171270300558</v>
      </c>
      <c r="R1291" s="5">
        <v>8105.1944146993656</v>
      </c>
    </row>
    <row r="1292" spans="9:18">
      <c r="I1292" s="4">
        <v>1277</v>
      </c>
      <c r="J1292" s="5">
        <v>14671.176405938595</v>
      </c>
      <c r="K1292" s="5">
        <v>23934.551191616061</v>
      </c>
      <c r="L1292" s="5">
        <v>21725.131459372977</v>
      </c>
      <c r="M1292" s="5">
        <v>23908.621352410395</v>
      </c>
      <c r="N1292" s="5">
        <v>8104.6265149430556</v>
      </c>
      <c r="O1292" s="5">
        <v>6199.3195463515376</v>
      </c>
      <c r="P1292" s="5">
        <v>54292.749740228588</v>
      </c>
      <c r="Q1292" s="5">
        <v>96632.959478514502</v>
      </c>
      <c r="R1292" s="5">
        <v>3311.4906988006405</v>
      </c>
    </row>
    <row r="1293" spans="9:18">
      <c r="I1293" s="4">
        <v>1278</v>
      </c>
      <c r="J1293" s="5">
        <v>14076.209333698853</v>
      </c>
      <c r="K1293" s="5">
        <v>18821.113178054162</v>
      </c>
      <c r="L1293" s="5">
        <v>17683.765335572589</v>
      </c>
      <c r="M1293" s="5">
        <v>30830.81083227017</v>
      </c>
      <c r="N1293" s="5">
        <v>22010.718648995869</v>
      </c>
      <c r="O1293" s="5">
        <v>15124.35050053727</v>
      </c>
      <c r="P1293" s="5">
        <v>45161.732159568586</v>
      </c>
      <c r="Q1293" s="5">
        <v>28776.080424849053</v>
      </c>
      <c r="R1293" s="5">
        <v>24722.972470599001</v>
      </c>
    </row>
    <row r="1294" spans="9:18">
      <c r="I1294" s="4">
        <v>1279</v>
      </c>
      <c r="J1294" s="5">
        <v>13663.281817546009</v>
      </c>
      <c r="K1294" s="5">
        <v>56656.842992470461</v>
      </c>
      <c r="L1294" s="5">
        <v>14264.23790876064</v>
      </c>
      <c r="M1294" s="5">
        <v>15346.383801976139</v>
      </c>
      <c r="N1294" s="5">
        <v>21933.097106966918</v>
      </c>
      <c r="O1294" s="5">
        <v>6199.3195463515376</v>
      </c>
      <c r="P1294" s="5">
        <v>10180.109839011631</v>
      </c>
      <c r="Q1294" s="5">
        <v>37802.358878968138</v>
      </c>
      <c r="R1294" s="5">
        <v>8105.1944146993656</v>
      </c>
    </row>
    <row r="1295" spans="9:18">
      <c r="I1295" s="4">
        <v>1280</v>
      </c>
      <c r="J1295" s="5">
        <v>28214.771032351968</v>
      </c>
      <c r="K1295" s="5">
        <v>12026.500118162745</v>
      </c>
      <c r="L1295" s="5">
        <v>27289.607394458035</v>
      </c>
      <c r="M1295" s="5">
        <v>23454.775510296178</v>
      </c>
      <c r="N1295" s="5">
        <v>9209.4418830788036</v>
      </c>
      <c r="O1295" s="5">
        <v>27508.313315384185</v>
      </c>
      <c r="P1295" s="5">
        <v>54292.749740228588</v>
      </c>
      <c r="Q1295" s="5">
        <v>70295.978314632754</v>
      </c>
      <c r="R1295" s="5">
        <v>90296.353221228885</v>
      </c>
    </row>
    <row r="1296" spans="9:18">
      <c r="I1296" s="4">
        <v>1281</v>
      </c>
      <c r="J1296" s="5">
        <v>16416.142496463777</v>
      </c>
      <c r="K1296" s="5">
        <v>23327.217259521742</v>
      </c>
      <c r="L1296" s="5">
        <v>15487.970507365942</v>
      </c>
      <c r="M1296" s="5">
        <v>21072.983263501868</v>
      </c>
      <c r="N1296" s="5">
        <v>23283.854578052265</v>
      </c>
      <c r="O1296" s="5">
        <v>30876.675913171162</v>
      </c>
      <c r="P1296" s="5">
        <v>32155.527541400057</v>
      </c>
      <c r="Q1296" s="5">
        <v>7349.2234634219121</v>
      </c>
      <c r="R1296" s="5">
        <v>51141.799458534304</v>
      </c>
    </row>
    <row r="1297" spans="9:18">
      <c r="I1297" s="4">
        <v>1282</v>
      </c>
      <c r="J1297" s="5">
        <v>28214.771032351968</v>
      </c>
      <c r="K1297" s="5">
        <v>29672.680843304515</v>
      </c>
      <c r="L1297" s="5">
        <v>14316.474075738101</v>
      </c>
      <c r="M1297" s="5">
        <v>23913.435663027711</v>
      </c>
      <c r="N1297" s="5">
        <v>12592.300437162297</v>
      </c>
      <c r="O1297" s="5">
        <v>36759.655306288936</v>
      </c>
      <c r="P1297" s="5">
        <v>6275.8915673055426</v>
      </c>
      <c r="Q1297" s="5">
        <v>29432.473148002948</v>
      </c>
      <c r="R1297" s="5">
        <v>3311.4906988006405</v>
      </c>
    </row>
    <row r="1298" spans="9:18">
      <c r="I1298" s="4">
        <v>1283</v>
      </c>
      <c r="J1298" s="5">
        <v>14671.176405938595</v>
      </c>
      <c r="K1298" s="5">
        <v>16132.555399908759</v>
      </c>
      <c r="L1298" s="5">
        <v>21428.663623484812</v>
      </c>
      <c r="M1298" s="5">
        <v>31460.745851561904</v>
      </c>
      <c r="N1298" s="5">
        <v>25424.029865101274</v>
      </c>
      <c r="O1298" s="5">
        <v>33720.545907536376</v>
      </c>
      <c r="P1298" s="5">
        <v>12639.596794453437</v>
      </c>
      <c r="Q1298" s="5">
        <v>37101.531383212743</v>
      </c>
      <c r="R1298" s="5">
        <v>55106.806585409526</v>
      </c>
    </row>
    <row r="1299" spans="9:18">
      <c r="I1299" s="4">
        <v>1284</v>
      </c>
      <c r="J1299" s="5">
        <v>13841.207384998772</v>
      </c>
      <c r="K1299" s="5">
        <v>16132.555399908759</v>
      </c>
      <c r="L1299" s="5">
        <v>14264.23790876064</v>
      </c>
      <c r="M1299" s="5">
        <v>11529.920007560097</v>
      </c>
      <c r="N1299" s="5">
        <v>9989.086510768735</v>
      </c>
      <c r="O1299" s="5">
        <v>10369.402667058452</v>
      </c>
      <c r="P1299" s="5">
        <v>55119.366528283317</v>
      </c>
      <c r="Q1299" s="5">
        <v>13214.632802255031</v>
      </c>
      <c r="R1299" s="5">
        <v>31715.273557891396</v>
      </c>
    </row>
    <row r="1300" spans="9:18">
      <c r="I1300" s="4">
        <v>1285</v>
      </c>
      <c r="J1300" s="5">
        <v>12888.204629170894</v>
      </c>
      <c r="K1300" s="5">
        <v>14136.873097602549</v>
      </c>
      <c r="L1300" s="5">
        <v>18215.751370765771</v>
      </c>
      <c r="M1300" s="5">
        <v>16001.653036457456</v>
      </c>
      <c r="N1300" s="5">
        <v>35826.921212852278</v>
      </c>
      <c r="O1300" s="5">
        <v>42492.261063288854</v>
      </c>
      <c r="P1300" s="5">
        <v>10733.318076105543</v>
      </c>
      <c r="Q1300" s="5">
        <v>129470.11441833655</v>
      </c>
      <c r="R1300" s="5">
        <v>20236.767651156802</v>
      </c>
    </row>
    <row r="1301" spans="9:18">
      <c r="I1301" s="4">
        <v>1286</v>
      </c>
      <c r="J1301" s="5">
        <v>14750.660273177687</v>
      </c>
      <c r="K1301" s="5">
        <v>12777.667398488715</v>
      </c>
      <c r="L1301" s="5">
        <v>18379.634651549037</v>
      </c>
      <c r="M1301" s="5">
        <v>15202.972920708273</v>
      </c>
      <c r="N1301" s="5">
        <v>57711.498171893618</v>
      </c>
      <c r="O1301" s="5">
        <v>16524.769946939996</v>
      </c>
      <c r="P1301" s="5">
        <v>54100.778483493887</v>
      </c>
      <c r="Q1301" s="5">
        <v>21421.044775857536</v>
      </c>
      <c r="R1301" s="5">
        <v>87776.138236389699</v>
      </c>
    </row>
    <row r="1302" spans="9:18">
      <c r="I1302" s="4">
        <v>1287</v>
      </c>
      <c r="J1302" s="5">
        <v>16511.332839561353</v>
      </c>
      <c r="K1302" s="5">
        <v>31910.762633549082</v>
      </c>
      <c r="L1302" s="5">
        <v>16014.071850041886</v>
      </c>
      <c r="M1302" s="5">
        <v>25580.243606220469</v>
      </c>
      <c r="N1302" s="5">
        <v>13745.376566850549</v>
      </c>
      <c r="O1302" s="5">
        <v>5909.5347260996277</v>
      </c>
      <c r="P1302" s="5">
        <v>44816.412248582856</v>
      </c>
      <c r="Q1302" s="5">
        <v>13214.632802255031</v>
      </c>
      <c r="R1302" s="5">
        <v>46004.399892616471</v>
      </c>
    </row>
    <row r="1303" spans="9:18">
      <c r="I1303" s="4">
        <v>1288</v>
      </c>
      <c r="J1303" s="5">
        <v>16156.372629961115</v>
      </c>
      <c r="K1303" s="5">
        <v>14017.262946034314</v>
      </c>
      <c r="L1303" s="5">
        <v>21725.131459372977</v>
      </c>
      <c r="M1303" s="5">
        <v>13139.022167648376</v>
      </c>
      <c r="N1303" s="5">
        <v>28426.778914975595</v>
      </c>
      <c r="O1303" s="5">
        <v>30876.675913171162</v>
      </c>
      <c r="P1303" s="5">
        <v>38024.168395914428</v>
      </c>
      <c r="Q1303" s="5">
        <v>100789.83462564547</v>
      </c>
      <c r="R1303" s="5">
        <v>40368.364083205248</v>
      </c>
    </row>
    <row r="1304" spans="9:18">
      <c r="I1304" s="4">
        <v>1289</v>
      </c>
      <c r="J1304" s="5">
        <v>15873.12561080002</v>
      </c>
      <c r="K1304" s="5">
        <v>14854.898507619706</v>
      </c>
      <c r="L1304" s="5">
        <v>18634.523182776735</v>
      </c>
      <c r="M1304" s="5">
        <v>16500.222621933419</v>
      </c>
      <c r="N1304" s="5">
        <v>63974.903847153939</v>
      </c>
      <c r="O1304" s="5">
        <v>13550.031670770122</v>
      </c>
      <c r="P1304" s="5">
        <v>18862.487147419793</v>
      </c>
      <c r="Q1304" s="5">
        <v>27789.973552634947</v>
      </c>
      <c r="R1304" s="5">
        <v>65420.116221752483</v>
      </c>
    </row>
    <row r="1305" spans="9:18">
      <c r="I1305" s="4">
        <v>1290</v>
      </c>
      <c r="J1305" s="5">
        <v>16733.020222212988</v>
      </c>
      <c r="K1305" s="5">
        <v>43843.85059185313</v>
      </c>
      <c r="L1305" s="5">
        <v>27289.607394458035</v>
      </c>
      <c r="M1305" s="5">
        <v>17370.588707072598</v>
      </c>
      <c r="N1305" s="5">
        <v>17811.114014514766</v>
      </c>
      <c r="O1305" s="5">
        <v>24422.445067017139</v>
      </c>
      <c r="P1305" s="5">
        <v>77603.711720266961</v>
      </c>
      <c r="Q1305" s="5">
        <v>37802.358878968138</v>
      </c>
      <c r="R1305" s="5">
        <v>55106.806585409526</v>
      </c>
    </row>
    <row r="1306" spans="9:18">
      <c r="I1306" s="4">
        <v>1291</v>
      </c>
      <c r="J1306" s="5">
        <v>21888.821432026474</v>
      </c>
      <c r="K1306" s="5">
        <v>12777.667398488715</v>
      </c>
      <c r="L1306" s="5">
        <v>15126.980926457318</v>
      </c>
      <c r="M1306" s="5">
        <v>19430.369425783585</v>
      </c>
      <c r="N1306" s="5">
        <v>16148.901635865295</v>
      </c>
      <c r="O1306" s="5">
        <v>13550.031670770122</v>
      </c>
      <c r="P1306" s="5">
        <v>36724.352187786957</v>
      </c>
      <c r="Q1306" s="5">
        <v>28797.29222718185</v>
      </c>
      <c r="R1306" s="5">
        <v>7118.1729476780347</v>
      </c>
    </row>
    <row r="1307" spans="9:18">
      <c r="I1307" s="4">
        <v>1292</v>
      </c>
      <c r="J1307" s="5">
        <v>14749.343145806102</v>
      </c>
      <c r="K1307" s="5">
        <v>14854.898507619706</v>
      </c>
      <c r="L1307" s="5">
        <v>18475.258050488967</v>
      </c>
      <c r="M1307" s="5">
        <v>20229.919588372999</v>
      </c>
      <c r="N1307" s="5">
        <v>22511.351424689696</v>
      </c>
      <c r="O1307" s="5">
        <v>33720.545907536376</v>
      </c>
      <c r="P1307" s="5">
        <v>14327.191387816954</v>
      </c>
      <c r="Q1307" s="5">
        <v>56069.347629295014</v>
      </c>
      <c r="R1307" s="5">
        <v>59414.886464347241</v>
      </c>
    </row>
    <row r="1308" spans="9:18">
      <c r="I1308" s="4">
        <v>1293</v>
      </c>
      <c r="J1308" s="5">
        <v>21150.169973104224</v>
      </c>
      <c r="K1308" s="5">
        <v>11558.357574452555</v>
      </c>
      <c r="L1308" s="5">
        <v>16293.265064857471</v>
      </c>
      <c r="M1308" s="5">
        <v>18043.539897080744</v>
      </c>
      <c r="N1308" s="5">
        <v>21617.945168312468</v>
      </c>
      <c r="O1308" s="5">
        <v>13966.178986479143</v>
      </c>
      <c r="P1308" s="5">
        <v>95486.196907583406</v>
      </c>
      <c r="Q1308" s="5">
        <v>9652.8114206999071</v>
      </c>
      <c r="R1308" s="5">
        <v>18720.450716365784</v>
      </c>
    </row>
    <row r="1309" spans="9:18">
      <c r="I1309" s="4">
        <v>1294</v>
      </c>
      <c r="J1309" s="5">
        <v>14741.240040396578</v>
      </c>
      <c r="K1309" s="5">
        <v>6949.5708823216592</v>
      </c>
      <c r="L1309" s="5">
        <v>11827.803406885578</v>
      </c>
      <c r="M1309" s="5">
        <v>18177.175180585615</v>
      </c>
      <c r="N1309" s="5">
        <v>24853.247795632611</v>
      </c>
      <c r="O1309" s="5">
        <v>15936.062371781712</v>
      </c>
      <c r="P1309" s="5">
        <v>55152.110177667731</v>
      </c>
      <c r="Q1309" s="5">
        <v>42044.890065817184</v>
      </c>
      <c r="R1309" s="5">
        <v>18349.337771428582</v>
      </c>
    </row>
    <row r="1310" spans="9:18">
      <c r="I1310" s="4">
        <v>1295</v>
      </c>
      <c r="J1310" s="5">
        <v>16016.491239086423</v>
      </c>
      <c r="K1310" s="5">
        <v>20887.307279900142</v>
      </c>
      <c r="L1310" s="5">
        <v>27289.607394458035</v>
      </c>
      <c r="M1310" s="5">
        <v>22326.253555179093</v>
      </c>
      <c r="N1310" s="5">
        <v>11751.639947035985</v>
      </c>
      <c r="O1310" s="5">
        <v>9320.7026593487881</v>
      </c>
      <c r="P1310" s="5">
        <v>35213.322626437533</v>
      </c>
      <c r="Q1310" s="5">
        <v>129470.11441833655</v>
      </c>
      <c r="R1310" s="5">
        <v>35232.418639121184</v>
      </c>
    </row>
    <row r="1311" spans="9:18">
      <c r="I1311" s="4">
        <v>1296</v>
      </c>
      <c r="J1311" s="5">
        <v>13595.404057849493</v>
      </c>
      <c r="K1311" s="5">
        <v>15347.101709242541</v>
      </c>
      <c r="L1311" s="5">
        <v>14175.160754078657</v>
      </c>
      <c r="M1311" s="5">
        <v>14660.631931099009</v>
      </c>
      <c r="N1311" s="5">
        <v>24314.043643333731</v>
      </c>
      <c r="O1311" s="5">
        <v>59207.798737851255</v>
      </c>
      <c r="P1311" s="5">
        <v>20403.656304140692</v>
      </c>
      <c r="Q1311" s="5">
        <v>28078.365156847896</v>
      </c>
      <c r="R1311" s="5">
        <v>8720.6503563381029</v>
      </c>
    </row>
    <row r="1312" spans="9:18">
      <c r="I1312" s="4">
        <v>1297</v>
      </c>
      <c r="J1312" s="5">
        <v>18650.249281571734</v>
      </c>
      <c r="K1312" s="5">
        <v>14611.618478071941</v>
      </c>
      <c r="L1312" s="5">
        <v>16293.265064857471</v>
      </c>
      <c r="M1312" s="5">
        <v>19262.243095117232</v>
      </c>
      <c r="N1312" s="5">
        <v>35826.921212852278</v>
      </c>
      <c r="O1312" s="5">
        <v>53504.725169095313</v>
      </c>
      <c r="P1312" s="5">
        <v>40377.463755170742</v>
      </c>
      <c r="Q1312" s="5">
        <v>25156.033327562815</v>
      </c>
      <c r="R1312" s="5">
        <v>39263.770877572199</v>
      </c>
    </row>
    <row r="1313" spans="9:18">
      <c r="I1313" s="4">
        <v>1298</v>
      </c>
      <c r="J1313" s="5">
        <v>14344.692898101612</v>
      </c>
      <c r="K1313" s="5">
        <v>61827.107730316675</v>
      </c>
      <c r="L1313" s="5">
        <v>16616.161224349555</v>
      </c>
      <c r="M1313" s="5">
        <v>19433.64679949253</v>
      </c>
      <c r="N1313" s="5">
        <v>24769.339976495565</v>
      </c>
      <c r="O1313" s="5">
        <v>10676.618215263648</v>
      </c>
      <c r="P1313" s="5">
        <v>38024.168395914428</v>
      </c>
      <c r="Q1313" s="5">
        <v>92068.726035424203</v>
      </c>
      <c r="R1313" s="5">
        <v>33863.04333215439</v>
      </c>
    </row>
    <row r="1314" spans="9:18">
      <c r="I1314" s="4">
        <v>1299</v>
      </c>
      <c r="J1314" s="5">
        <v>27392.038553726634</v>
      </c>
      <c r="K1314" s="5">
        <v>15391.837334808681</v>
      </c>
      <c r="L1314" s="5">
        <v>29265.217478369766</v>
      </c>
      <c r="M1314" s="5">
        <v>17542.15972125496</v>
      </c>
      <c r="N1314" s="5">
        <v>16418.492928415813</v>
      </c>
      <c r="O1314" s="5">
        <v>36759.655306288936</v>
      </c>
      <c r="P1314" s="5">
        <v>6275.8915673055426</v>
      </c>
      <c r="Q1314" s="5">
        <v>15663.43865741136</v>
      </c>
      <c r="R1314" s="5">
        <v>27349.63499959607</v>
      </c>
    </row>
    <row r="1315" spans="9:18">
      <c r="I1315" s="4">
        <v>1300</v>
      </c>
      <c r="J1315" s="5">
        <v>9405.362381917912</v>
      </c>
      <c r="K1315" s="5">
        <v>13520.836427679104</v>
      </c>
      <c r="L1315" s="5">
        <v>16451.333928028147</v>
      </c>
      <c r="M1315" s="5">
        <v>23908.621352410395</v>
      </c>
      <c r="N1315" s="5">
        <v>23008.246229813707</v>
      </c>
      <c r="O1315" s="5">
        <v>5444.7598502623823</v>
      </c>
      <c r="P1315" s="5">
        <v>34768.042801665702</v>
      </c>
      <c r="Q1315" s="5">
        <v>13214.632802255031</v>
      </c>
      <c r="R1315" s="5">
        <v>14051.647494499957</v>
      </c>
    </row>
    <row r="1316" spans="9:18">
      <c r="I1316" s="4">
        <v>1301</v>
      </c>
      <c r="J1316" s="5">
        <v>28590.354879265724</v>
      </c>
      <c r="K1316" s="5">
        <v>56656.842992470461</v>
      </c>
      <c r="L1316" s="5">
        <v>17683.765335572589</v>
      </c>
      <c r="M1316" s="5">
        <v>32497.510405113037</v>
      </c>
      <c r="N1316" s="5">
        <v>25424.029865101274</v>
      </c>
      <c r="O1316" s="5">
        <v>30876.675913171162</v>
      </c>
      <c r="P1316" s="5">
        <v>20403.656304140692</v>
      </c>
      <c r="Q1316" s="5">
        <v>13865.641566869812</v>
      </c>
      <c r="R1316" s="5">
        <v>41418.225609677866</v>
      </c>
    </row>
    <row r="1317" spans="9:18">
      <c r="I1317" s="4">
        <v>1302</v>
      </c>
      <c r="J1317" s="5">
        <v>15873.12561080002</v>
      </c>
      <c r="K1317" s="5">
        <v>11507.182177474708</v>
      </c>
      <c r="L1317" s="5">
        <v>19189.275558866306</v>
      </c>
      <c r="M1317" s="5">
        <v>23908.621352410395</v>
      </c>
      <c r="N1317" s="5">
        <v>11952.903761138405</v>
      </c>
      <c r="O1317" s="5">
        <v>24258.192244316608</v>
      </c>
      <c r="P1317" s="5">
        <v>74840.036182179319</v>
      </c>
      <c r="Q1317" s="5">
        <v>2356.8990887111336</v>
      </c>
      <c r="R1317" s="5">
        <v>114016.93673542379</v>
      </c>
    </row>
    <row r="1318" spans="9:18">
      <c r="I1318" s="4">
        <v>1303</v>
      </c>
      <c r="J1318" s="5">
        <v>13918.242013140338</v>
      </c>
      <c r="K1318" s="5">
        <v>15487.124352801369</v>
      </c>
      <c r="L1318" s="5">
        <v>15487.970507365942</v>
      </c>
      <c r="M1318" s="5">
        <v>42282.977640783138</v>
      </c>
      <c r="N1318" s="5">
        <v>24769.339976495565</v>
      </c>
      <c r="O1318" s="5">
        <v>14371.728352806511</v>
      </c>
      <c r="P1318" s="5">
        <v>54292.749740228588</v>
      </c>
      <c r="Q1318" s="5">
        <v>48866.209623168346</v>
      </c>
      <c r="R1318" s="5">
        <v>8130.5639219412278</v>
      </c>
    </row>
    <row r="1319" spans="9:18">
      <c r="I1319" s="4">
        <v>1304</v>
      </c>
      <c r="J1319" s="5">
        <v>14671.176405938595</v>
      </c>
      <c r="K1319" s="5">
        <v>11558.357574452555</v>
      </c>
      <c r="L1319" s="5">
        <v>23561.450544884348</v>
      </c>
      <c r="M1319" s="5">
        <v>18879.640760542785</v>
      </c>
      <c r="N1319" s="5">
        <v>39406.658185292261</v>
      </c>
      <c r="O1319" s="5">
        <v>19492.655596593511</v>
      </c>
      <c r="P1319" s="5">
        <v>46514.467673254068</v>
      </c>
      <c r="Q1319" s="5">
        <v>42044.890065817184</v>
      </c>
      <c r="R1319" s="5">
        <v>6681.1887184356683</v>
      </c>
    </row>
    <row r="1320" spans="9:18">
      <c r="I1320" s="4">
        <v>1305</v>
      </c>
      <c r="J1320" s="5">
        <v>34933.039312618188</v>
      </c>
      <c r="K1320" s="5">
        <v>16665.1498926479</v>
      </c>
      <c r="L1320" s="5">
        <v>17693.864646288712</v>
      </c>
      <c r="M1320" s="5">
        <v>37411.178129764201</v>
      </c>
      <c r="N1320" s="5">
        <v>28426.778914975595</v>
      </c>
      <c r="O1320" s="5">
        <v>30608.431994348266</v>
      </c>
      <c r="P1320" s="5">
        <v>12790.85158217316</v>
      </c>
      <c r="Q1320" s="5">
        <v>71213.172792303565</v>
      </c>
      <c r="R1320" s="5">
        <v>8130.5639219412278</v>
      </c>
    </row>
    <row r="1321" spans="9:18">
      <c r="I1321" s="4">
        <v>1306</v>
      </c>
      <c r="J1321" s="5">
        <v>28169.050633834027</v>
      </c>
      <c r="K1321" s="5">
        <v>15698.764831033119</v>
      </c>
      <c r="L1321" s="5">
        <v>18215.751370765771</v>
      </c>
      <c r="M1321" s="5">
        <v>20788.503422877813</v>
      </c>
      <c r="N1321" s="5">
        <v>8104.6265149430556</v>
      </c>
      <c r="O1321" s="5">
        <v>9869.5889207969612</v>
      </c>
      <c r="P1321" s="5">
        <v>21813.848941464526</v>
      </c>
      <c r="Q1321" s="5">
        <v>9796.0979856104404</v>
      </c>
      <c r="R1321" s="5">
        <v>51358.6267760993</v>
      </c>
    </row>
    <row r="1322" spans="9:18">
      <c r="I1322" s="4">
        <v>1307</v>
      </c>
      <c r="J1322" s="5">
        <v>14076.209333698853</v>
      </c>
      <c r="K1322" s="5">
        <v>15768.312122029349</v>
      </c>
      <c r="L1322" s="5">
        <v>21725.131459372977</v>
      </c>
      <c r="M1322" s="5">
        <v>23454.775510296178</v>
      </c>
      <c r="N1322" s="5">
        <v>9563.1256545330361</v>
      </c>
      <c r="O1322" s="5">
        <v>20827.029306810669</v>
      </c>
      <c r="P1322" s="5">
        <v>9811.9720599964548</v>
      </c>
      <c r="Q1322" s="5">
        <v>7349.2234634219121</v>
      </c>
      <c r="R1322" s="5">
        <v>261393.32711858812</v>
      </c>
    </row>
    <row r="1323" spans="9:18">
      <c r="I1323" s="4">
        <v>1308</v>
      </c>
      <c r="J1323" s="5">
        <v>22370.105711697011</v>
      </c>
      <c r="K1323" s="5">
        <v>17495.743706488822</v>
      </c>
      <c r="L1323" s="5">
        <v>27289.607394458035</v>
      </c>
      <c r="M1323" s="5">
        <v>13011.820191946215</v>
      </c>
      <c r="N1323" s="5">
        <v>27841.916587595573</v>
      </c>
      <c r="O1323" s="5">
        <v>79848.944504816522</v>
      </c>
      <c r="P1323" s="5">
        <v>18963.234565965948</v>
      </c>
      <c r="Q1323" s="5">
        <v>68168.482468129529</v>
      </c>
      <c r="R1323" s="5">
        <v>7201.7586694681067</v>
      </c>
    </row>
    <row r="1324" spans="9:18">
      <c r="I1324" s="4">
        <v>1309</v>
      </c>
      <c r="J1324" s="5">
        <v>13447.638004246244</v>
      </c>
      <c r="K1324" s="5">
        <v>18086.448513145526</v>
      </c>
      <c r="L1324" s="5">
        <v>13867.07093008449</v>
      </c>
      <c r="M1324" s="5">
        <v>23454.775510296178</v>
      </c>
      <c r="N1324" s="5">
        <v>15658.063692994532</v>
      </c>
      <c r="O1324" s="5">
        <v>36759.655306288936</v>
      </c>
      <c r="P1324" s="5">
        <v>12992.105410393709</v>
      </c>
      <c r="Q1324" s="5">
        <v>52545.991451361173</v>
      </c>
      <c r="R1324" s="5">
        <v>1535.701520095213</v>
      </c>
    </row>
    <row r="1325" spans="9:18">
      <c r="I1325" s="4">
        <v>1310</v>
      </c>
      <c r="J1325" s="5">
        <v>15081.728672246438</v>
      </c>
      <c r="K1325" s="5">
        <v>12423.491400404893</v>
      </c>
      <c r="L1325" s="5">
        <v>17920.486090689363</v>
      </c>
      <c r="M1325" s="5">
        <v>19795.661011456152</v>
      </c>
      <c r="N1325" s="5">
        <v>10882.757905166785</v>
      </c>
      <c r="O1325" s="5">
        <v>9320.7026593487881</v>
      </c>
      <c r="P1325" s="5">
        <v>9482.0186426688688</v>
      </c>
      <c r="Q1325" s="5">
        <v>16591.881190929333</v>
      </c>
      <c r="R1325" s="5">
        <v>123773.40402252052</v>
      </c>
    </row>
    <row r="1326" spans="9:18">
      <c r="I1326" s="4">
        <v>1311</v>
      </c>
      <c r="J1326" s="5">
        <v>19048.674633640545</v>
      </c>
      <c r="K1326" s="5">
        <v>6949.5708823216592</v>
      </c>
      <c r="L1326" s="5">
        <v>13867.07093008449</v>
      </c>
      <c r="M1326" s="5">
        <v>13139.022167648376</v>
      </c>
      <c r="N1326" s="5">
        <v>26152.705108198839</v>
      </c>
      <c r="O1326" s="5">
        <v>55264.438774006347</v>
      </c>
      <c r="P1326" s="5">
        <v>26126.807131356076</v>
      </c>
      <c r="Q1326" s="5">
        <v>71213.172792303565</v>
      </c>
      <c r="R1326" s="5">
        <v>261393.32711858812</v>
      </c>
    </row>
    <row r="1327" spans="9:18">
      <c r="I1327" s="4">
        <v>1312</v>
      </c>
      <c r="J1327" s="5">
        <v>16305.770155972396</v>
      </c>
      <c r="K1327" s="5">
        <v>11507.182177474708</v>
      </c>
      <c r="L1327" s="5">
        <v>15922.087958863045</v>
      </c>
      <c r="M1327" s="5">
        <v>19262.243095117232</v>
      </c>
      <c r="N1327" s="5">
        <v>22735.120948269971</v>
      </c>
      <c r="O1327" s="5">
        <v>8801.3667015774663</v>
      </c>
      <c r="P1327" s="5">
        <v>16650.229067545235</v>
      </c>
      <c r="Q1327" s="5">
        <v>148345.62878828164</v>
      </c>
      <c r="R1327" s="5">
        <v>89167.415757270224</v>
      </c>
    </row>
    <row r="1328" spans="9:18">
      <c r="I1328" s="4">
        <v>1313</v>
      </c>
      <c r="J1328" s="5">
        <v>12056.41843703942</v>
      </c>
      <c r="K1328" s="5">
        <v>34164.842952759042</v>
      </c>
      <c r="L1328" s="5">
        <v>11827.803406885578</v>
      </c>
      <c r="M1328" s="5">
        <v>26477.996319655329</v>
      </c>
      <c r="N1328" s="5">
        <v>35826.921212852278</v>
      </c>
      <c r="O1328" s="5">
        <v>14371.728352806511</v>
      </c>
      <c r="P1328" s="5">
        <v>32167.874670939738</v>
      </c>
      <c r="Q1328" s="5">
        <v>44911.749632594299</v>
      </c>
      <c r="R1328" s="5">
        <v>34970.397641695177</v>
      </c>
    </row>
    <row r="1329" spans="9:18">
      <c r="I1329" s="4">
        <v>1314</v>
      </c>
      <c r="J1329" s="5">
        <v>12452.764985867625</v>
      </c>
      <c r="K1329" s="5">
        <v>61827.107730316675</v>
      </c>
      <c r="L1329" s="5">
        <v>16293.265064857471</v>
      </c>
      <c r="M1329" s="5">
        <v>19151.339770278159</v>
      </c>
      <c r="N1329" s="5">
        <v>16148.901635865295</v>
      </c>
      <c r="O1329" s="5">
        <v>27503.656957929088</v>
      </c>
      <c r="P1329" s="5">
        <v>14316.965520592317</v>
      </c>
      <c r="Q1329" s="5">
        <v>37101.531383212743</v>
      </c>
      <c r="R1329" s="5">
        <v>20236.767651156802</v>
      </c>
    </row>
    <row r="1330" spans="9:18">
      <c r="I1330" s="4">
        <v>1315</v>
      </c>
      <c r="J1330" s="5">
        <v>31559.699247539775</v>
      </c>
      <c r="K1330" s="5">
        <v>21958.925144875713</v>
      </c>
      <c r="L1330" s="5">
        <v>21428.663623484812</v>
      </c>
      <c r="M1330" s="5">
        <v>22961.931350882205</v>
      </c>
      <c r="N1330" s="5">
        <v>42744.618431291936</v>
      </c>
      <c r="O1330" s="5">
        <v>16505.600261180331</v>
      </c>
      <c r="P1330" s="5">
        <v>8662.4232458952465</v>
      </c>
      <c r="Q1330" s="5">
        <v>15663.43865741136</v>
      </c>
      <c r="R1330" s="5">
        <v>84289.422255274636</v>
      </c>
    </row>
    <row r="1331" spans="9:18">
      <c r="I1331" s="4">
        <v>1316</v>
      </c>
      <c r="J1331" s="5">
        <v>22812.564910649318</v>
      </c>
      <c r="K1331" s="5">
        <v>16199.334613834633</v>
      </c>
      <c r="L1331" s="5">
        <v>29265.217478369766</v>
      </c>
      <c r="M1331" s="5">
        <v>41403.687663920646</v>
      </c>
      <c r="N1331" s="5">
        <v>16581.915858379376</v>
      </c>
      <c r="O1331" s="5">
        <v>13966.178986479143</v>
      </c>
      <c r="P1331" s="5">
        <v>77603.711720266961</v>
      </c>
      <c r="Q1331" s="5">
        <v>28776.080424849053</v>
      </c>
      <c r="R1331" s="5">
        <v>24831.679362998926</v>
      </c>
    </row>
    <row r="1332" spans="9:18">
      <c r="I1332" s="4">
        <v>1317</v>
      </c>
      <c r="J1332" s="5">
        <v>15554.996700302558</v>
      </c>
      <c r="K1332" s="5">
        <v>12777.667398488715</v>
      </c>
      <c r="L1332" s="5">
        <v>15922.087958863045</v>
      </c>
      <c r="M1332" s="5">
        <v>33862.836621974391</v>
      </c>
      <c r="N1332" s="5">
        <v>22868.569282757788</v>
      </c>
      <c r="O1332" s="5">
        <v>13966.178986479143</v>
      </c>
      <c r="P1332" s="5">
        <v>95486.196907583406</v>
      </c>
      <c r="Q1332" s="5">
        <v>11928.872068442162</v>
      </c>
      <c r="R1332" s="5">
        <v>8105.1944146993656</v>
      </c>
    </row>
    <row r="1333" spans="9:18">
      <c r="I1333" s="4">
        <v>1318</v>
      </c>
      <c r="J1333" s="5">
        <v>20002.201347927807</v>
      </c>
      <c r="K1333" s="5">
        <v>16605.655749562578</v>
      </c>
      <c r="L1333" s="5">
        <v>29265.217478369766</v>
      </c>
      <c r="M1333" s="5">
        <v>23454.775510296178</v>
      </c>
      <c r="N1333" s="5">
        <v>17811.114014514766</v>
      </c>
      <c r="O1333" s="5">
        <v>20489.622805425737</v>
      </c>
      <c r="P1333" s="5">
        <v>17996.895987204196</v>
      </c>
      <c r="Q1333" s="5">
        <v>22483.395143121877</v>
      </c>
      <c r="R1333" s="5">
        <v>7879.038918914337</v>
      </c>
    </row>
    <row r="1334" spans="9:18">
      <c r="I1334" s="4">
        <v>1319</v>
      </c>
      <c r="J1334" s="5">
        <v>12035.382213755307</v>
      </c>
      <c r="K1334" s="5">
        <v>26110.948843472826</v>
      </c>
      <c r="L1334" s="5">
        <v>18634.523182776735</v>
      </c>
      <c r="M1334" s="5">
        <v>23515.935489506261</v>
      </c>
      <c r="N1334" s="5">
        <v>14921.795973817481</v>
      </c>
      <c r="O1334" s="5">
        <v>79848.944504816522</v>
      </c>
      <c r="P1334" s="5">
        <v>54100.778483493887</v>
      </c>
      <c r="Q1334" s="5">
        <v>29432.473148002948</v>
      </c>
      <c r="R1334" s="5">
        <v>17991.870496434763</v>
      </c>
    </row>
    <row r="1335" spans="9:18">
      <c r="I1335" s="4">
        <v>1320</v>
      </c>
      <c r="J1335" s="5">
        <v>19048.674633640545</v>
      </c>
      <c r="K1335" s="5">
        <v>14021.934268028277</v>
      </c>
      <c r="L1335" s="5">
        <v>16577.562442697115</v>
      </c>
      <c r="M1335" s="5">
        <v>13642.678686731051</v>
      </c>
      <c r="N1335" s="5">
        <v>17214.078970533748</v>
      </c>
      <c r="O1335" s="5">
        <v>66253.993323243907</v>
      </c>
      <c r="P1335" s="5">
        <v>27820.721938889761</v>
      </c>
      <c r="Q1335" s="5">
        <v>10151.908492905288</v>
      </c>
      <c r="R1335" s="5">
        <v>81423.874800517297</v>
      </c>
    </row>
    <row r="1336" spans="9:18">
      <c r="I1336" s="4">
        <v>1321</v>
      </c>
      <c r="J1336" s="5">
        <v>16416.142496463777</v>
      </c>
      <c r="K1336" s="5">
        <v>14021.934268028277</v>
      </c>
      <c r="L1336" s="5">
        <v>23561.450544884348</v>
      </c>
      <c r="M1336" s="5">
        <v>18177.175180585615</v>
      </c>
      <c r="N1336" s="5">
        <v>14921.795973817481</v>
      </c>
      <c r="O1336" s="5">
        <v>10746.295275180995</v>
      </c>
      <c r="P1336" s="5">
        <v>21933.779100635442</v>
      </c>
      <c r="Q1336" s="5">
        <v>27789.973552634947</v>
      </c>
      <c r="R1336" s="5">
        <v>40368.364083205248</v>
      </c>
    </row>
    <row r="1337" spans="9:18">
      <c r="I1337" s="4">
        <v>1322</v>
      </c>
      <c r="J1337" s="5">
        <v>21717.214093683677</v>
      </c>
      <c r="K1337" s="5">
        <v>14095.75230105142</v>
      </c>
      <c r="L1337" s="5">
        <v>15651.346103181355</v>
      </c>
      <c r="M1337" s="5">
        <v>10111.451009425113</v>
      </c>
      <c r="N1337" s="5">
        <v>12523.573732460784</v>
      </c>
      <c r="O1337" s="5">
        <v>28431.436490368542</v>
      </c>
      <c r="P1337" s="5">
        <v>16650.229067545235</v>
      </c>
      <c r="Q1337" s="5">
        <v>129470.11441833655</v>
      </c>
      <c r="R1337" s="5">
        <v>24722.972470599001</v>
      </c>
    </row>
    <row r="1338" spans="9:18">
      <c r="I1338" s="4">
        <v>1323</v>
      </c>
      <c r="J1338" s="5">
        <v>13045.114546182727</v>
      </c>
      <c r="K1338" s="5">
        <v>23327.217259521742</v>
      </c>
      <c r="L1338" s="5">
        <v>16777.996633299583</v>
      </c>
      <c r="M1338" s="5">
        <v>10142.860128720422</v>
      </c>
      <c r="N1338" s="5">
        <v>26115.05281128412</v>
      </c>
      <c r="O1338" s="5">
        <v>31172.963108652857</v>
      </c>
      <c r="P1338" s="5">
        <v>54100.778483493887</v>
      </c>
      <c r="Q1338" s="5">
        <v>8502.450657922871</v>
      </c>
      <c r="R1338" s="5">
        <v>3311.4906988006405</v>
      </c>
    </row>
    <row r="1339" spans="9:18">
      <c r="I1339" s="4">
        <v>1324</v>
      </c>
      <c r="J1339" s="5">
        <v>15554.996700302558</v>
      </c>
      <c r="K1339" s="5">
        <v>16873.752266014431</v>
      </c>
      <c r="L1339" s="5">
        <v>23760.785349782636</v>
      </c>
      <c r="M1339" s="5">
        <v>21833.004790208965</v>
      </c>
      <c r="N1339" s="5">
        <v>15804.474686449519</v>
      </c>
      <c r="O1339" s="5">
        <v>10270.120415297655</v>
      </c>
      <c r="P1339" s="5">
        <v>16650.229067545235</v>
      </c>
      <c r="Q1339" s="5">
        <v>16803.875627203233</v>
      </c>
      <c r="R1339" s="5">
        <v>87776.138236389699</v>
      </c>
    </row>
    <row r="1340" spans="9:18">
      <c r="I1340" s="4">
        <v>1325</v>
      </c>
      <c r="J1340" s="5">
        <v>14960.076233580705</v>
      </c>
      <c r="K1340" s="5">
        <v>9769.3659785458403</v>
      </c>
      <c r="L1340" s="5">
        <v>15664.99858445921</v>
      </c>
      <c r="M1340" s="5">
        <v>26477.996319655329</v>
      </c>
      <c r="N1340" s="5">
        <v>14240.123545764454</v>
      </c>
      <c r="O1340" s="5">
        <v>16462.170789592048</v>
      </c>
      <c r="P1340" s="5">
        <v>8662.4232458952465</v>
      </c>
      <c r="Q1340" s="5">
        <v>6386.5227360487288</v>
      </c>
      <c r="R1340" s="5">
        <v>7394.6358885760465</v>
      </c>
    </row>
    <row r="1341" spans="9:18">
      <c r="I1341" s="4">
        <v>1326</v>
      </c>
      <c r="J1341" s="5">
        <v>22812.564910649318</v>
      </c>
      <c r="K1341" s="5">
        <v>21958.925144875713</v>
      </c>
      <c r="L1341" s="5">
        <v>18634.523182776735</v>
      </c>
      <c r="M1341" s="5">
        <v>10111.451009425113</v>
      </c>
      <c r="N1341" s="5">
        <v>22511.351424689696</v>
      </c>
      <c r="O1341" s="5">
        <v>30656.031716467984</v>
      </c>
      <c r="P1341" s="5">
        <v>54292.749740228588</v>
      </c>
      <c r="Q1341" s="5">
        <v>9652.8114206999071</v>
      </c>
      <c r="R1341" s="5">
        <v>8105.1944146993656</v>
      </c>
    </row>
    <row r="1342" spans="9:18">
      <c r="I1342" s="4">
        <v>1327</v>
      </c>
      <c r="J1342" s="5">
        <v>16305.770155972396</v>
      </c>
      <c r="K1342" s="5">
        <v>61827.107730316675</v>
      </c>
      <c r="L1342" s="5">
        <v>21725.131459372977</v>
      </c>
      <c r="M1342" s="5">
        <v>12934.591863415189</v>
      </c>
      <c r="N1342" s="5">
        <v>11952.903761138405</v>
      </c>
      <c r="O1342" s="5">
        <v>40304.23053285561</v>
      </c>
      <c r="P1342" s="5">
        <v>27452.975716953504</v>
      </c>
      <c r="Q1342" s="5">
        <v>31855.809428519857</v>
      </c>
      <c r="R1342" s="5">
        <v>261393.32711858812</v>
      </c>
    </row>
    <row r="1343" spans="9:18">
      <c r="I1343" s="4">
        <v>1328</v>
      </c>
      <c r="J1343" s="5">
        <v>14960.076233580705</v>
      </c>
      <c r="K1343" s="5">
        <v>18821.113178054162</v>
      </c>
      <c r="L1343" s="5">
        <v>18475.258050488967</v>
      </c>
      <c r="M1343" s="5">
        <v>19042.78605337895</v>
      </c>
      <c r="N1343" s="5">
        <v>35826.921212852278</v>
      </c>
      <c r="O1343" s="5">
        <v>9869.5889207969612</v>
      </c>
      <c r="P1343" s="5">
        <v>74840.036182179319</v>
      </c>
      <c r="Q1343" s="5">
        <v>31618.396253255491</v>
      </c>
      <c r="R1343" s="5">
        <v>3989.7956692889929</v>
      </c>
    </row>
    <row r="1344" spans="9:18">
      <c r="I1344" s="4">
        <v>1329</v>
      </c>
      <c r="J1344" s="5">
        <v>15130.594750069789</v>
      </c>
      <c r="K1344" s="5">
        <v>17128.860847126922</v>
      </c>
      <c r="L1344" s="5">
        <v>19224.583269019437</v>
      </c>
      <c r="M1344" s="5">
        <v>18879.640760542785</v>
      </c>
      <c r="N1344" s="5">
        <v>22010.718648995869</v>
      </c>
      <c r="O1344" s="5">
        <v>94068.324736096256</v>
      </c>
      <c r="P1344" s="5">
        <v>29283.825979394511</v>
      </c>
      <c r="Q1344" s="5">
        <v>9454.5906023793759</v>
      </c>
      <c r="R1344" s="5">
        <v>182942.88598316166</v>
      </c>
    </row>
    <row r="1345" spans="9:18">
      <c r="I1345" s="4">
        <v>1330</v>
      </c>
      <c r="J1345" s="5">
        <v>16166.107684907736</v>
      </c>
      <c r="K1345" s="5">
        <v>17128.860847126922</v>
      </c>
      <c r="L1345" s="5">
        <v>13023.361770761438</v>
      </c>
      <c r="M1345" s="5">
        <v>9623.0342442006167</v>
      </c>
      <c r="N1345" s="5">
        <v>16581.915858379376</v>
      </c>
      <c r="O1345" s="5">
        <v>25644.588869829797</v>
      </c>
      <c r="P1345" s="5">
        <v>10180.109839011631</v>
      </c>
      <c r="Q1345" s="5">
        <v>37277.391668005912</v>
      </c>
      <c r="R1345" s="5">
        <v>12130.167062525341</v>
      </c>
    </row>
    <row r="1346" spans="9:18">
      <c r="I1346" s="4">
        <v>1331</v>
      </c>
      <c r="J1346" s="5">
        <v>23517.429992060665</v>
      </c>
      <c r="K1346" s="5">
        <v>35705.595198125673</v>
      </c>
      <c r="L1346" s="5">
        <v>17693.864646288712</v>
      </c>
      <c r="M1346" s="5">
        <v>23908.621352410395</v>
      </c>
      <c r="N1346" s="5">
        <v>15786.177386596903</v>
      </c>
      <c r="O1346" s="5">
        <v>18637.945795127704</v>
      </c>
      <c r="P1346" s="5">
        <v>27708.613526855763</v>
      </c>
      <c r="Q1346" s="5">
        <v>31855.809428519857</v>
      </c>
      <c r="R1346" s="5">
        <v>89167.415757270224</v>
      </c>
    </row>
    <row r="1347" spans="9:18">
      <c r="I1347" s="4">
        <v>1332</v>
      </c>
      <c r="J1347" s="5">
        <v>22188.291830993156</v>
      </c>
      <c r="K1347" s="5">
        <v>23327.217259521742</v>
      </c>
      <c r="L1347" s="5">
        <v>23760.785349782636</v>
      </c>
      <c r="M1347" s="5">
        <v>23908.621352410395</v>
      </c>
      <c r="N1347" s="5">
        <v>8104.6265149430556</v>
      </c>
      <c r="O1347" s="5">
        <v>9956.4031238965053</v>
      </c>
      <c r="P1347" s="5">
        <v>54292.749740228588</v>
      </c>
      <c r="Q1347" s="5">
        <v>59134.059519022907</v>
      </c>
      <c r="R1347" s="5">
        <v>96845.299789249824</v>
      </c>
    </row>
    <row r="1348" spans="9:18">
      <c r="I1348" s="4">
        <v>1333</v>
      </c>
      <c r="J1348" s="5">
        <v>14741.240040396578</v>
      </c>
      <c r="K1348" s="5">
        <v>16934.093371663999</v>
      </c>
      <c r="L1348" s="5">
        <v>22162.138529251199</v>
      </c>
      <c r="M1348" s="5">
        <v>41403.687663920646</v>
      </c>
      <c r="N1348" s="5">
        <v>15804.474686449519</v>
      </c>
      <c r="O1348" s="5">
        <v>31172.963108652857</v>
      </c>
      <c r="P1348" s="5">
        <v>26126.807131356076</v>
      </c>
      <c r="Q1348" s="5">
        <v>71213.172792303565</v>
      </c>
      <c r="R1348" s="5">
        <v>93933.045103013996</v>
      </c>
    </row>
    <row r="1349" spans="9:18">
      <c r="I1349" s="4">
        <v>1334</v>
      </c>
      <c r="J1349" s="5">
        <v>9368.8270679249108</v>
      </c>
      <c r="K1349" s="5">
        <v>37822.375317881044</v>
      </c>
      <c r="L1349" s="5">
        <v>19189.275558866306</v>
      </c>
      <c r="M1349" s="5">
        <v>13011.820191946215</v>
      </c>
      <c r="N1349" s="5">
        <v>26115.05281128412</v>
      </c>
      <c r="O1349" s="5">
        <v>40304.23053285561</v>
      </c>
      <c r="P1349" s="5">
        <v>29283.825979394511</v>
      </c>
      <c r="Q1349" s="5">
        <v>52545.991451361173</v>
      </c>
      <c r="R1349" s="5">
        <v>39263.770877572199</v>
      </c>
    </row>
    <row r="1350" spans="9:18">
      <c r="I1350" s="4">
        <v>1335</v>
      </c>
      <c r="J1350" s="5">
        <v>33627.941293959229</v>
      </c>
      <c r="K1350" s="5">
        <v>15428.770955406064</v>
      </c>
      <c r="L1350" s="5">
        <v>15759.954187048656</v>
      </c>
      <c r="M1350" s="5">
        <v>15586.009710351766</v>
      </c>
      <c r="N1350" s="5">
        <v>21617.945168312468</v>
      </c>
      <c r="O1350" s="5">
        <v>12110.196126281628</v>
      </c>
      <c r="P1350" s="5">
        <v>32155.527541400057</v>
      </c>
      <c r="Q1350" s="5">
        <v>71213.172792303565</v>
      </c>
      <c r="R1350" s="5">
        <v>7784.2246210242874</v>
      </c>
    </row>
    <row r="1351" spans="9:18">
      <c r="I1351" s="4">
        <v>1336</v>
      </c>
      <c r="J1351" s="5">
        <v>16156.372629961115</v>
      </c>
      <c r="K1351" s="5">
        <v>34058.671324159091</v>
      </c>
      <c r="L1351" s="5">
        <v>14815.394001212817</v>
      </c>
      <c r="M1351" s="5">
        <v>23449.501569180404</v>
      </c>
      <c r="N1351" s="5">
        <v>15251.140047572881</v>
      </c>
      <c r="O1351" s="5">
        <v>16572.483389649329</v>
      </c>
      <c r="P1351" s="5">
        <v>36724.352187786957</v>
      </c>
      <c r="Q1351" s="5">
        <v>15623.622662102793</v>
      </c>
      <c r="R1351" s="5">
        <v>34970.397641695177</v>
      </c>
    </row>
    <row r="1352" spans="9:18">
      <c r="I1352" s="4">
        <v>1337</v>
      </c>
      <c r="J1352" s="5">
        <v>15130.594750069789</v>
      </c>
      <c r="K1352" s="5">
        <v>21187.174639714212</v>
      </c>
      <c r="L1352" s="5">
        <v>16777.996633299583</v>
      </c>
      <c r="M1352" s="5">
        <v>14217.48832834715</v>
      </c>
      <c r="N1352" s="5">
        <v>24769.339976495565</v>
      </c>
      <c r="O1352" s="5">
        <v>67717.30633712461</v>
      </c>
      <c r="P1352" s="5">
        <v>36724.352187786957</v>
      </c>
      <c r="Q1352" s="5">
        <v>27789.973552634947</v>
      </c>
      <c r="R1352" s="5">
        <v>91403.228438796665</v>
      </c>
    </row>
    <row r="1353" spans="9:18">
      <c r="I1353" s="4">
        <v>1338</v>
      </c>
      <c r="J1353" s="5">
        <v>27392.038553726634</v>
      </c>
      <c r="K1353" s="5">
        <v>8223.1266007477425</v>
      </c>
      <c r="L1353" s="5">
        <v>16777.996633299583</v>
      </c>
      <c r="M1353" s="5">
        <v>16001.653036457456</v>
      </c>
      <c r="N1353" s="5">
        <v>8104.6265149430556</v>
      </c>
      <c r="O1353" s="5">
        <v>25802.481365323994</v>
      </c>
      <c r="P1353" s="5">
        <v>3017.2887813579896</v>
      </c>
      <c r="Q1353" s="5">
        <v>2356.8990887111336</v>
      </c>
      <c r="R1353" s="5">
        <v>7879.038918914337</v>
      </c>
    </row>
    <row r="1354" spans="9:18">
      <c r="I1354" s="4">
        <v>1339</v>
      </c>
      <c r="J1354" s="5">
        <v>14750.660273177687</v>
      </c>
      <c r="K1354" s="5">
        <v>29672.680843304515</v>
      </c>
      <c r="L1354" s="5">
        <v>29265.217478369766</v>
      </c>
      <c r="M1354" s="5">
        <v>13139.022167648376</v>
      </c>
      <c r="N1354" s="5">
        <v>22868.569282757788</v>
      </c>
      <c r="O1354" s="5">
        <v>26565.882515615398</v>
      </c>
      <c r="P1354" s="5">
        <v>38024.168395914428</v>
      </c>
      <c r="Q1354" s="5">
        <v>71213.172792303565</v>
      </c>
      <c r="R1354" s="5">
        <v>50287.76786557267</v>
      </c>
    </row>
    <row r="1355" spans="9:18">
      <c r="I1355" s="4">
        <v>1340</v>
      </c>
      <c r="J1355" s="5">
        <v>13663.281817546009</v>
      </c>
      <c r="K1355" s="5">
        <v>15698.764831033119</v>
      </c>
      <c r="L1355" s="5">
        <v>15161.007794371622</v>
      </c>
      <c r="M1355" s="5">
        <v>19795.661011456152</v>
      </c>
      <c r="N1355" s="5">
        <v>9989.086510768735</v>
      </c>
      <c r="O1355" s="5">
        <v>16462.170789592048</v>
      </c>
      <c r="P1355" s="5">
        <v>20403.656304140692</v>
      </c>
      <c r="Q1355" s="5">
        <v>12253.299944531094</v>
      </c>
      <c r="R1355" s="5">
        <v>38898.713625068609</v>
      </c>
    </row>
    <row r="1356" spans="9:18">
      <c r="I1356" s="4">
        <v>1341</v>
      </c>
      <c r="J1356" s="5">
        <v>12888.204629170894</v>
      </c>
      <c r="K1356" s="5">
        <v>16952.949313901812</v>
      </c>
      <c r="L1356" s="5">
        <v>17683.765335572589</v>
      </c>
      <c r="M1356" s="5">
        <v>11860.862376247747</v>
      </c>
      <c r="N1356" s="5">
        <v>22010.718648995869</v>
      </c>
      <c r="O1356" s="5">
        <v>26268.613803794757</v>
      </c>
      <c r="P1356" s="5">
        <v>10966.822219855034</v>
      </c>
      <c r="Q1356" s="5">
        <v>73941.636731325911</v>
      </c>
      <c r="R1356" s="5">
        <v>2071.5141323269809</v>
      </c>
    </row>
    <row r="1357" spans="9:18">
      <c r="I1357" s="4">
        <v>1342</v>
      </c>
      <c r="J1357" s="5">
        <v>14749.343145806102</v>
      </c>
      <c r="K1357" s="5">
        <v>13288.692555879701</v>
      </c>
      <c r="L1357" s="5">
        <v>34748.877779456467</v>
      </c>
      <c r="M1357" s="5">
        <v>10111.451009425113</v>
      </c>
      <c r="N1357" s="5">
        <v>17214.078970533748</v>
      </c>
      <c r="O1357" s="5">
        <v>26268.613803794757</v>
      </c>
      <c r="P1357" s="5">
        <v>5836.7810663002319</v>
      </c>
      <c r="Q1357" s="5">
        <v>64585.328088516922</v>
      </c>
      <c r="R1357" s="5">
        <v>24831.679362998926</v>
      </c>
    </row>
    <row r="1358" spans="9:18">
      <c r="I1358" s="4">
        <v>1343</v>
      </c>
      <c r="J1358" s="5">
        <v>16733.020222212988</v>
      </c>
      <c r="K1358" s="5">
        <v>15698.764831033119</v>
      </c>
      <c r="L1358" s="5">
        <v>21725.131459372977</v>
      </c>
      <c r="M1358" s="5">
        <v>37411.178129764201</v>
      </c>
      <c r="N1358" s="5">
        <v>23043.345403059295</v>
      </c>
      <c r="O1358" s="5">
        <v>51330.340277512776</v>
      </c>
      <c r="P1358" s="5">
        <v>20403.656304140692</v>
      </c>
      <c r="Q1358" s="5">
        <v>37802.358878968138</v>
      </c>
      <c r="R1358" s="5">
        <v>50287.76786557267</v>
      </c>
    </row>
    <row r="1359" spans="9:18">
      <c r="I1359" s="4">
        <v>1344</v>
      </c>
      <c r="J1359" s="5">
        <v>16156.372629961115</v>
      </c>
      <c r="K1359" s="5">
        <v>17128.860847126922</v>
      </c>
      <c r="L1359" s="5">
        <v>22018.381599979773</v>
      </c>
      <c r="M1359" s="5">
        <v>32751.734100446065</v>
      </c>
      <c r="N1359" s="5">
        <v>18367.429489032103</v>
      </c>
      <c r="O1359" s="5">
        <v>51330.340277512776</v>
      </c>
      <c r="P1359" s="5">
        <v>18963.234565965948</v>
      </c>
      <c r="Q1359" s="5">
        <v>28078.365156847896</v>
      </c>
      <c r="R1359" s="5">
        <v>216919.53009911609</v>
      </c>
    </row>
    <row r="1360" spans="9:18">
      <c r="I1360" s="4">
        <v>1345</v>
      </c>
      <c r="J1360" s="5">
        <v>28590.354879265724</v>
      </c>
      <c r="K1360" s="5">
        <v>21218.439146892688</v>
      </c>
      <c r="L1360" s="5">
        <v>15126.980926457318</v>
      </c>
      <c r="M1360" s="5">
        <v>15202.972920708273</v>
      </c>
      <c r="N1360" s="5">
        <v>17214.078970533748</v>
      </c>
      <c r="O1360" s="5">
        <v>35865.625349531729</v>
      </c>
      <c r="P1360" s="5">
        <v>54100.778483493887</v>
      </c>
      <c r="Q1360" s="5">
        <v>22483.395143121877</v>
      </c>
      <c r="R1360" s="5">
        <v>7784.2246210242874</v>
      </c>
    </row>
    <row r="1361" spans="9:18">
      <c r="I1361" s="4">
        <v>1346</v>
      </c>
      <c r="J1361" s="5">
        <v>15130.594750069789</v>
      </c>
      <c r="K1361" s="5">
        <v>15428.770955406064</v>
      </c>
      <c r="L1361" s="5">
        <v>16777.996633299583</v>
      </c>
      <c r="M1361" s="5">
        <v>29041.83725675238</v>
      </c>
      <c r="N1361" s="5">
        <v>24020.875410266352</v>
      </c>
      <c r="O1361" s="5">
        <v>13840.304699955392</v>
      </c>
      <c r="P1361" s="5">
        <v>17996.895987204196</v>
      </c>
      <c r="Q1361" s="5">
        <v>8474.2603471579441</v>
      </c>
      <c r="R1361" s="5">
        <v>55012.315589742022</v>
      </c>
    </row>
    <row r="1362" spans="9:18">
      <c r="I1362" s="4">
        <v>1347</v>
      </c>
      <c r="J1362" s="5">
        <v>49463.324094345015</v>
      </c>
      <c r="K1362" s="5">
        <v>23327.217259521742</v>
      </c>
      <c r="L1362" s="5">
        <v>17243.440968229323</v>
      </c>
      <c r="M1362" s="5">
        <v>22326.253555179093</v>
      </c>
      <c r="N1362" s="5">
        <v>12297.015342318469</v>
      </c>
      <c r="O1362" s="5">
        <v>16462.170789592048</v>
      </c>
      <c r="P1362" s="5">
        <v>106091.28270624072</v>
      </c>
      <c r="Q1362" s="5">
        <v>4924.9171270300558</v>
      </c>
      <c r="R1362" s="5">
        <v>182942.88598316166</v>
      </c>
    </row>
    <row r="1363" spans="9:18">
      <c r="I1363" s="4">
        <v>1348</v>
      </c>
      <c r="J1363" s="5">
        <v>14671.176405938595</v>
      </c>
      <c r="K1363" s="5">
        <v>15347.101709242541</v>
      </c>
      <c r="L1363" s="5">
        <v>15759.954187048656</v>
      </c>
      <c r="M1363" s="5">
        <v>13616.35938654862</v>
      </c>
      <c r="N1363" s="5">
        <v>21009.255892677338</v>
      </c>
      <c r="O1363" s="5">
        <v>8024.6340027919978</v>
      </c>
      <c r="P1363" s="5">
        <v>27708.613526855763</v>
      </c>
      <c r="Q1363" s="5">
        <v>8474.2603471579441</v>
      </c>
      <c r="R1363" s="5">
        <v>89167.415757270224</v>
      </c>
    </row>
    <row r="1364" spans="9:18">
      <c r="I1364" s="4">
        <v>1349</v>
      </c>
      <c r="J1364" s="5">
        <v>11036.461796239426</v>
      </c>
      <c r="K1364" s="5">
        <v>11558.357574452555</v>
      </c>
      <c r="L1364" s="5">
        <v>17243.440968229323</v>
      </c>
      <c r="M1364" s="5">
        <v>21332.072353846772</v>
      </c>
      <c r="N1364" s="5">
        <v>15251.140047572881</v>
      </c>
      <c r="O1364" s="5">
        <v>16505.600261180331</v>
      </c>
      <c r="P1364" s="5">
        <v>45161.732159568586</v>
      </c>
      <c r="Q1364" s="5">
        <v>43417.41805414496</v>
      </c>
      <c r="R1364" s="5">
        <v>216919.53009911609</v>
      </c>
    </row>
    <row r="1365" spans="9:18">
      <c r="I1365" s="4">
        <v>1350</v>
      </c>
      <c r="J1365" s="5">
        <v>43272.831879770602</v>
      </c>
      <c r="K1365" s="5">
        <v>21958.925144875713</v>
      </c>
      <c r="L1365" s="5">
        <v>18602.881797624486</v>
      </c>
      <c r="M1365" s="5">
        <v>22326.253555179093</v>
      </c>
      <c r="N1365" s="5">
        <v>4770.4216775830728</v>
      </c>
      <c r="O1365" s="5">
        <v>67717.30633712461</v>
      </c>
      <c r="P1365" s="5">
        <v>17737.38315098183</v>
      </c>
      <c r="Q1365" s="5">
        <v>15663.43865741136</v>
      </c>
      <c r="R1365" s="5">
        <v>44707.053087992797</v>
      </c>
    </row>
    <row r="1366" spans="9:18">
      <c r="I1366" s="4">
        <v>1351</v>
      </c>
      <c r="J1366" s="5">
        <v>16788.081681455456</v>
      </c>
      <c r="K1366" s="5">
        <v>61827.107730316675</v>
      </c>
      <c r="L1366" s="5">
        <v>14649.721476864312</v>
      </c>
      <c r="M1366" s="5">
        <v>42282.977640783138</v>
      </c>
      <c r="N1366" s="5">
        <v>41563.89847100406</v>
      </c>
      <c r="O1366" s="5">
        <v>36759.655306288936</v>
      </c>
      <c r="P1366" s="5">
        <v>34814.458119125498</v>
      </c>
      <c r="Q1366" s="5">
        <v>44911.749632594299</v>
      </c>
      <c r="R1366" s="5">
        <v>8105.1944146993656</v>
      </c>
    </row>
    <row r="1367" spans="9:18">
      <c r="I1367" s="4">
        <v>1352</v>
      </c>
      <c r="J1367" s="5">
        <v>22812.564910649318</v>
      </c>
      <c r="K1367" s="5">
        <v>16873.752266014431</v>
      </c>
      <c r="L1367" s="5">
        <v>23760.785349782636</v>
      </c>
      <c r="M1367" s="5">
        <v>20185.026038758231</v>
      </c>
      <c r="N1367" s="5">
        <v>27833.630848857778</v>
      </c>
      <c r="O1367" s="5">
        <v>26565.882515615398</v>
      </c>
      <c r="P1367" s="5">
        <v>77603.711720266961</v>
      </c>
      <c r="Q1367" s="5">
        <v>48756.323642664109</v>
      </c>
      <c r="R1367" s="5">
        <v>39788.288251916689</v>
      </c>
    </row>
    <row r="1368" spans="9:18">
      <c r="I1368" s="4">
        <v>1353</v>
      </c>
      <c r="J1368" s="5">
        <v>14594.990625703947</v>
      </c>
      <c r="K1368" s="5">
        <v>6949.5708823216592</v>
      </c>
      <c r="L1368" s="5">
        <v>23561.450544884348</v>
      </c>
      <c r="M1368" s="5">
        <v>19795.661011456152</v>
      </c>
      <c r="N1368" s="5">
        <v>15251.140047572881</v>
      </c>
      <c r="O1368" s="5">
        <v>13840.304699955392</v>
      </c>
      <c r="P1368" s="5">
        <v>49519.098753410741</v>
      </c>
      <c r="Q1368" s="5">
        <v>129470.11441833655</v>
      </c>
      <c r="R1368" s="5">
        <v>54594.567438884274</v>
      </c>
    </row>
    <row r="1369" spans="9:18">
      <c r="I1369" s="4">
        <v>1354</v>
      </c>
      <c r="J1369" s="5">
        <v>28590.354879265724</v>
      </c>
      <c r="K1369" s="5">
        <v>15051.330276415061</v>
      </c>
      <c r="L1369" s="5">
        <v>27144.958215276103</v>
      </c>
      <c r="M1369" s="5">
        <v>12619.198742021435</v>
      </c>
      <c r="N1369" s="5">
        <v>26565.664379767408</v>
      </c>
      <c r="O1369" s="5">
        <v>35865.625349531729</v>
      </c>
      <c r="P1369" s="5">
        <v>26541.896041444568</v>
      </c>
      <c r="Q1369" s="5">
        <v>7457.1844090365566</v>
      </c>
      <c r="R1369" s="5">
        <v>17304.847214362417</v>
      </c>
    </row>
    <row r="1370" spans="9:18">
      <c r="I1370" s="4">
        <v>1355</v>
      </c>
      <c r="J1370" s="5">
        <v>11936.262457073821</v>
      </c>
      <c r="K1370" s="5">
        <v>16674.541027260992</v>
      </c>
      <c r="L1370" s="5">
        <v>14042.41908879921</v>
      </c>
      <c r="M1370" s="5">
        <v>41403.687663920646</v>
      </c>
      <c r="N1370" s="5">
        <v>16418.492928415813</v>
      </c>
      <c r="O1370" s="5">
        <v>13117.417685535194</v>
      </c>
      <c r="P1370" s="5">
        <v>25258.981945036445</v>
      </c>
      <c r="Q1370" s="5">
        <v>42044.890065817184</v>
      </c>
      <c r="R1370" s="5">
        <v>261393.32711858812</v>
      </c>
    </row>
    <row r="1371" spans="9:18">
      <c r="I1371" s="4">
        <v>1356</v>
      </c>
      <c r="J1371" s="5">
        <v>17592.832480262863</v>
      </c>
      <c r="K1371" s="5">
        <v>15391.837334808681</v>
      </c>
      <c r="L1371" s="5">
        <v>19224.583269019437</v>
      </c>
      <c r="M1371" s="5">
        <v>18879.640760542785</v>
      </c>
      <c r="N1371" s="5">
        <v>21909.120225822895</v>
      </c>
      <c r="O1371" s="5">
        <v>16524.769946939996</v>
      </c>
      <c r="P1371" s="5">
        <v>27820.721938889761</v>
      </c>
      <c r="Q1371" s="5">
        <v>28567.61306643406</v>
      </c>
      <c r="R1371" s="5">
        <v>86510.608303273053</v>
      </c>
    </row>
    <row r="1372" spans="9:18">
      <c r="I1372" s="4">
        <v>1357</v>
      </c>
      <c r="J1372" s="5">
        <v>16511.332839561353</v>
      </c>
      <c r="K1372" s="5">
        <v>8124.7965732661823</v>
      </c>
      <c r="L1372" s="5">
        <v>17073.17760523731</v>
      </c>
      <c r="M1372" s="5">
        <v>22326.253555179093</v>
      </c>
      <c r="N1372" s="5">
        <v>11251.634703629026</v>
      </c>
      <c r="O1372" s="5">
        <v>53028.643350899503</v>
      </c>
      <c r="P1372" s="5">
        <v>27820.721938889761</v>
      </c>
      <c r="Q1372" s="5">
        <v>73941.636731325911</v>
      </c>
      <c r="R1372" s="5">
        <v>40368.364083205248</v>
      </c>
    </row>
    <row r="1373" spans="9:18">
      <c r="I1373" s="4">
        <v>1358</v>
      </c>
      <c r="J1373" s="5">
        <v>16788.081681455456</v>
      </c>
      <c r="K1373" s="5">
        <v>13719.930466819731</v>
      </c>
      <c r="L1373" s="5">
        <v>19224.583269019437</v>
      </c>
      <c r="M1373" s="5">
        <v>13011.820191946215</v>
      </c>
      <c r="N1373" s="5">
        <v>23043.345403059295</v>
      </c>
      <c r="O1373" s="5">
        <v>15936.062371781712</v>
      </c>
      <c r="P1373" s="5">
        <v>33715.790977629549</v>
      </c>
      <c r="Q1373" s="5">
        <v>35525.432376048877</v>
      </c>
      <c r="R1373" s="5">
        <v>72640.340924600489</v>
      </c>
    </row>
    <row r="1374" spans="9:18">
      <c r="I1374" s="4">
        <v>1359</v>
      </c>
      <c r="J1374" s="5">
        <v>20002.201347927807</v>
      </c>
      <c r="K1374" s="5">
        <v>8223.1266007477425</v>
      </c>
      <c r="L1374" s="5">
        <v>17693.864646288712</v>
      </c>
      <c r="M1374" s="5">
        <v>14432.283063351901</v>
      </c>
      <c r="N1374" s="5">
        <v>20558.672182394013</v>
      </c>
      <c r="O1374" s="5">
        <v>10676.618215263648</v>
      </c>
      <c r="P1374" s="5">
        <v>17737.38315098183</v>
      </c>
      <c r="Q1374" s="5">
        <v>19541.409060825732</v>
      </c>
      <c r="R1374" s="5">
        <v>55106.806585409526</v>
      </c>
    </row>
    <row r="1375" spans="9:18">
      <c r="I1375" s="4">
        <v>1360</v>
      </c>
      <c r="J1375" s="5">
        <v>16416.142496463777</v>
      </c>
      <c r="K1375" s="5">
        <v>23327.217259521742</v>
      </c>
      <c r="L1375" s="5">
        <v>16777.996633299583</v>
      </c>
      <c r="M1375" s="5">
        <v>30830.81083227017</v>
      </c>
      <c r="N1375" s="5">
        <v>20558.672182394013</v>
      </c>
      <c r="O1375" s="5">
        <v>40304.23053285561</v>
      </c>
      <c r="P1375" s="5">
        <v>27452.975716953504</v>
      </c>
      <c r="Q1375" s="5">
        <v>73941.636731325911</v>
      </c>
      <c r="R1375" s="5">
        <v>8105.1944146993656</v>
      </c>
    </row>
    <row r="1376" spans="9:18">
      <c r="I1376" s="4">
        <v>1361</v>
      </c>
      <c r="J1376" s="5">
        <v>16166.107684907736</v>
      </c>
      <c r="K1376" s="5">
        <v>16273.14570113692</v>
      </c>
      <c r="L1376" s="5">
        <v>16071.260291253868</v>
      </c>
      <c r="M1376" s="5">
        <v>19042.78605337895</v>
      </c>
      <c r="N1376" s="5">
        <v>16148.901635865295</v>
      </c>
      <c r="O1376" s="5">
        <v>19430.912633256889</v>
      </c>
      <c r="P1376" s="5">
        <v>39054.462981000084</v>
      </c>
      <c r="Q1376" s="5">
        <v>70295.978314632754</v>
      </c>
      <c r="R1376" s="5">
        <v>17991.870496434763</v>
      </c>
    </row>
    <row r="1377" spans="9:18">
      <c r="I1377" s="4">
        <v>1362</v>
      </c>
      <c r="J1377" s="5">
        <v>13447.638004246244</v>
      </c>
      <c r="K1377" s="5">
        <v>23543.914024953676</v>
      </c>
      <c r="L1377" s="5">
        <v>23561.450544884348</v>
      </c>
      <c r="M1377" s="5">
        <v>12735.841453044006</v>
      </c>
      <c r="N1377" s="5">
        <v>19125.360074567652</v>
      </c>
      <c r="O1377" s="5">
        <v>26565.882515615398</v>
      </c>
      <c r="P1377" s="5">
        <v>16072.735485912413</v>
      </c>
      <c r="Q1377" s="5">
        <v>68168.482468129529</v>
      </c>
      <c r="R1377" s="5">
        <v>7201.7586694681067</v>
      </c>
    </row>
    <row r="1378" spans="9:18">
      <c r="I1378" s="4">
        <v>1363</v>
      </c>
      <c r="J1378" s="5">
        <v>11843.28062342474</v>
      </c>
      <c r="K1378" s="5">
        <v>14095.75230105142</v>
      </c>
      <c r="L1378" s="5">
        <v>15126.980926457318</v>
      </c>
      <c r="M1378" s="5">
        <v>41698.977215629871</v>
      </c>
      <c r="N1378" s="5">
        <v>18410.937863650517</v>
      </c>
      <c r="O1378" s="5">
        <v>27508.313315384185</v>
      </c>
      <c r="P1378" s="5">
        <v>10966.822219855034</v>
      </c>
      <c r="Q1378" s="5">
        <v>35525.432376048877</v>
      </c>
      <c r="R1378" s="5">
        <v>55012.315589742022</v>
      </c>
    </row>
    <row r="1379" spans="9:18">
      <c r="I1379" s="4">
        <v>1364</v>
      </c>
      <c r="J1379" s="5">
        <v>43272.831879770602</v>
      </c>
      <c r="K1379" s="5">
        <v>17495.743706488822</v>
      </c>
      <c r="L1379" s="5">
        <v>14610.165745300763</v>
      </c>
      <c r="M1379" s="5">
        <v>11529.920007560097</v>
      </c>
      <c r="N1379" s="5">
        <v>18410.937863650517</v>
      </c>
      <c r="O1379" s="5">
        <v>19430.912633256889</v>
      </c>
      <c r="P1379" s="5">
        <v>14376.883105731285</v>
      </c>
      <c r="Q1379" s="5">
        <v>12253.299944531094</v>
      </c>
      <c r="R1379" s="5">
        <v>17991.870496434763</v>
      </c>
    </row>
    <row r="1380" spans="9:18">
      <c r="I1380" s="4">
        <v>1365</v>
      </c>
      <c r="J1380" s="5">
        <v>14076.209333698853</v>
      </c>
      <c r="K1380" s="5">
        <v>29672.680843304515</v>
      </c>
      <c r="L1380" s="5">
        <v>25007.552172398639</v>
      </c>
      <c r="M1380" s="5">
        <v>30830.81083227017</v>
      </c>
      <c r="N1380" s="5">
        <v>41563.89847100406</v>
      </c>
      <c r="O1380" s="5">
        <v>19492.655596593511</v>
      </c>
      <c r="P1380" s="5">
        <v>8069.5385577067918</v>
      </c>
      <c r="Q1380" s="5">
        <v>21421.044775857536</v>
      </c>
      <c r="R1380" s="5">
        <v>8130.5639219412278</v>
      </c>
    </row>
    <row r="1381" spans="9:18">
      <c r="I1381" s="4">
        <v>1366</v>
      </c>
      <c r="J1381" s="5">
        <v>49463.324094345015</v>
      </c>
      <c r="K1381" s="5">
        <v>37822.375317881044</v>
      </c>
      <c r="L1381" s="5">
        <v>15923.549351835489</v>
      </c>
      <c r="M1381" s="5">
        <v>14432.283063351901</v>
      </c>
      <c r="N1381" s="5">
        <v>12523.573732460784</v>
      </c>
      <c r="O1381" s="5">
        <v>11282.178219986479</v>
      </c>
      <c r="P1381" s="5">
        <v>34768.042801665702</v>
      </c>
      <c r="Q1381" s="5">
        <v>9645.8788061228515</v>
      </c>
      <c r="R1381" s="5">
        <v>41418.225609677866</v>
      </c>
    </row>
    <row r="1382" spans="9:18">
      <c r="I1382" s="4">
        <v>1367</v>
      </c>
      <c r="J1382" s="5">
        <v>14344.692898101612</v>
      </c>
      <c r="K1382" s="5">
        <v>12026.500118162745</v>
      </c>
      <c r="L1382" s="5">
        <v>14364.472927446199</v>
      </c>
      <c r="M1382" s="5">
        <v>22961.931350882205</v>
      </c>
      <c r="N1382" s="5">
        <v>13909.728487455486</v>
      </c>
      <c r="O1382" s="5">
        <v>18637.945795127704</v>
      </c>
      <c r="P1382" s="5">
        <v>3930.0915591834291</v>
      </c>
      <c r="Q1382" s="5">
        <v>4631.7430487757983</v>
      </c>
      <c r="R1382" s="5">
        <v>2071.5141323269809</v>
      </c>
    </row>
    <row r="1383" spans="9:18">
      <c r="I1383" s="4">
        <v>1368</v>
      </c>
      <c r="J1383" s="5">
        <v>28214.771032351968</v>
      </c>
      <c r="K1383" s="5">
        <v>16199.334613834633</v>
      </c>
      <c r="L1383" s="5">
        <v>15922.087958863045</v>
      </c>
      <c r="M1383" s="5">
        <v>31472.019071027709</v>
      </c>
      <c r="N1383" s="5">
        <v>18367.429489032103</v>
      </c>
      <c r="O1383" s="5">
        <v>12110.196126281628</v>
      </c>
      <c r="P1383" s="5">
        <v>40377.463755170742</v>
      </c>
      <c r="Q1383" s="5">
        <v>14064.158297039334</v>
      </c>
      <c r="R1383" s="5">
        <v>38898.713625068609</v>
      </c>
    </row>
    <row r="1384" spans="9:18">
      <c r="I1384" s="4">
        <v>1369</v>
      </c>
      <c r="J1384" s="5">
        <v>15873.12561080002</v>
      </c>
      <c r="K1384" s="5">
        <v>21218.439146892688</v>
      </c>
      <c r="L1384" s="5">
        <v>17128.574519497746</v>
      </c>
      <c r="M1384" s="5">
        <v>33862.836621974391</v>
      </c>
      <c r="N1384" s="5">
        <v>57711.498171893618</v>
      </c>
      <c r="O1384" s="5">
        <v>16572.483389649329</v>
      </c>
      <c r="P1384" s="5">
        <v>14376.883105731285</v>
      </c>
      <c r="Q1384" s="5">
        <v>28776.080424849053</v>
      </c>
      <c r="R1384" s="5">
        <v>20303.08745527079</v>
      </c>
    </row>
    <row r="1385" spans="9:18">
      <c r="I1385" s="4">
        <v>1370</v>
      </c>
      <c r="J1385" s="5">
        <v>13045.114546182727</v>
      </c>
      <c r="K1385" s="5">
        <v>16199.334613834633</v>
      </c>
      <c r="L1385" s="5">
        <v>13037.115556745504</v>
      </c>
      <c r="M1385" s="5">
        <v>19262.243095117232</v>
      </c>
      <c r="N1385" s="5">
        <v>15130.853682762778</v>
      </c>
      <c r="O1385" s="5">
        <v>16524.769946939996</v>
      </c>
      <c r="P1385" s="5">
        <v>26126.807131356076</v>
      </c>
      <c r="Q1385" s="5">
        <v>14064.158297039334</v>
      </c>
      <c r="R1385" s="5">
        <v>7394.6358885760465</v>
      </c>
    </row>
    <row r="1386" spans="9:18">
      <c r="I1386" s="4">
        <v>1371</v>
      </c>
      <c r="J1386" s="5">
        <v>28169.050633834027</v>
      </c>
      <c r="K1386" s="5">
        <v>13520.836427679104</v>
      </c>
      <c r="L1386" s="5">
        <v>15923.549351835489</v>
      </c>
      <c r="M1386" s="5">
        <v>23449.501569180404</v>
      </c>
      <c r="N1386" s="5">
        <v>11751.639947035985</v>
      </c>
      <c r="O1386" s="5">
        <v>5909.5347260996277</v>
      </c>
      <c r="P1386" s="5">
        <v>16072.735485912413</v>
      </c>
      <c r="Q1386" s="5">
        <v>3909.239690544402</v>
      </c>
      <c r="R1386" s="5">
        <v>14079.827908007112</v>
      </c>
    </row>
    <row r="1387" spans="9:18">
      <c r="I1387" s="4">
        <v>1372</v>
      </c>
      <c r="J1387" s="5">
        <v>18650.249281571734</v>
      </c>
      <c r="K1387" s="5">
        <v>10931.803935361211</v>
      </c>
      <c r="L1387" s="5">
        <v>18215.751370765771</v>
      </c>
      <c r="M1387" s="5">
        <v>31472.019071027709</v>
      </c>
      <c r="N1387" s="5">
        <v>34295.124147811541</v>
      </c>
      <c r="O1387" s="5">
        <v>13613.378495715853</v>
      </c>
      <c r="P1387" s="5">
        <v>54292.749740228588</v>
      </c>
      <c r="Q1387" s="5">
        <v>8502.450657922871</v>
      </c>
      <c r="R1387" s="5">
        <v>19133.693426869788</v>
      </c>
    </row>
    <row r="1388" spans="9:18">
      <c r="I1388" s="4">
        <v>1373</v>
      </c>
      <c r="J1388" s="5">
        <v>11854.381651026555</v>
      </c>
      <c r="K1388" s="5">
        <v>16081.362509465702</v>
      </c>
      <c r="L1388" s="5">
        <v>21428.663623484812</v>
      </c>
      <c r="M1388" s="5">
        <v>16881.579299055</v>
      </c>
      <c r="N1388" s="5">
        <v>20558.672182394013</v>
      </c>
      <c r="O1388" s="5">
        <v>41800.463215706819</v>
      </c>
      <c r="P1388" s="5">
        <v>14376.883105731285</v>
      </c>
      <c r="Q1388" s="5">
        <v>100789.83462564547</v>
      </c>
      <c r="R1388" s="5">
        <v>2071.5141323269809</v>
      </c>
    </row>
    <row r="1389" spans="9:18">
      <c r="I1389" s="4">
        <v>1374</v>
      </c>
      <c r="J1389" s="5">
        <v>11116.191595722205</v>
      </c>
      <c r="K1389" s="5">
        <v>14136.873097602549</v>
      </c>
      <c r="L1389" s="5">
        <v>14610.165745300763</v>
      </c>
      <c r="M1389" s="5">
        <v>21072.983263501868</v>
      </c>
      <c r="N1389" s="5">
        <v>18367.429489032103</v>
      </c>
      <c r="O1389" s="5">
        <v>18637.945795127704</v>
      </c>
      <c r="P1389" s="5">
        <v>34768.042801665702</v>
      </c>
      <c r="Q1389" s="5">
        <v>59134.059519022907</v>
      </c>
      <c r="R1389" s="5">
        <v>91403.228438796665</v>
      </c>
    </row>
    <row r="1390" spans="9:18">
      <c r="I1390" s="4">
        <v>1375</v>
      </c>
      <c r="J1390" s="5">
        <v>16511.332839561353</v>
      </c>
      <c r="K1390" s="5">
        <v>43843.85059185313</v>
      </c>
      <c r="L1390" s="5">
        <v>14264.23790876064</v>
      </c>
      <c r="M1390" s="5">
        <v>12426.949970383979</v>
      </c>
      <c r="N1390" s="5">
        <v>36962.805083900916</v>
      </c>
      <c r="O1390" s="5">
        <v>8121.6248378263163</v>
      </c>
      <c r="P1390" s="5">
        <v>27373.102585108634</v>
      </c>
      <c r="Q1390" s="5">
        <v>28776.080424849053</v>
      </c>
      <c r="R1390" s="5">
        <v>8105.1944146993656</v>
      </c>
    </row>
    <row r="1391" spans="9:18">
      <c r="I1391" s="4">
        <v>1376</v>
      </c>
      <c r="J1391" s="5">
        <v>14671.176405938595</v>
      </c>
      <c r="K1391" s="5">
        <v>15782.544184844044</v>
      </c>
      <c r="L1391" s="5">
        <v>22162.138529251199</v>
      </c>
      <c r="M1391" s="5">
        <v>25580.243606220469</v>
      </c>
      <c r="N1391" s="5">
        <v>9989.086510768735</v>
      </c>
      <c r="O1391" s="5">
        <v>20930.098352661731</v>
      </c>
      <c r="P1391" s="5">
        <v>9826.8369575407578</v>
      </c>
      <c r="Q1391" s="5">
        <v>19541.409060825732</v>
      </c>
      <c r="R1391" s="5">
        <v>23583.884732956092</v>
      </c>
    </row>
    <row r="1392" spans="9:18">
      <c r="I1392" s="4">
        <v>1377</v>
      </c>
      <c r="J1392" s="5">
        <v>20002.201347927807</v>
      </c>
      <c r="K1392" s="5">
        <v>30552.499930043898</v>
      </c>
      <c r="L1392" s="5">
        <v>16955.349467865559</v>
      </c>
      <c r="M1392" s="5">
        <v>23067.94260629595</v>
      </c>
      <c r="N1392" s="5">
        <v>11635.644856128632</v>
      </c>
      <c r="O1392" s="5">
        <v>30876.675913171162</v>
      </c>
      <c r="P1392" s="5">
        <v>3017.2887813579896</v>
      </c>
      <c r="Q1392" s="5">
        <v>9645.8788061228515</v>
      </c>
      <c r="R1392" s="5">
        <v>181970.23111012415</v>
      </c>
    </row>
    <row r="1393" spans="9:18">
      <c r="I1393" s="4">
        <v>1378</v>
      </c>
      <c r="J1393" s="5">
        <v>14680.308400328413</v>
      </c>
      <c r="K1393" s="5">
        <v>23934.551191616061</v>
      </c>
      <c r="L1393" s="5">
        <v>16106.634875163341</v>
      </c>
      <c r="M1393" s="5">
        <v>19795.661011456152</v>
      </c>
      <c r="N1393" s="5">
        <v>19225.139878706803</v>
      </c>
      <c r="O1393" s="5">
        <v>51330.340277512776</v>
      </c>
      <c r="P1393" s="5">
        <v>45161.732159568586</v>
      </c>
      <c r="Q1393" s="5">
        <v>15623.622662102793</v>
      </c>
      <c r="R1393" s="5">
        <v>29295.938844292672</v>
      </c>
    </row>
    <row r="1394" spans="9:18">
      <c r="I1394" s="4">
        <v>1379</v>
      </c>
      <c r="J1394" s="5">
        <v>19048.674633640545</v>
      </c>
      <c r="K1394" s="5">
        <v>34164.842952759042</v>
      </c>
      <c r="L1394" s="5">
        <v>15651.346103181355</v>
      </c>
      <c r="M1394" s="5">
        <v>10142.860128720422</v>
      </c>
      <c r="N1394" s="5">
        <v>23283.854578052265</v>
      </c>
      <c r="O1394" s="5">
        <v>66253.993323243907</v>
      </c>
      <c r="P1394" s="5">
        <v>33715.790977629549</v>
      </c>
      <c r="Q1394" s="5">
        <v>11173.074396969254</v>
      </c>
      <c r="R1394" s="5">
        <v>7394.6358885760465</v>
      </c>
    </row>
    <row r="1395" spans="9:18">
      <c r="I1395" s="4">
        <v>1380</v>
      </c>
      <c r="J1395" s="5">
        <v>15554.996700302558</v>
      </c>
      <c r="K1395" s="5">
        <v>24728.095385476983</v>
      </c>
      <c r="L1395" s="5">
        <v>18810.091753970282</v>
      </c>
      <c r="M1395" s="5">
        <v>19097.39635881727</v>
      </c>
      <c r="N1395" s="5">
        <v>14921.795973817481</v>
      </c>
      <c r="O1395" s="5">
        <v>20827.029306810669</v>
      </c>
      <c r="P1395" s="5">
        <v>48123.003747643132</v>
      </c>
      <c r="Q1395" s="5">
        <v>48866.209623168346</v>
      </c>
      <c r="R1395" s="5">
        <v>23583.884732956092</v>
      </c>
    </row>
    <row r="1396" spans="9:18">
      <c r="I1396" s="4">
        <v>1381</v>
      </c>
      <c r="J1396" s="5">
        <v>14750.660273177687</v>
      </c>
      <c r="K1396" s="5">
        <v>16199.334613834633</v>
      </c>
      <c r="L1396" s="5">
        <v>16777.996633299583</v>
      </c>
      <c r="M1396" s="5">
        <v>23449.501569180404</v>
      </c>
      <c r="N1396" s="5">
        <v>11604.12831603515</v>
      </c>
      <c r="O1396" s="5">
        <v>30656.031716467984</v>
      </c>
      <c r="P1396" s="5">
        <v>5836.7810663002319</v>
      </c>
      <c r="Q1396" s="5">
        <v>9796.0979856104404</v>
      </c>
      <c r="R1396" s="5">
        <v>7784.2246210242874</v>
      </c>
    </row>
    <row r="1397" spans="9:18">
      <c r="I1397" s="4">
        <v>1382</v>
      </c>
      <c r="J1397" s="5">
        <v>11854.381651026555</v>
      </c>
      <c r="K1397" s="5">
        <v>14021.934268028277</v>
      </c>
      <c r="L1397" s="5">
        <v>15922.087958863045</v>
      </c>
      <c r="M1397" s="5">
        <v>30830.81083227017</v>
      </c>
      <c r="N1397" s="5">
        <v>39672.376281023731</v>
      </c>
      <c r="O1397" s="5">
        <v>18637.945795127704</v>
      </c>
      <c r="P1397" s="5">
        <v>13793.886507202402</v>
      </c>
      <c r="Q1397" s="5">
        <v>6386.5227360487288</v>
      </c>
      <c r="R1397" s="5">
        <v>17304.847214362417</v>
      </c>
    </row>
    <row r="1398" spans="9:18">
      <c r="I1398" s="4">
        <v>1383</v>
      </c>
      <c r="J1398" s="5">
        <v>12452.764985867625</v>
      </c>
      <c r="K1398" s="5">
        <v>13331.01856102917</v>
      </c>
      <c r="L1398" s="5">
        <v>18379.634651549037</v>
      </c>
      <c r="M1398" s="5">
        <v>15586.009710351766</v>
      </c>
      <c r="N1398" s="5">
        <v>12297.015342318469</v>
      </c>
      <c r="O1398" s="5">
        <v>62082.6862081785</v>
      </c>
      <c r="P1398" s="5">
        <v>48123.003747643132</v>
      </c>
      <c r="Q1398" s="5">
        <v>11173.074396969254</v>
      </c>
      <c r="R1398" s="5">
        <v>41418.225609677866</v>
      </c>
    </row>
    <row r="1399" spans="9:18">
      <c r="I1399" s="4">
        <v>1384</v>
      </c>
      <c r="J1399" s="5">
        <v>15130.594750069789</v>
      </c>
      <c r="K1399" s="5">
        <v>32073.547537933715</v>
      </c>
      <c r="L1399" s="5">
        <v>17693.864646288712</v>
      </c>
      <c r="M1399" s="5">
        <v>16510.442870615672</v>
      </c>
      <c r="N1399" s="5">
        <v>25424.029865101274</v>
      </c>
      <c r="O1399" s="5">
        <v>30876.675913171162</v>
      </c>
      <c r="P1399" s="5">
        <v>10733.318076105543</v>
      </c>
      <c r="Q1399" s="5">
        <v>15623.622662102793</v>
      </c>
      <c r="R1399" s="5">
        <v>72561.496699005787</v>
      </c>
    </row>
    <row r="1400" spans="9:18">
      <c r="I1400" s="4">
        <v>1385</v>
      </c>
      <c r="J1400" s="5">
        <v>16416.142496463777</v>
      </c>
      <c r="K1400" s="5">
        <v>14351.415257675473</v>
      </c>
      <c r="L1400" s="5">
        <v>27289.607394458035</v>
      </c>
      <c r="M1400" s="5">
        <v>18043.539897080744</v>
      </c>
      <c r="N1400" s="5">
        <v>40377.252444397986</v>
      </c>
      <c r="O1400" s="5">
        <v>10738.305003664611</v>
      </c>
      <c r="P1400" s="5">
        <v>26541.896041444568</v>
      </c>
      <c r="Q1400" s="5">
        <v>22145.301831504508</v>
      </c>
      <c r="R1400" s="5">
        <v>89167.415757270224</v>
      </c>
    </row>
    <row r="1401" spans="9:18">
      <c r="I1401" s="4">
        <v>1386</v>
      </c>
      <c r="J1401" s="5">
        <v>16305.770155972396</v>
      </c>
      <c r="K1401" s="5">
        <v>14854.898507619706</v>
      </c>
      <c r="L1401" s="5">
        <v>14610.165745300763</v>
      </c>
      <c r="M1401" s="5">
        <v>13616.35938654862</v>
      </c>
      <c r="N1401" s="5">
        <v>9989.086510768735</v>
      </c>
      <c r="O1401" s="5">
        <v>27508.313315384185</v>
      </c>
      <c r="P1401" s="5">
        <v>74840.036182179319</v>
      </c>
      <c r="Q1401" s="5">
        <v>8832.660767995616</v>
      </c>
      <c r="R1401" s="5">
        <v>19133.693426869788</v>
      </c>
    </row>
    <row r="1402" spans="9:18">
      <c r="I1402" s="4">
        <v>1387</v>
      </c>
      <c r="J1402" s="5">
        <v>16511.332839561353</v>
      </c>
      <c r="K1402" s="5">
        <v>11857.447519815871</v>
      </c>
      <c r="L1402" s="5">
        <v>17073.17760523731</v>
      </c>
      <c r="M1402" s="5">
        <v>12735.841453044006</v>
      </c>
      <c r="N1402" s="5">
        <v>22735.120948269971</v>
      </c>
      <c r="O1402" s="5">
        <v>25644.588869829797</v>
      </c>
      <c r="P1402" s="5">
        <v>55119.366528283317</v>
      </c>
      <c r="Q1402" s="5">
        <v>100789.83462564547</v>
      </c>
      <c r="R1402" s="5">
        <v>41418.225609677866</v>
      </c>
    </row>
    <row r="1403" spans="9:18">
      <c r="I1403" s="4">
        <v>1388</v>
      </c>
      <c r="J1403" s="5">
        <v>9368.8270679249108</v>
      </c>
      <c r="K1403" s="5">
        <v>12026.500118162745</v>
      </c>
      <c r="L1403" s="5">
        <v>13023.361770761438</v>
      </c>
      <c r="M1403" s="5">
        <v>29041.83725675238</v>
      </c>
      <c r="N1403" s="5">
        <v>13511.694619545402</v>
      </c>
      <c r="O1403" s="5">
        <v>10676.618215263648</v>
      </c>
      <c r="P1403" s="5">
        <v>13452.921824087563</v>
      </c>
      <c r="Q1403" s="5">
        <v>28776.080424849053</v>
      </c>
      <c r="R1403" s="5">
        <v>6360.7905155660001</v>
      </c>
    </row>
    <row r="1404" spans="9:18">
      <c r="I1404" s="4">
        <v>1389</v>
      </c>
      <c r="J1404" s="5">
        <v>22812.564910649318</v>
      </c>
      <c r="K1404" s="5">
        <v>95171.967522309933</v>
      </c>
      <c r="L1404" s="5">
        <v>18810.091753970282</v>
      </c>
      <c r="M1404" s="5">
        <v>36301.422888051464</v>
      </c>
      <c r="N1404" s="5">
        <v>8555.1229659096207</v>
      </c>
      <c r="O1404" s="5">
        <v>4231.3144655921506</v>
      </c>
      <c r="P1404" s="5">
        <v>44646.134934589521</v>
      </c>
      <c r="Q1404" s="5">
        <v>7457.1844090365566</v>
      </c>
      <c r="R1404" s="5">
        <v>81423.874800517297</v>
      </c>
    </row>
    <row r="1405" spans="9:18">
      <c r="I1405" s="4">
        <v>1390</v>
      </c>
      <c r="J1405" s="5">
        <v>14594.990625703947</v>
      </c>
      <c r="K1405" s="5">
        <v>14854.898507619706</v>
      </c>
      <c r="L1405" s="5">
        <v>14264.23790876064</v>
      </c>
      <c r="M1405" s="5">
        <v>23067.94260629595</v>
      </c>
      <c r="N1405" s="5">
        <v>17891.96347244953</v>
      </c>
      <c r="O1405" s="5">
        <v>13966.178986479143</v>
      </c>
      <c r="P1405" s="5">
        <v>34814.458119125498</v>
      </c>
      <c r="Q1405" s="5">
        <v>27789.973552634947</v>
      </c>
      <c r="R1405" s="5">
        <v>17304.847214362417</v>
      </c>
    </row>
    <row r="1406" spans="9:18">
      <c r="I1406" s="4">
        <v>1391</v>
      </c>
      <c r="J1406" s="5">
        <v>14750.660273177687</v>
      </c>
      <c r="K1406" s="5">
        <v>16605.655749562578</v>
      </c>
      <c r="L1406" s="5">
        <v>13358.459356674217</v>
      </c>
      <c r="M1406" s="5">
        <v>41698.977215629871</v>
      </c>
      <c r="N1406" s="5">
        <v>9209.4418830788036</v>
      </c>
      <c r="O1406" s="5">
        <v>42492.261063288854</v>
      </c>
      <c r="P1406" s="5">
        <v>27708.613526855763</v>
      </c>
      <c r="Q1406" s="5">
        <v>37073.980790337926</v>
      </c>
      <c r="R1406" s="5">
        <v>86510.608303273053</v>
      </c>
    </row>
    <row r="1407" spans="9:18">
      <c r="I1407" s="4">
        <v>1392</v>
      </c>
      <c r="J1407" s="5">
        <v>15623.733864199699</v>
      </c>
      <c r="K1407" s="5">
        <v>18218.584572172625</v>
      </c>
      <c r="L1407" s="5">
        <v>25389.332759288587</v>
      </c>
      <c r="M1407" s="5">
        <v>14432.283063351901</v>
      </c>
      <c r="N1407" s="5">
        <v>8104.6265149430556</v>
      </c>
      <c r="O1407" s="5">
        <v>20827.029306810669</v>
      </c>
      <c r="P1407" s="5">
        <v>55152.110177667731</v>
      </c>
      <c r="Q1407" s="5">
        <v>52421.574537857021</v>
      </c>
      <c r="R1407" s="5">
        <v>41418.225609677866</v>
      </c>
    </row>
    <row r="1408" spans="9:18">
      <c r="I1408" s="4">
        <v>1393</v>
      </c>
      <c r="J1408" s="5">
        <v>11854.381651026555</v>
      </c>
      <c r="K1408" s="5">
        <v>14854.898507619706</v>
      </c>
      <c r="L1408" s="5">
        <v>16071.260291253868</v>
      </c>
      <c r="M1408" s="5">
        <v>23913.435663027711</v>
      </c>
      <c r="N1408" s="5">
        <v>15786.177386596903</v>
      </c>
      <c r="O1408" s="5">
        <v>9956.4031238965053</v>
      </c>
      <c r="P1408" s="5">
        <v>20403.656304140692</v>
      </c>
      <c r="Q1408" s="5">
        <v>28078.365156847896</v>
      </c>
      <c r="R1408" s="5">
        <v>93933.045103013996</v>
      </c>
    </row>
    <row r="1409" spans="9:18">
      <c r="I1409" s="4">
        <v>1394</v>
      </c>
      <c r="J1409" s="5">
        <v>27392.038553726634</v>
      </c>
      <c r="K1409" s="5">
        <v>14021.934268028277</v>
      </c>
      <c r="L1409" s="5">
        <v>17845.207337527903</v>
      </c>
      <c r="M1409" s="5">
        <v>11680.747299075838</v>
      </c>
      <c r="N1409" s="5">
        <v>37309.151967087455</v>
      </c>
      <c r="O1409" s="5">
        <v>24422.445067017139</v>
      </c>
      <c r="P1409" s="5">
        <v>5836.7810663002319</v>
      </c>
      <c r="Q1409" s="5">
        <v>9652.8114206999071</v>
      </c>
      <c r="R1409" s="5">
        <v>17304.847214362417</v>
      </c>
    </row>
    <row r="1410" spans="9:18">
      <c r="I1410" s="4">
        <v>1395</v>
      </c>
      <c r="J1410" s="5">
        <v>13447.638004246244</v>
      </c>
      <c r="K1410" s="5">
        <v>16081.362509465702</v>
      </c>
      <c r="L1410" s="5">
        <v>15471.738323660695</v>
      </c>
      <c r="M1410" s="5">
        <v>16510.442870615672</v>
      </c>
      <c r="N1410" s="5">
        <v>20292.069765667391</v>
      </c>
      <c r="O1410" s="5">
        <v>27508.313315384185</v>
      </c>
      <c r="P1410" s="5">
        <v>17643.087208586294</v>
      </c>
      <c r="Q1410" s="5">
        <v>7349.2234634219121</v>
      </c>
      <c r="R1410" s="5">
        <v>8720.6503563381029</v>
      </c>
    </row>
    <row r="1411" spans="9:18">
      <c r="I1411" s="4">
        <v>1396</v>
      </c>
      <c r="J1411" s="5">
        <v>14710.037865351254</v>
      </c>
      <c r="K1411" s="5">
        <v>95171.967522309933</v>
      </c>
      <c r="L1411" s="5">
        <v>16777.996633299583</v>
      </c>
      <c r="M1411" s="5">
        <v>20229.919588372999</v>
      </c>
      <c r="N1411" s="5">
        <v>42744.618431291936</v>
      </c>
      <c r="O1411" s="5">
        <v>10270.120415297655</v>
      </c>
      <c r="P1411" s="5">
        <v>49519.098753410741</v>
      </c>
      <c r="Q1411" s="5">
        <v>4631.7430487757983</v>
      </c>
      <c r="R1411" s="5">
        <v>51358.6267760993</v>
      </c>
    </row>
    <row r="1412" spans="9:18">
      <c r="I1412" s="4">
        <v>1397</v>
      </c>
      <c r="J1412" s="5">
        <v>73074.062486361407</v>
      </c>
      <c r="K1412" s="5">
        <v>17128.860847126922</v>
      </c>
      <c r="L1412" s="5">
        <v>17482.478480142941</v>
      </c>
      <c r="M1412" s="5">
        <v>21272.00214469912</v>
      </c>
      <c r="N1412" s="5">
        <v>13745.376566850549</v>
      </c>
      <c r="O1412" s="5">
        <v>24369.28567093279</v>
      </c>
      <c r="P1412" s="5">
        <v>48123.003747643132</v>
      </c>
      <c r="Q1412" s="5">
        <v>19541.409060825732</v>
      </c>
      <c r="R1412" s="5">
        <v>46004.399892616471</v>
      </c>
    </row>
    <row r="1413" spans="9:18">
      <c r="I1413" s="4">
        <v>1398</v>
      </c>
      <c r="J1413" s="5">
        <v>19121.054099180623</v>
      </c>
      <c r="K1413" s="5">
        <v>9739.7813029644258</v>
      </c>
      <c r="L1413" s="5">
        <v>34748.877779456467</v>
      </c>
      <c r="M1413" s="5">
        <v>11860.862376247747</v>
      </c>
      <c r="N1413" s="5">
        <v>15251.140047572881</v>
      </c>
      <c r="O1413" s="5">
        <v>30608.431994348266</v>
      </c>
      <c r="P1413" s="5">
        <v>54100.778483493887</v>
      </c>
      <c r="Q1413" s="5">
        <v>48866.209623168346</v>
      </c>
      <c r="R1413" s="5">
        <v>31715.273557891396</v>
      </c>
    </row>
    <row r="1414" spans="9:18">
      <c r="I1414" s="4">
        <v>1399</v>
      </c>
      <c r="J1414" s="5">
        <v>16016.491239086423</v>
      </c>
      <c r="K1414" s="5">
        <v>15487.124352801369</v>
      </c>
      <c r="L1414" s="5">
        <v>19078.910217042379</v>
      </c>
      <c r="M1414" s="5">
        <v>19097.39635881727</v>
      </c>
      <c r="N1414" s="5">
        <v>13909.728487455486</v>
      </c>
      <c r="O1414" s="5">
        <v>27084.483614751469</v>
      </c>
      <c r="P1414" s="5">
        <v>27452.975716953504</v>
      </c>
      <c r="Q1414" s="5">
        <v>22483.395143121877</v>
      </c>
      <c r="R1414" s="5">
        <v>34970.397641695177</v>
      </c>
    </row>
    <row r="1415" spans="9:18">
      <c r="I1415" s="4">
        <v>1400</v>
      </c>
      <c r="J1415" s="5">
        <v>16145.071869702888</v>
      </c>
      <c r="K1415" s="5">
        <v>13331.01856102917</v>
      </c>
      <c r="L1415" s="5">
        <v>14815.394001212817</v>
      </c>
      <c r="M1415" s="5">
        <v>9623.0342442006167</v>
      </c>
      <c r="N1415" s="5">
        <v>20718.434293991453</v>
      </c>
      <c r="O1415" s="5">
        <v>30608.431994348266</v>
      </c>
      <c r="P1415" s="5">
        <v>28537.545734403488</v>
      </c>
      <c r="Q1415" s="5">
        <v>25156.033327562815</v>
      </c>
      <c r="R1415" s="5">
        <v>5865.9802599669383</v>
      </c>
    </row>
    <row r="1416" spans="9:18">
      <c r="I1416" s="4">
        <v>1401</v>
      </c>
      <c r="J1416" s="5">
        <v>22188.291830993156</v>
      </c>
      <c r="K1416" s="5">
        <v>34058.671324159091</v>
      </c>
      <c r="L1416" s="5">
        <v>16071.260291253868</v>
      </c>
      <c r="M1416" s="5">
        <v>21833.004790208965</v>
      </c>
      <c r="N1416" s="5">
        <v>22735.120948269971</v>
      </c>
      <c r="O1416" s="5">
        <v>66253.993323243907</v>
      </c>
      <c r="P1416" s="5">
        <v>66904.018529955298</v>
      </c>
      <c r="Q1416" s="5">
        <v>79566.621912742485</v>
      </c>
      <c r="R1416" s="5">
        <v>14051.647494499957</v>
      </c>
    </row>
    <row r="1417" spans="9:18">
      <c r="I1417" s="4">
        <v>1402</v>
      </c>
      <c r="J1417" s="5">
        <v>12035.382213755307</v>
      </c>
      <c r="K1417" s="5">
        <v>32294.121255311245</v>
      </c>
      <c r="L1417" s="5">
        <v>18634.523182776735</v>
      </c>
      <c r="M1417" s="5">
        <v>19151.339770278159</v>
      </c>
      <c r="N1417" s="5">
        <v>12297.015342318469</v>
      </c>
      <c r="O1417" s="5">
        <v>62082.6862081785</v>
      </c>
      <c r="P1417" s="5">
        <v>17974.179326980211</v>
      </c>
      <c r="Q1417" s="5">
        <v>13214.632802255031</v>
      </c>
      <c r="R1417" s="5">
        <v>33863.04333215439</v>
      </c>
    </row>
    <row r="1418" spans="9:18">
      <c r="I1418" s="4">
        <v>1403</v>
      </c>
      <c r="J1418" s="5">
        <v>16416.142496463777</v>
      </c>
      <c r="K1418" s="5">
        <v>18218.584572172625</v>
      </c>
      <c r="L1418" s="5">
        <v>15471.738323660695</v>
      </c>
      <c r="M1418" s="5">
        <v>37411.178129764201</v>
      </c>
      <c r="N1418" s="5">
        <v>41563.89847100406</v>
      </c>
      <c r="O1418" s="5">
        <v>51330.340277512776</v>
      </c>
      <c r="P1418" s="5">
        <v>77603.711720266961</v>
      </c>
      <c r="Q1418" s="5">
        <v>68168.482468129529</v>
      </c>
      <c r="R1418" s="5">
        <v>87776.138236389699</v>
      </c>
    </row>
    <row r="1419" spans="9:18">
      <c r="I1419" s="4">
        <v>1404</v>
      </c>
      <c r="J1419" s="5">
        <v>14671.176405938595</v>
      </c>
      <c r="K1419" s="5">
        <v>14017.262946034314</v>
      </c>
      <c r="L1419" s="5">
        <v>15746.942257105531</v>
      </c>
      <c r="M1419" s="5">
        <v>31472.019071027709</v>
      </c>
      <c r="N1419" s="5">
        <v>22735.120948269971</v>
      </c>
      <c r="O1419" s="5">
        <v>59207.798737851255</v>
      </c>
      <c r="P1419" s="5">
        <v>77603.711720266961</v>
      </c>
      <c r="Q1419" s="5">
        <v>13865.641566869812</v>
      </c>
      <c r="R1419" s="5">
        <v>302760.11878714536</v>
      </c>
    </row>
    <row r="1420" spans="9:18">
      <c r="I1420" s="4">
        <v>1405</v>
      </c>
      <c r="J1420" s="5">
        <v>12035.382213755307</v>
      </c>
      <c r="K1420" s="5">
        <v>16665.1498926479</v>
      </c>
      <c r="L1420" s="5">
        <v>14146.191653372813</v>
      </c>
      <c r="M1420" s="5">
        <v>16881.579299055</v>
      </c>
      <c r="N1420" s="5">
        <v>17891.96347244953</v>
      </c>
      <c r="O1420" s="5">
        <v>16462.170789592048</v>
      </c>
      <c r="P1420" s="5">
        <v>10532.667493814919</v>
      </c>
      <c r="Q1420" s="5">
        <v>28078.365156847896</v>
      </c>
      <c r="R1420" s="5">
        <v>216919.53009911609</v>
      </c>
    </row>
    <row r="1421" spans="9:18">
      <c r="I1421" s="4">
        <v>1406</v>
      </c>
      <c r="J1421" s="5">
        <v>8580.4413740966302</v>
      </c>
      <c r="K1421" s="5">
        <v>34164.842952759042</v>
      </c>
      <c r="L1421" s="5">
        <v>13867.07093008449</v>
      </c>
      <c r="M1421" s="5">
        <v>31460.745851561904</v>
      </c>
      <c r="N1421" s="5">
        <v>23583.581287126868</v>
      </c>
      <c r="O1421" s="5">
        <v>5444.7598502623823</v>
      </c>
      <c r="P1421" s="5">
        <v>10966.822219855034</v>
      </c>
      <c r="Q1421" s="5">
        <v>79566.621912742485</v>
      </c>
      <c r="R1421" s="5">
        <v>59414.886464347241</v>
      </c>
    </row>
    <row r="1422" spans="9:18">
      <c r="I1422" s="4">
        <v>1407</v>
      </c>
      <c r="J1422" s="5">
        <v>28590.354879265724</v>
      </c>
      <c r="K1422" s="5">
        <v>11507.182177474708</v>
      </c>
      <c r="L1422" s="5">
        <v>15759.954187048656</v>
      </c>
      <c r="M1422" s="5">
        <v>26477.996319655329</v>
      </c>
      <c r="N1422" s="5">
        <v>16148.901635865295</v>
      </c>
      <c r="O1422" s="5">
        <v>27195.510785031525</v>
      </c>
      <c r="P1422" s="5">
        <v>74840.036182179319</v>
      </c>
      <c r="Q1422" s="5">
        <v>20987.925664394581</v>
      </c>
      <c r="R1422" s="5">
        <v>12130.167062525341</v>
      </c>
    </row>
    <row r="1423" spans="9:18">
      <c r="I1423" s="4">
        <v>1408</v>
      </c>
      <c r="J1423" s="5">
        <v>21150.169973104224</v>
      </c>
      <c r="K1423" s="5">
        <v>11507.182177474708</v>
      </c>
      <c r="L1423" s="5">
        <v>17716.90539191998</v>
      </c>
      <c r="M1423" s="5">
        <v>30785.663999045999</v>
      </c>
      <c r="N1423" s="5">
        <v>17214.078970533748</v>
      </c>
      <c r="O1423" s="5">
        <v>5909.5347260996277</v>
      </c>
      <c r="P1423" s="5">
        <v>44646.134934589521</v>
      </c>
      <c r="Q1423" s="5">
        <v>37802.358878968138</v>
      </c>
      <c r="R1423" s="5">
        <v>27349.63499959607</v>
      </c>
    </row>
    <row r="1424" spans="9:18">
      <c r="I1424" s="4">
        <v>1409</v>
      </c>
      <c r="J1424" s="5">
        <v>12701.339251949787</v>
      </c>
      <c r="K1424" s="5">
        <v>14095.75230105142</v>
      </c>
      <c r="L1424" s="5">
        <v>13037.115556745504</v>
      </c>
      <c r="M1424" s="5">
        <v>32751.734100446065</v>
      </c>
      <c r="N1424" s="5">
        <v>23998.040874392525</v>
      </c>
      <c r="O1424" s="5">
        <v>20489.622805425737</v>
      </c>
      <c r="P1424" s="5">
        <v>38024.168395914428</v>
      </c>
      <c r="Q1424" s="5">
        <v>9645.8788061228515</v>
      </c>
      <c r="R1424" s="5">
        <v>18720.450716365784</v>
      </c>
    </row>
    <row r="1425" spans="9:18">
      <c r="I1425" s="4">
        <v>1410</v>
      </c>
      <c r="J1425" s="5">
        <v>13447.638004246244</v>
      </c>
      <c r="K1425" s="5">
        <v>32294.121255311245</v>
      </c>
      <c r="L1425" s="5">
        <v>15471.738323660695</v>
      </c>
      <c r="M1425" s="5">
        <v>31554.722481137964</v>
      </c>
      <c r="N1425" s="5">
        <v>45581.602064432409</v>
      </c>
      <c r="O1425" s="5">
        <v>45451.954570113048</v>
      </c>
      <c r="P1425" s="5">
        <v>29283.825979394511</v>
      </c>
      <c r="Q1425" s="5">
        <v>3909.239690544402</v>
      </c>
      <c r="R1425" s="5">
        <v>17304.847214362417</v>
      </c>
    </row>
    <row r="1426" spans="9:18">
      <c r="I1426" s="4">
        <v>1411</v>
      </c>
      <c r="J1426" s="5">
        <v>21717.214093683677</v>
      </c>
      <c r="K1426" s="5">
        <v>16665.1498926479</v>
      </c>
      <c r="L1426" s="5">
        <v>22018.381599979773</v>
      </c>
      <c r="M1426" s="5">
        <v>17542.15972125496</v>
      </c>
      <c r="N1426" s="5">
        <v>57711.498171893618</v>
      </c>
      <c r="O1426" s="5">
        <v>8801.3667015774663</v>
      </c>
      <c r="P1426" s="5">
        <v>40377.463755170742</v>
      </c>
      <c r="Q1426" s="5">
        <v>13099.063525342741</v>
      </c>
      <c r="R1426" s="5">
        <v>6360.7905155660001</v>
      </c>
    </row>
    <row r="1427" spans="9:18">
      <c r="I1427" s="4">
        <v>1412</v>
      </c>
      <c r="J1427" s="5">
        <v>14710.037865351254</v>
      </c>
      <c r="K1427" s="5">
        <v>16132.555399908759</v>
      </c>
      <c r="L1427" s="5">
        <v>16577.562442697115</v>
      </c>
      <c r="M1427" s="5">
        <v>36301.422888051464</v>
      </c>
      <c r="N1427" s="5">
        <v>28426.778914975595</v>
      </c>
      <c r="O1427" s="5">
        <v>94068.324736096256</v>
      </c>
      <c r="P1427" s="5">
        <v>13793.886507202402</v>
      </c>
      <c r="Q1427" s="5">
        <v>10151.908492905288</v>
      </c>
      <c r="R1427" s="5">
        <v>8105.1944146993656</v>
      </c>
    </row>
    <row r="1428" spans="9:18">
      <c r="I1428" s="4">
        <v>1413</v>
      </c>
      <c r="J1428" s="5">
        <v>14749.343145806102</v>
      </c>
      <c r="K1428" s="5">
        <v>13520.836427679104</v>
      </c>
      <c r="L1428" s="5">
        <v>14610.165745300763</v>
      </c>
      <c r="M1428" s="5">
        <v>16881.579299055</v>
      </c>
      <c r="N1428" s="5">
        <v>19225.139878706803</v>
      </c>
      <c r="O1428" s="5">
        <v>40942.522561879181</v>
      </c>
      <c r="P1428" s="5">
        <v>35213.322626437533</v>
      </c>
      <c r="Q1428" s="5">
        <v>37277.391668005912</v>
      </c>
      <c r="R1428" s="5">
        <v>302760.11878714536</v>
      </c>
    </row>
    <row r="1429" spans="9:18">
      <c r="I1429" s="4">
        <v>1414</v>
      </c>
      <c r="J1429" s="5">
        <v>16459.003095225507</v>
      </c>
      <c r="K1429" s="5">
        <v>26110.948843472826</v>
      </c>
      <c r="L1429" s="5">
        <v>29265.217478369766</v>
      </c>
      <c r="M1429" s="5">
        <v>21833.004790208965</v>
      </c>
      <c r="N1429" s="5">
        <v>24020.875410266352</v>
      </c>
      <c r="O1429" s="5">
        <v>32474.063027682765</v>
      </c>
      <c r="P1429" s="5">
        <v>45161.732159568586</v>
      </c>
      <c r="Q1429" s="5">
        <v>8880.8074399558282</v>
      </c>
      <c r="R1429" s="5">
        <v>7394.6358885760465</v>
      </c>
    </row>
    <row r="1430" spans="9:18">
      <c r="I1430" s="4">
        <v>1415</v>
      </c>
      <c r="J1430" s="5">
        <v>15648.665245032147</v>
      </c>
      <c r="K1430" s="5">
        <v>29672.680843304515</v>
      </c>
      <c r="L1430" s="5">
        <v>15746.942257105531</v>
      </c>
      <c r="M1430" s="5">
        <v>15586.009710351766</v>
      </c>
      <c r="N1430" s="5">
        <v>15130.853682762778</v>
      </c>
      <c r="O1430" s="5">
        <v>3171.3006415671193</v>
      </c>
      <c r="P1430" s="5">
        <v>41657.50350099193</v>
      </c>
      <c r="Q1430" s="5">
        <v>9138.5169630896526</v>
      </c>
      <c r="R1430" s="5">
        <v>18349.337771428582</v>
      </c>
    </row>
    <row r="1431" spans="9:18">
      <c r="I1431" s="4">
        <v>1416</v>
      </c>
      <c r="J1431" s="5">
        <v>16156.372629961115</v>
      </c>
      <c r="K1431" s="5">
        <v>30552.499930043898</v>
      </c>
      <c r="L1431" s="5">
        <v>16955.349467865559</v>
      </c>
      <c r="M1431" s="5">
        <v>20041.623430301417</v>
      </c>
      <c r="N1431" s="5">
        <v>18410.937863650517</v>
      </c>
      <c r="O1431" s="5">
        <v>18637.945795127704</v>
      </c>
      <c r="P1431" s="5">
        <v>14773.185437294762</v>
      </c>
      <c r="Q1431" s="5">
        <v>30495.121067047665</v>
      </c>
      <c r="R1431" s="5">
        <v>39263.770877572199</v>
      </c>
    </row>
    <row r="1432" spans="9:18">
      <c r="I1432" s="4">
        <v>1417</v>
      </c>
      <c r="J1432" s="5">
        <v>14420.293087375476</v>
      </c>
      <c r="K1432" s="5">
        <v>95171.967522309933</v>
      </c>
      <c r="L1432" s="5">
        <v>17845.207337527903</v>
      </c>
      <c r="M1432" s="5">
        <v>12619.198742021435</v>
      </c>
      <c r="N1432" s="5">
        <v>26152.705108198839</v>
      </c>
      <c r="O1432" s="5">
        <v>13117.417685535194</v>
      </c>
      <c r="P1432" s="5">
        <v>14773.185437294762</v>
      </c>
      <c r="Q1432" s="5">
        <v>4924.9171270300558</v>
      </c>
      <c r="R1432" s="5">
        <v>7952.6989268572033</v>
      </c>
    </row>
    <row r="1433" spans="9:18">
      <c r="I1433" s="4">
        <v>1418</v>
      </c>
      <c r="J1433" s="5">
        <v>16016.491239086423</v>
      </c>
      <c r="K1433" s="5">
        <v>14611.618478071941</v>
      </c>
      <c r="L1433" s="5">
        <v>19078.910217042379</v>
      </c>
      <c r="M1433" s="5">
        <v>32751.734100446065</v>
      </c>
      <c r="N1433" s="5">
        <v>48565.498233359976</v>
      </c>
      <c r="O1433" s="5">
        <v>5909.5347260996277</v>
      </c>
      <c r="P1433" s="5">
        <v>34768.042801665702</v>
      </c>
      <c r="Q1433" s="5">
        <v>20883.852062640355</v>
      </c>
      <c r="R1433" s="5">
        <v>3989.7956692889929</v>
      </c>
    </row>
    <row r="1434" spans="9:18">
      <c r="I1434" s="4">
        <v>1419</v>
      </c>
      <c r="J1434" s="5">
        <v>16788.081681455456</v>
      </c>
      <c r="K1434" s="5">
        <v>23934.551191616061</v>
      </c>
      <c r="L1434" s="5">
        <v>16451.333928028147</v>
      </c>
      <c r="M1434" s="5">
        <v>19430.369425783585</v>
      </c>
      <c r="N1434" s="5">
        <v>18367.429489032103</v>
      </c>
      <c r="O1434" s="5">
        <v>83458.030763693328</v>
      </c>
      <c r="P1434" s="5">
        <v>16650.229067545235</v>
      </c>
      <c r="Q1434" s="5">
        <v>15663.43865741136</v>
      </c>
      <c r="R1434" s="5">
        <v>76851.431017396084</v>
      </c>
    </row>
    <row r="1435" spans="9:18">
      <c r="I1435" s="4">
        <v>1420</v>
      </c>
      <c r="J1435" s="5">
        <v>13391.049101507895</v>
      </c>
      <c r="K1435" s="5">
        <v>21958.925144875713</v>
      </c>
      <c r="L1435" s="5">
        <v>17311.244744664215</v>
      </c>
      <c r="M1435" s="5">
        <v>20041.623430301417</v>
      </c>
      <c r="N1435" s="5">
        <v>11604.12831603515</v>
      </c>
      <c r="O1435" s="5">
        <v>9320.7026593487881</v>
      </c>
      <c r="P1435" s="5">
        <v>10180.109839011631</v>
      </c>
      <c r="Q1435" s="5">
        <v>8474.2603471579441</v>
      </c>
      <c r="R1435" s="5">
        <v>3311.4906988006405</v>
      </c>
    </row>
    <row r="1436" spans="9:18">
      <c r="I1436" s="4">
        <v>1421</v>
      </c>
      <c r="J1436" s="5">
        <v>14750.660273177687</v>
      </c>
      <c r="K1436" s="5">
        <v>16665.1498926479</v>
      </c>
      <c r="L1436" s="5">
        <v>22162.138529251199</v>
      </c>
      <c r="M1436" s="5">
        <v>23908.621352410395</v>
      </c>
      <c r="N1436" s="5">
        <v>22511.351424689696</v>
      </c>
      <c r="O1436" s="5">
        <v>24369.28567093279</v>
      </c>
      <c r="P1436" s="5">
        <v>29283.825979394511</v>
      </c>
      <c r="Q1436" s="5">
        <v>6386.5227360487288</v>
      </c>
      <c r="R1436" s="5">
        <v>93933.045103013996</v>
      </c>
    </row>
    <row r="1437" spans="9:18">
      <c r="I1437" s="4">
        <v>1422</v>
      </c>
      <c r="J1437" s="5">
        <v>26634.853073396614</v>
      </c>
      <c r="K1437" s="5">
        <v>43843.85059185313</v>
      </c>
      <c r="L1437" s="5">
        <v>17693.864646288712</v>
      </c>
      <c r="M1437" s="5">
        <v>12619.198742021435</v>
      </c>
      <c r="N1437" s="5">
        <v>32184.535272543482</v>
      </c>
      <c r="O1437" s="5">
        <v>13117.417685535194</v>
      </c>
      <c r="P1437" s="5">
        <v>18862.487147419793</v>
      </c>
      <c r="Q1437" s="5">
        <v>20883.852062640355</v>
      </c>
      <c r="R1437" s="5">
        <v>24831.679362998926</v>
      </c>
    </row>
    <row r="1438" spans="9:18">
      <c r="I1438" s="4">
        <v>1423</v>
      </c>
      <c r="J1438" s="5">
        <v>11116.191595722205</v>
      </c>
      <c r="K1438" s="5">
        <v>23934.551191616061</v>
      </c>
      <c r="L1438" s="5">
        <v>15471.738323660695</v>
      </c>
      <c r="M1438" s="5">
        <v>13642.678686731051</v>
      </c>
      <c r="N1438" s="5">
        <v>40377.252444397986</v>
      </c>
      <c r="O1438" s="5">
        <v>77417.02098927302</v>
      </c>
      <c r="P1438" s="5">
        <v>32167.874670939738</v>
      </c>
      <c r="Q1438" s="5">
        <v>59134.059519022907</v>
      </c>
      <c r="R1438" s="5">
        <v>114016.93673542379</v>
      </c>
    </row>
    <row r="1439" spans="9:18">
      <c r="I1439" s="4">
        <v>1424</v>
      </c>
      <c r="J1439" s="5">
        <v>13841.207384998772</v>
      </c>
      <c r="K1439" s="5">
        <v>11206.053243692098</v>
      </c>
      <c r="L1439" s="5">
        <v>14364.472927446199</v>
      </c>
      <c r="M1439" s="5">
        <v>32751.734100446065</v>
      </c>
      <c r="N1439" s="5">
        <v>46248.895746171031</v>
      </c>
      <c r="O1439" s="5">
        <v>53028.643350899503</v>
      </c>
      <c r="P1439" s="5">
        <v>21933.779100635442</v>
      </c>
      <c r="Q1439" s="5">
        <v>29432.473148002948</v>
      </c>
      <c r="R1439" s="5">
        <v>10885.018205103002</v>
      </c>
    </row>
    <row r="1440" spans="9:18">
      <c r="I1440" s="4">
        <v>1425</v>
      </c>
      <c r="J1440" s="5">
        <v>73074.062486361407</v>
      </c>
      <c r="K1440" s="5">
        <v>13331.01856102917</v>
      </c>
      <c r="L1440" s="5">
        <v>15225.811035017256</v>
      </c>
      <c r="M1440" s="5">
        <v>10142.860128720422</v>
      </c>
      <c r="N1440" s="5">
        <v>25424.029865101274</v>
      </c>
      <c r="O1440" s="5">
        <v>42492.261063288854</v>
      </c>
      <c r="P1440" s="5">
        <v>6275.8915673055426</v>
      </c>
      <c r="Q1440" s="5">
        <v>92068.726035424203</v>
      </c>
      <c r="R1440" s="5">
        <v>23583.884732956092</v>
      </c>
    </row>
    <row r="1441" spans="9:18">
      <c r="I1441" s="4">
        <v>1426</v>
      </c>
      <c r="J1441" s="5">
        <v>11936.262457073821</v>
      </c>
      <c r="K1441" s="5">
        <v>20887.307279900142</v>
      </c>
      <c r="L1441" s="5">
        <v>34748.877779456467</v>
      </c>
      <c r="M1441" s="5">
        <v>12735.841453044006</v>
      </c>
      <c r="N1441" s="5">
        <v>21933.097106966918</v>
      </c>
      <c r="O1441" s="5">
        <v>13613.378495715853</v>
      </c>
      <c r="P1441" s="5">
        <v>41657.50350099193</v>
      </c>
      <c r="Q1441" s="5">
        <v>148345.62878828164</v>
      </c>
      <c r="R1441" s="5">
        <v>7118.1729476780347</v>
      </c>
    </row>
    <row r="1442" spans="9:18">
      <c r="I1442" s="4">
        <v>1427</v>
      </c>
      <c r="J1442" s="5">
        <v>17679.321624063952</v>
      </c>
      <c r="K1442" s="5">
        <v>15782.544184844044</v>
      </c>
      <c r="L1442" s="5">
        <v>17578.712723867691</v>
      </c>
      <c r="M1442" s="5">
        <v>26477.996319655329</v>
      </c>
      <c r="N1442" s="5">
        <v>17891.96347244953</v>
      </c>
      <c r="O1442" s="5">
        <v>9869.5889207969612</v>
      </c>
      <c r="P1442" s="5">
        <v>25258.981945036445</v>
      </c>
      <c r="Q1442" s="5">
        <v>17493.456269945855</v>
      </c>
      <c r="R1442" s="5">
        <v>18230.645544621442</v>
      </c>
    </row>
    <row r="1443" spans="9:18">
      <c r="I1443" s="4">
        <v>1428</v>
      </c>
      <c r="J1443" s="5">
        <v>14344.692898101612</v>
      </c>
      <c r="K1443" s="5">
        <v>15391.837334808681</v>
      </c>
      <c r="L1443" s="5">
        <v>16071.478531535273</v>
      </c>
      <c r="M1443" s="5">
        <v>15346.383801976139</v>
      </c>
      <c r="N1443" s="5">
        <v>13909.728487455486</v>
      </c>
      <c r="O1443" s="5">
        <v>53007.660727727191</v>
      </c>
      <c r="P1443" s="5">
        <v>35569.894390728325</v>
      </c>
      <c r="Q1443" s="5">
        <v>13865.641566869812</v>
      </c>
      <c r="R1443" s="5">
        <v>6360.7905155660001</v>
      </c>
    </row>
    <row r="1444" spans="9:18">
      <c r="I1444" s="4">
        <v>1429</v>
      </c>
      <c r="J1444" s="5">
        <v>19121.054099180623</v>
      </c>
      <c r="K1444" s="5">
        <v>18821.113178054162</v>
      </c>
      <c r="L1444" s="5">
        <v>17128.574519497746</v>
      </c>
      <c r="M1444" s="5">
        <v>10111.451009425113</v>
      </c>
      <c r="N1444" s="5">
        <v>35826.921212852278</v>
      </c>
      <c r="O1444" s="5">
        <v>13117.417685535194</v>
      </c>
      <c r="P1444" s="5">
        <v>18862.487147419793</v>
      </c>
      <c r="Q1444" s="5">
        <v>9454.5906023793759</v>
      </c>
      <c r="R1444" s="5">
        <v>81423.874800517297</v>
      </c>
    </row>
    <row r="1445" spans="9:18">
      <c r="I1445" s="4">
        <v>1430</v>
      </c>
      <c r="J1445" s="5">
        <v>16544.73779470181</v>
      </c>
      <c r="K1445" s="5">
        <v>14611.618478071941</v>
      </c>
      <c r="L1445" s="5">
        <v>18810.091753970282</v>
      </c>
      <c r="M1445" s="5">
        <v>21712.71007234112</v>
      </c>
      <c r="N1445" s="5">
        <v>22511.351424689696</v>
      </c>
      <c r="O1445" s="5">
        <v>8024.6340027919978</v>
      </c>
      <c r="P1445" s="5">
        <v>21039.927746191301</v>
      </c>
      <c r="Q1445" s="5">
        <v>13865.641566869812</v>
      </c>
      <c r="R1445" s="5">
        <v>18349.337771428582</v>
      </c>
    </row>
    <row r="1446" spans="9:18">
      <c r="I1446" s="4">
        <v>1431</v>
      </c>
      <c r="J1446" s="5">
        <v>43272.831879770602</v>
      </c>
      <c r="K1446" s="5">
        <v>32073.547537933715</v>
      </c>
      <c r="L1446" s="5">
        <v>17578.712723867691</v>
      </c>
      <c r="M1446" s="5">
        <v>6367.5407465007311</v>
      </c>
      <c r="N1446" s="5">
        <v>14335.478134989447</v>
      </c>
      <c r="O1446" s="5">
        <v>8121.6248378263163</v>
      </c>
      <c r="P1446" s="5">
        <v>33715.790977629549</v>
      </c>
      <c r="Q1446" s="5">
        <v>43417.41805414496</v>
      </c>
      <c r="R1446" s="5">
        <v>1535.701520095213</v>
      </c>
    </row>
    <row r="1447" spans="9:18">
      <c r="I1447" s="4">
        <v>1432</v>
      </c>
      <c r="J1447" s="5">
        <v>21888.821432026474</v>
      </c>
      <c r="K1447" s="5">
        <v>16934.093371663999</v>
      </c>
      <c r="L1447" s="5">
        <v>19189.275558866306</v>
      </c>
      <c r="M1447" s="5">
        <v>14660.631931099009</v>
      </c>
      <c r="N1447" s="5">
        <v>23008.246229813707</v>
      </c>
      <c r="O1447" s="5">
        <v>30876.675913171162</v>
      </c>
      <c r="P1447" s="5">
        <v>54292.749740228588</v>
      </c>
      <c r="Q1447" s="5">
        <v>37073.980790337926</v>
      </c>
      <c r="R1447" s="5">
        <v>12116.34255245842</v>
      </c>
    </row>
    <row r="1448" spans="9:18">
      <c r="I1448" s="4">
        <v>1433</v>
      </c>
      <c r="J1448" s="5">
        <v>13391.049101507895</v>
      </c>
      <c r="K1448" s="5">
        <v>13652.224205833634</v>
      </c>
      <c r="L1448" s="5">
        <v>17920.486090689363</v>
      </c>
      <c r="M1448" s="5">
        <v>30785.663999045999</v>
      </c>
      <c r="N1448" s="5">
        <v>21931.347680292267</v>
      </c>
      <c r="O1448" s="5">
        <v>27195.510785031525</v>
      </c>
      <c r="P1448" s="5">
        <v>95486.196907583406</v>
      </c>
      <c r="Q1448" s="5">
        <v>19541.409060825732</v>
      </c>
      <c r="R1448" s="5">
        <v>261393.32711858812</v>
      </c>
    </row>
    <row r="1449" spans="9:18">
      <c r="I1449" s="4">
        <v>1434</v>
      </c>
      <c r="J1449" s="5">
        <v>28169.050633834027</v>
      </c>
      <c r="K1449" s="5">
        <v>11403.533194020869</v>
      </c>
      <c r="L1449" s="5">
        <v>17128.574519497746</v>
      </c>
      <c r="M1449" s="5">
        <v>32497.510405113037</v>
      </c>
      <c r="N1449" s="5">
        <v>23998.040874392525</v>
      </c>
      <c r="O1449" s="5">
        <v>40581.847217937895</v>
      </c>
      <c r="P1449" s="5">
        <v>35213.322626437533</v>
      </c>
      <c r="Q1449" s="5">
        <v>96632.959478514502</v>
      </c>
      <c r="R1449" s="5">
        <v>3989.7956692889929</v>
      </c>
    </row>
    <row r="1450" spans="9:18">
      <c r="I1450" s="4">
        <v>1435</v>
      </c>
      <c r="J1450" s="5">
        <v>14076.209333698853</v>
      </c>
      <c r="K1450" s="5">
        <v>15051.330276415061</v>
      </c>
      <c r="L1450" s="5">
        <v>14610.165745300763</v>
      </c>
      <c r="M1450" s="5">
        <v>30830.81083227017</v>
      </c>
      <c r="N1450" s="5">
        <v>11604.12831603515</v>
      </c>
      <c r="O1450" s="5">
        <v>53007.660727727191</v>
      </c>
      <c r="P1450" s="5">
        <v>10532.667493814919</v>
      </c>
      <c r="Q1450" s="5">
        <v>54060.5331097772</v>
      </c>
      <c r="R1450" s="5">
        <v>96845.299789249824</v>
      </c>
    </row>
    <row r="1451" spans="9:18">
      <c r="I1451" s="4">
        <v>1436</v>
      </c>
      <c r="J1451" s="5">
        <v>28590.354879265724</v>
      </c>
      <c r="K1451" s="5">
        <v>11857.447519815871</v>
      </c>
      <c r="L1451" s="5">
        <v>15759.954187048656</v>
      </c>
      <c r="M1451" s="5">
        <v>22326.253555179093</v>
      </c>
      <c r="N1451" s="5">
        <v>20718.434293991453</v>
      </c>
      <c r="O1451" s="5">
        <v>62082.6862081785</v>
      </c>
      <c r="P1451" s="5">
        <v>13793.886507202402</v>
      </c>
      <c r="Q1451" s="5">
        <v>6386.5227360487288</v>
      </c>
      <c r="R1451" s="5">
        <v>3433.6677391851467</v>
      </c>
    </row>
    <row r="1452" spans="9:18">
      <c r="I1452" s="4">
        <v>1437</v>
      </c>
      <c r="J1452" s="5">
        <v>15648.665245032147</v>
      </c>
      <c r="K1452" s="5">
        <v>14587.813833513306</v>
      </c>
      <c r="L1452" s="5">
        <v>14344.859750762502</v>
      </c>
      <c r="M1452" s="5">
        <v>17349.963215818931</v>
      </c>
      <c r="N1452" s="5">
        <v>11251.634703629026</v>
      </c>
      <c r="O1452" s="5">
        <v>16524.769946939996</v>
      </c>
      <c r="P1452" s="5">
        <v>27373.102585108634</v>
      </c>
      <c r="Q1452" s="5">
        <v>37101.531383212743</v>
      </c>
      <c r="R1452" s="5">
        <v>1535.701520095213</v>
      </c>
    </row>
    <row r="1453" spans="9:18">
      <c r="I1453" s="4">
        <v>1438</v>
      </c>
      <c r="J1453" s="5">
        <v>16710.807721801892</v>
      </c>
      <c r="K1453" s="5">
        <v>23934.551191616061</v>
      </c>
      <c r="L1453" s="5">
        <v>15359.132481533357</v>
      </c>
      <c r="M1453" s="5">
        <v>36301.422888051464</v>
      </c>
      <c r="N1453" s="5">
        <v>23998.040874392525</v>
      </c>
      <c r="O1453" s="5">
        <v>30656.031716467984</v>
      </c>
      <c r="P1453" s="5">
        <v>74840.036182179319</v>
      </c>
      <c r="Q1453" s="5">
        <v>37101.531383212743</v>
      </c>
      <c r="R1453" s="5">
        <v>39727.513802035661</v>
      </c>
    </row>
    <row r="1454" spans="9:18">
      <c r="I1454" s="4">
        <v>1439</v>
      </c>
      <c r="J1454" s="5">
        <v>13595.404057849493</v>
      </c>
      <c r="K1454" s="5">
        <v>16273.14570113692</v>
      </c>
      <c r="L1454" s="5">
        <v>16014.071850041886</v>
      </c>
      <c r="M1454" s="5">
        <v>30830.81083227017</v>
      </c>
      <c r="N1454" s="5">
        <v>14335.478134989447</v>
      </c>
      <c r="O1454" s="5">
        <v>35286.662852302201</v>
      </c>
      <c r="P1454" s="5">
        <v>83536.241167211992</v>
      </c>
      <c r="Q1454" s="5">
        <v>54060.5331097772</v>
      </c>
      <c r="R1454" s="5">
        <v>55012.315589742022</v>
      </c>
    </row>
    <row r="1455" spans="9:18">
      <c r="I1455" s="4">
        <v>1440</v>
      </c>
      <c r="J1455" s="5">
        <v>7855.2948890116513</v>
      </c>
      <c r="K1455" s="5">
        <v>13559.080695844099</v>
      </c>
      <c r="L1455" s="5">
        <v>24256.352541181568</v>
      </c>
      <c r="M1455" s="5">
        <v>23067.94260629595</v>
      </c>
      <c r="N1455" s="5">
        <v>12592.300437162297</v>
      </c>
      <c r="O1455" s="5">
        <v>40581.847217937895</v>
      </c>
      <c r="P1455" s="5">
        <v>8662.4232458952465</v>
      </c>
      <c r="Q1455" s="5">
        <v>71213.172792303565</v>
      </c>
      <c r="R1455" s="5">
        <v>6360.7905155660001</v>
      </c>
    </row>
    <row r="1456" spans="9:18">
      <c r="I1456" s="4">
        <v>1441</v>
      </c>
      <c r="J1456" s="5">
        <v>22812.564910649318</v>
      </c>
      <c r="K1456" s="5">
        <v>32294.121255311245</v>
      </c>
      <c r="L1456" s="5">
        <v>25007.552172398639</v>
      </c>
      <c r="M1456" s="5">
        <v>19430.369425783585</v>
      </c>
      <c r="N1456" s="5">
        <v>28426.778914975595</v>
      </c>
      <c r="O1456" s="5">
        <v>24369.28567093279</v>
      </c>
      <c r="P1456" s="5">
        <v>10532.667493814919</v>
      </c>
      <c r="Q1456" s="5">
        <v>17493.456269945855</v>
      </c>
      <c r="R1456" s="5">
        <v>14079.827908007112</v>
      </c>
    </row>
    <row r="1457" spans="9:18">
      <c r="I1457" s="4">
        <v>1442</v>
      </c>
      <c r="J1457" s="5">
        <v>14750.660273177687</v>
      </c>
      <c r="K1457" s="5">
        <v>18218.584572172625</v>
      </c>
      <c r="L1457" s="5">
        <v>17920.486090689363</v>
      </c>
      <c r="M1457" s="5">
        <v>37411.178129764201</v>
      </c>
      <c r="N1457" s="5">
        <v>23008.246229813707</v>
      </c>
      <c r="O1457" s="5">
        <v>15936.062371781712</v>
      </c>
      <c r="P1457" s="5">
        <v>45161.732159568586</v>
      </c>
      <c r="Q1457" s="5">
        <v>8502.450657922871</v>
      </c>
      <c r="R1457" s="5">
        <v>39263.770877572199</v>
      </c>
    </row>
    <row r="1458" spans="9:18">
      <c r="I1458" s="4">
        <v>1443</v>
      </c>
      <c r="J1458" s="5">
        <v>13918.242013140338</v>
      </c>
      <c r="K1458" s="5">
        <v>23327.217259521742</v>
      </c>
      <c r="L1458" s="5">
        <v>17693.864646288712</v>
      </c>
      <c r="M1458" s="5">
        <v>23067.94260629595</v>
      </c>
      <c r="N1458" s="5">
        <v>18367.429489032103</v>
      </c>
      <c r="O1458" s="5">
        <v>13117.417685535194</v>
      </c>
      <c r="P1458" s="5">
        <v>54100.778483493887</v>
      </c>
      <c r="Q1458" s="5">
        <v>4924.9171270300558</v>
      </c>
      <c r="R1458" s="5">
        <v>50287.76786557267</v>
      </c>
    </row>
    <row r="1459" spans="9:18">
      <c r="I1459" s="4">
        <v>1444</v>
      </c>
      <c r="J1459" s="5">
        <v>14538.277247583976</v>
      </c>
      <c r="K1459" s="5">
        <v>15129.619337591721</v>
      </c>
      <c r="L1459" s="5">
        <v>14691.846656953887</v>
      </c>
      <c r="M1459" s="5">
        <v>9623.0342442006167</v>
      </c>
      <c r="N1459" s="5">
        <v>12297.015342318469</v>
      </c>
      <c r="O1459" s="5">
        <v>13966.178986479143</v>
      </c>
      <c r="P1459" s="5">
        <v>26126.807131356076</v>
      </c>
      <c r="Q1459" s="5">
        <v>22483.395143121877</v>
      </c>
      <c r="R1459" s="5">
        <v>51358.6267760993</v>
      </c>
    </row>
    <row r="1460" spans="9:18">
      <c r="I1460" s="4">
        <v>1445</v>
      </c>
      <c r="J1460" s="5">
        <v>8580.4413740966302</v>
      </c>
      <c r="K1460" s="5">
        <v>17903.387243834499</v>
      </c>
      <c r="L1460" s="5">
        <v>18602.881797624486</v>
      </c>
      <c r="M1460" s="5">
        <v>19433.64679949253</v>
      </c>
      <c r="N1460" s="5">
        <v>23998.040874392525</v>
      </c>
      <c r="O1460" s="5">
        <v>53007.660727727191</v>
      </c>
      <c r="P1460" s="5">
        <v>6275.8915673055426</v>
      </c>
      <c r="Q1460" s="5">
        <v>31019.493883163672</v>
      </c>
      <c r="R1460" s="5">
        <v>7394.6358885760465</v>
      </c>
    </row>
    <row r="1461" spans="9:18">
      <c r="I1461" s="4">
        <v>1446</v>
      </c>
      <c r="J1461" s="5">
        <v>14741.240040396578</v>
      </c>
      <c r="K1461" s="5">
        <v>13288.692555879701</v>
      </c>
      <c r="L1461" s="5">
        <v>19359.475411188432</v>
      </c>
      <c r="M1461" s="5">
        <v>18879.640760542785</v>
      </c>
      <c r="N1461" s="5">
        <v>34295.124147811541</v>
      </c>
      <c r="O1461" s="5">
        <v>35286.662852302201</v>
      </c>
      <c r="P1461" s="5">
        <v>45161.732159568586</v>
      </c>
      <c r="Q1461" s="5">
        <v>8832.660767995616</v>
      </c>
      <c r="R1461" s="5">
        <v>2180.6148629084787</v>
      </c>
    </row>
    <row r="1462" spans="9:18">
      <c r="I1462" s="4">
        <v>1447</v>
      </c>
      <c r="J1462" s="5">
        <v>16145.071869702888</v>
      </c>
      <c r="K1462" s="5">
        <v>9739.7813029644258</v>
      </c>
      <c r="L1462" s="5">
        <v>15126.980926457318</v>
      </c>
      <c r="M1462" s="5">
        <v>21913.431401527439</v>
      </c>
      <c r="N1462" s="5">
        <v>17214.078970533748</v>
      </c>
      <c r="O1462" s="5">
        <v>18637.945795127704</v>
      </c>
      <c r="P1462" s="5">
        <v>14316.965520592317</v>
      </c>
      <c r="Q1462" s="5">
        <v>17493.456269945855</v>
      </c>
      <c r="R1462" s="5">
        <v>7879.038918914337</v>
      </c>
    </row>
    <row r="1463" spans="9:18">
      <c r="I1463" s="4">
        <v>1448</v>
      </c>
      <c r="J1463" s="5">
        <v>16305.770155972396</v>
      </c>
      <c r="K1463" s="5">
        <v>12026.500118162745</v>
      </c>
      <c r="L1463" s="5">
        <v>24256.352541181568</v>
      </c>
      <c r="M1463" s="5">
        <v>18879.640760542785</v>
      </c>
      <c r="N1463" s="5">
        <v>16418.492928415813</v>
      </c>
      <c r="O1463" s="5">
        <v>9956.4031238965053</v>
      </c>
      <c r="P1463" s="5">
        <v>35569.894390728325</v>
      </c>
      <c r="Q1463" s="5">
        <v>73941.636731325911</v>
      </c>
      <c r="R1463" s="5">
        <v>8720.6503563381029</v>
      </c>
    </row>
    <row r="1464" spans="9:18">
      <c r="I1464" s="4">
        <v>1449</v>
      </c>
      <c r="J1464" s="5">
        <v>33627.941293959229</v>
      </c>
      <c r="K1464" s="5">
        <v>22732.797143159998</v>
      </c>
      <c r="L1464" s="5">
        <v>16293.265064857471</v>
      </c>
      <c r="M1464" s="5">
        <v>18879.640760542785</v>
      </c>
      <c r="N1464" s="5">
        <v>11604.12831603515</v>
      </c>
      <c r="O1464" s="5">
        <v>10270.120415297655</v>
      </c>
      <c r="P1464" s="5">
        <v>14773.185437294762</v>
      </c>
      <c r="Q1464" s="5">
        <v>9454.5906023793759</v>
      </c>
      <c r="R1464" s="5">
        <v>29295.938844292672</v>
      </c>
    </row>
    <row r="1465" spans="9:18">
      <c r="I1465" s="4">
        <v>1450</v>
      </c>
      <c r="J1465" s="5">
        <v>21888.821432026474</v>
      </c>
      <c r="K1465" s="5">
        <v>16273.14570113692</v>
      </c>
      <c r="L1465" s="5">
        <v>15487.970507365942</v>
      </c>
      <c r="M1465" s="5">
        <v>17116.951435661951</v>
      </c>
      <c r="N1465" s="5">
        <v>11604.12831603515</v>
      </c>
      <c r="O1465" s="5">
        <v>10369.402667058452</v>
      </c>
      <c r="P1465" s="5">
        <v>13793.886507202402</v>
      </c>
      <c r="Q1465" s="5">
        <v>96632.959478514502</v>
      </c>
      <c r="R1465" s="5">
        <v>7784.2246210242874</v>
      </c>
    </row>
    <row r="1466" spans="9:18">
      <c r="I1466" s="4">
        <v>1451</v>
      </c>
      <c r="J1466" s="5">
        <v>73074.062486361407</v>
      </c>
      <c r="K1466" s="5">
        <v>14017.262946034314</v>
      </c>
      <c r="L1466" s="5">
        <v>18602.881797624486</v>
      </c>
      <c r="M1466" s="5">
        <v>13642.678686731051</v>
      </c>
      <c r="N1466" s="5">
        <v>25424.029865101274</v>
      </c>
      <c r="O1466" s="5">
        <v>9320.7026593487881</v>
      </c>
      <c r="P1466" s="5">
        <v>9811.9720599964548</v>
      </c>
      <c r="Q1466" s="5">
        <v>47365.380972950254</v>
      </c>
      <c r="R1466" s="5">
        <v>50287.76786557267</v>
      </c>
    </row>
    <row r="1467" spans="9:18">
      <c r="I1467" s="4">
        <v>1452</v>
      </c>
      <c r="J1467" s="5">
        <v>33627.941293959229</v>
      </c>
      <c r="K1467" s="5">
        <v>13520.836427679104</v>
      </c>
      <c r="L1467" s="5">
        <v>18379.634651549037</v>
      </c>
      <c r="M1467" s="5">
        <v>12426.949970383979</v>
      </c>
      <c r="N1467" s="5">
        <v>15786.177386596903</v>
      </c>
      <c r="O1467" s="5">
        <v>16826.763259351828</v>
      </c>
      <c r="P1467" s="5">
        <v>27708.613526855763</v>
      </c>
      <c r="Q1467" s="5">
        <v>59964.86015574776</v>
      </c>
      <c r="R1467" s="5">
        <v>17991.870496434763</v>
      </c>
    </row>
    <row r="1468" spans="9:18">
      <c r="I1468" s="4">
        <v>1453</v>
      </c>
      <c r="J1468" s="5">
        <v>12701.339251949787</v>
      </c>
      <c r="K1468" s="5">
        <v>18821.113178054162</v>
      </c>
      <c r="L1468" s="5">
        <v>15746.942257105531</v>
      </c>
      <c r="M1468" s="5">
        <v>16001.653036457456</v>
      </c>
      <c r="N1468" s="5">
        <v>21009.255892677338</v>
      </c>
      <c r="O1468" s="5">
        <v>21930.527973988665</v>
      </c>
      <c r="P1468" s="5">
        <v>63015.124693769802</v>
      </c>
      <c r="Q1468" s="5">
        <v>52545.991451361173</v>
      </c>
      <c r="R1468" s="5">
        <v>89167.415757270224</v>
      </c>
    </row>
    <row r="1469" spans="9:18">
      <c r="I1469" s="4">
        <v>1454</v>
      </c>
      <c r="J1469" s="5">
        <v>14594.990625703947</v>
      </c>
      <c r="K1469" s="5">
        <v>16605.655749562578</v>
      </c>
      <c r="L1469" s="5">
        <v>14146.191653372813</v>
      </c>
      <c r="M1469" s="5">
        <v>21913.431401527439</v>
      </c>
      <c r="N1469" s="5">
        <v>22868.569282757788</v>
      </c>
      <c r="O1469" s="5">
        <v>13966.178986479143</v>
      </c>
      <c r="P1469" s="5">
        <v>33500.490132682797</v>
      </c>
      <c r="Q1469" s="5">
        <v>25156.033327562815</v>
      </c>
      <c r="R1469" s="5">
        <v>216919.53009911609</v>
      </c>
    </row>
    <row r="1470" spans="9:18">
      <c r="I1470" s="4">
        <v>1455</v>
      </c>
      <c r="J1470" s="5">
        <v>15554.996700302558</v>
      </c>
      <c r="K1470" s="5">
        <v>34164.842952759042</v>
      </c>
      <c r="L1470" s="5">
        <v>24256.352541181568</v>
      </c>
      <c r="M1470" s="5">
        <v>11680.747299075838</v>
      </c>
      <c r="N1470" s="5">
        <v>8555.1229659096207</v>
      </c>
      <c r="O1470" s="5">
        <v>30608.431994348266</v>
      </c>
      <c r="P1470" s="5">
        <v>32167.874670939738</v>
      </c>
      <c r="Q1470" s="5">
        <v>59964.86015574776</v>
      </c>
      <c r="R1470" s="5">
        <v>44707.053087992797</v>
      </c>
    </row>
    <row r="1471" spans="9:18">
      <c r="I1471" s="4">
        <v>1456</v>
      </c>
      <c r="J1471" s="5">
        <v>22370.105711697011</v>
      </c>
      <c r="K1471" s="5">
        <v>23543.914024953676</v>
      </c>
      <c r="L1471" s="5">
        <v>16293.265064857471</v>
      </c>
      <c r="M1471" s="5">
        <v>12934.591863415189</v>
      </c>
      <c r="N1471" s="5">
        <v>14921.795973817481</v>
      </c>
      <c r="O1471" s="5">
        <v>41653.890350944224</v>
      </c>
      <c r="P1471" s="5">
        <v>83536.241167211992</v>
      </c>
      <c r="Q1471" s="5">
        <v>8880.8074399558282</v>
      </c>
      <c r="R1471" s="5">
        <v>7394.6358885760465</v>
      </c>
    </row>
    <row r="1472" spans="9:18">
      <c r="I1472" s="4">
        <v>1457</v>
      </c>
      <c r="J1472" s="5">
        <v>15623.733864199699</v>
      </c>
      <c r="K1472" s="5">
        <v>16605.655749562578</v>
      </c>
      <c r="L1472" s="5">
        <v>16106.634875163341</v>
      </c>
      <c r="M1472" s="5">
        <v>17116.951435661951</v>
      </c>
      <c r="N1472" s="5">
        <v>27833.630848857778</v>
      </c>
      <c r="O1472" s="5">
        <v>3171.3006415671193</v>
      </c>
      <c r="P1472" s="5">
        <v>9826.8369575407578</v>
      </c>
      <c r="Q1472" s="5">
        <v>22895.455950885695</v>
      </c>
      <c r="R1472" s="5">
        <v>30571.564004538617</v>
      </c>
    </row>
    <row r="1473" spans="9:18">
      <c r="I1473" s="4">
        <v>1458</v>
      </c>
      <c r="J1473" s="5">
        <v>11116.191595722205</v>
      </c>
      <c r="K1473" s="5">
        <v>16873.752266014431</v>
      </c>
      <c r="L1473" s="5">
        <v>16472.138192556791</v>
      </c>
      <c r="M1473" s="5">
        <v>9623.0342442006167</v>
      </c>
      <c r="N1473" s="5">
        <v>32184.535272543482</v>
      </c>
      <c r="O1473" s="5">
        <v>62082.6862081785</v>
      </c>
      <c r="P1473" s="5">
        <v>54100.778483493887</v>
      </c>
      <c r="Q1473" s="5">
        <v>64585.328088516922</v>
      </c>
      <c r="R1473" s="5">
        <v>17991.870496434763</v>
      </c>
    </row>
    <row r="1474" spans="9:18">
      <c r="I1474" s="4">
        <v>1459</v>
      </c>
      <c r="J1474" s="5">
        <v>13045.114546182727</v>
      </c>
      <c r="K1474" s="5">
        <v>21187.174639714212</v>
      </c>
      <c r="L1474" s="5">
        <v>15225.811035017256</v>
      </c>
      <c r="M1474" s="5">
        <v>13616.35938654862</v>
      </c>
      <c r="N1474" s="5">
        <v>11952.903761138405</v>
      </c>
      <c r="O1474" s="5">
        <v>8801.3667015774663</v>
      </c>
      <c r="P1474" s="5">
        <v>32155.527541400057</v>
      </c>
      <c r="Q1474" s="5">
        <v>13865.641566869812</v>
      </c>
      <c r="R1474" s="5">
        <v>72640.340924600489</v>
      </c>
    </row>
    <row r="1475" spans="9:18">
      <c r="I1475" s="4">
        <v>1460</v>
      </c>
      <c r="J1475" s="5">
        <v>33627.941293959229</v>
      </c>
      <c r="K1475" s="5">
        <v>15631.937142257386</v>
      </c>
      <c r="L1475" s="5">
        <v>17243.440968229323</v>
      </c>
      <c r="M1475" s="5">
        <v>33862.836621974391</v>
      </c>
      <c r="N1475" s="5">
        <v>46248.895746171031</v>
      </c>
      <c r="O1475" s="5">
        <v>36759.655306288936</v>
      </c>
      <c r="P1475" s="5">
        <v>77603.711720266961</v>
      </c>
      <c r="Q1475" s="5">
        <v>52421.574537857021</v>
      </c>
      <c r="R1475" s="5">
        <v>14079.827908007112</v>
      </c>
    </row>
    <row r="1476" spans="9:18">
      <c r="I1476" s="4">
        <v>1461</v>
      </c>
      <c r="J1476" s="5">
        <v>28214.771032351968</v>
      </c>
      <c r="K1476" s="5">
        <v>31910.762633549082</v>
      </c>
      <c r="L1476" s="5">
        <v>14344.859750762502</v>
      </c>
      <c r="M1476" s="5">
        <v>31554.722481137964</v>
      </c>
      <c r="N1476" s="5">
        <v>15786.177386596903</v>
      </c>
      <c r="O1476" s="5">
        <v>24258.192244316608</v>
      </c>
      <c r="P1476" s="5">
        <v>10532.667493814919</v>
      </c>
      <c r="Q1476" s="5">
        <v>31974.553851773013</v>
      </c>
      <c r="R1476" s="5">
        <v>2180.6148629084787</v>
      </c>
    </row>
    <row r="1477" spans="9:18">
      <c r="I1477" s="4">
        <v>1462</v>
      </c>
      <c r="J1477" s="5">
        <v>16416.142496463777</v>
      </c>
      <c r="K1477" s="5">
        <v>14674.169276244838</v>
      </c>
      <c r="L1477" s="5">
        <v>22018.381599979773</v>
      </c>
      <c r="M1477" s="5">
        <v>31472.019071027709</v>
      </c>
      <c r="N1477" s="5">
        <v>24769.339976495565</v>
      </c>
      <c r="O1477" s="5">
        <v>20721.57544042755</v>
      </c>
      <c r="P1477" s="5">
        <v>22708.601480587709</v>
      </c>
      <c r="Q1477" s="5">
        <v>9645.8788061228515</v>
      </c>
      <c r="R1477" s="5">
        <v>3311.4906988006405</v>
      </c>
    </row>
    <row r="1478" spans="9:18">
      <c r="I1478" s="4">
        <v>1463</v>
      </c>
      <c r="J1478" s="5">
        <v>12452.764985867625</v>
      </c>
      <c r="K1478" s="5">
        <v>15768.312122029349</v>
      </c>
      <c r="L1478" s="5">
        <v>14316.474075738101</v>
      </c>
      <c r="M1478" s="5">
        <v>19097.39635881727</v>
      </c>
      <c r="N1478" s="5">
        <v>19225.139878706803</v>
      </c>
      <c r="O1478" s="5">
        <v>40304.23053285561</v>
      </c>
      <c r="P1478" s="5">
        <v>33500.490132682797</v>
      </c>
      <c r="Q1478" s="5">
        <v>31019.493883163672</v>
      </c>
      <c r="R1478" s="5">
        <v>59414.886464347241</v>
      </c>
    </row>
    <row r="1479" spans="9:18">
      <c r="I1479" s="4">
        <v>1464</v>
      </c>
      <c r="J1479" s="5">
        <v>73074.062486361407</v>
      </c>
      <c r="K1479" s="5">
        <v>35705.595198125673</v>
      </c>
      <c r="L1479" s="5">
        <v>15471.738323660695</v>
      </c>
      <c r="M1479" s="5">
        <v>22815.60259636537</v>
      </c>
      <c r="N1479" s="5">
        <v>19125.360074567652</v>
      </c>
      <c r="O1479" s="5">
        <v>27508.313315384185</v>
      </c>
      <c r="P1479" s="5">
        <v>5836.7810663002319</v>
      </c>
      <c r="Q1479" s="5">
        <v>22895.455950885695</v>
      </c>
      <c r="R1479" s="5">
        <v>7201.7586694681067</v>
      </c>
    </row>
    <row r="1480" spans="9:18">
      <c r="I1480" s="4">
        <v>1465</v>
      </c>
      <c r="J1480" s="5">
        <v>31053.540961463306</v>
      </c>
      <c r="K1480" s="5">
        <v>17495.743706488822</v>
      </c>
      <c r="L1480" s="5">
        <v>14042.41908879921</v>
      </c>
      <c r="M1480" s="5">
        <v>21072.983263501868</v>
      </c>
      <c r="N1480" s="5">
        <v>41563.89847100406</v>
      </c>
      <c r="O1480" s="5">
        <v>33720.545907536376</v>
      </c>
      <c r="P1480" s="5">
        <v>54100.778483493887</v>
      </c>
      <c r="Q1480" s="5">
        <v>9138.5169630896526</v>
      </c>
      <c r="R1480" s="5">
        <v>182942.88598316166</v>
      </c>
    </row>
    <row r="1481" spans="9:18">
      <c r="I1481" s="4">
        <v>1466</v>
      </c>
      <c r="J1481" s="5">
        <v>34933.039312618188</v>
      </c>
      <c r="K1481" s="5">
        <v>43843.85059185313</v>
      </c>
      <c r="L1481" s="5">
        <v>18634.523182776735</v>
      </c>
      <c r="M1481" s="5">
        <v>10111.451009425113</v>
      </c>
      <c r="N1481" s="5">
        <v>19125.360074567652</v>
      </c>
      <c r="O1481" s="5">
        <v>51330.340277512776</v>
      </c>
      <c r="P1481" s="5">
        <v>20403.656304140692</v>
      </c>
      <c r="Q1481" s="5">
        <v>13214.632802255031</v>
      </c>
      <c r="R1481" s="5">
        <v>76851.431017396084</v>
      </c>
    </row>
    <row r="1482" spans="9:18">
      <c r="I1482" s="4">
        <v>1467</v>
      </c>
      <c r="J1482" s="5">
        <v>73074.062486361407</v>
      </c>
      <c r="K1482" s="5">
        <v>13559.080695844099</v>
      </c>
      <c r="L1482" s="5">
        <v>15746.942257105531</v>
      </c>
      <c r="M1482" s="5">
        <v>16842.379179328669</v>
      </c>
      <c r="N1482" s="5">
        <v>37309.151967087455</v>
      </c>
      <c r="O1482" s="5">
        <v>9320.7026593487881</v>
      </c>
      <c r="P1482" s="5">
        <v>8069.5385577067918</v>
      </c>
      <c r="Q1482" s="5">
        <v>9652.8114206999071</v>
      </c>
      <c r="R1482" s="5">
        <v>16039.216896723072</v>
      </c>
    </row>
    <row r="1483" spans="9:18">
      <c r="I1483" s="4">
        <v>1468</v>
      </c>
      <c r="J1483" s="5">
        <v>14017.326487344162</v>
      </c>
      <c r="K1483" s="5">
        <v>21958.925144875713</v>
      </c>
      <c r="L1483" s="5">
        <v>27144.958215276103</v>
      </c>
      <c r="M1483" s="5">
        <v>33862.836621974391</v>
      </c>
      <c r="N1483" s="5">
        <v>21909.120225822895</v>
      </c>
      <c r="O1483" s="5">
        <v>20827.029306810669</v>
      </c>
      <c r="P1483" s="5">
        <v>40377.463755170742</v>
      </c>
      <c r="Q1483" s="5">
        <v>28776.080424849053</v>
      </c>
      <c r="R1483" s="5">
        <v>8046.7106309763258</v>
      </c>
    </row>
    <row r="1484" spans="9:18">
      <c r="I1484" s="4">
        <v>1469</v>
      </c>
      <c r="J1484" s="5">
        <v>9405.362381917912</v>
      </c>
      <c r="K1484" s="5">
        <v>13652.224205833634</v>
      </c>
      <c r="L1484" s="5">
        <v>17243.440968229323</v>
      </c>
      <c r="M1484" s="5">
        <v>12934.591863415189</v>
      </c>
      <c r="N1484" s="5">
        <v>9989.086510768735</v>
      </c>
      <c r="O1484" s="5">
        <v>19492.655596593511</v>
      </c>
      <c r="P1484" s="5">
        <v>12992.105410393709</v>
      </c>
      <c r="Q1484" s="5">
        <v>28567.61306643406</v>
      </c>
      <c r="R1484" s="5">
        <v>18720.450716365784</v>
      </c>
    </row>
    <row r="1485" spans="9:18">
      <c r="I1485" s="4">
        <v>1470</v>
      </c>
      <c r="J1485" s="5">
        <v>28590.354879265724</v>
      </c>
      <c r="K1485" s="5">
        <v>11857.447519815871</v>
      </c>
      <c r="L1485" s="5">
        <v>25007.552172398639</v>
      </c>
      <c r="M1485" s="5">
        <v>15202.972920708273</v>
      </c>
      <c r="N1485" s="5">
        <v>24769.339976495565</v>
      </c>
      <c r="O1485" s="5">
        <v>10676.618215263648</v>
      </c>
      <c r="P1485" s="5">
        <v>41657.50350099193</v>
      </c>
      <c r="Q1485" s="5">
        <v>13865.641566869812</v>
      </c>
      <c r="R1485" s="5">
        <v>14051.647494499957</v>
      </c>
    </row>
    <row r="1486" spans="9:18">
      <c r="I1486" s="4">
        <v>1471</v>
      </c>
      <c r="J1486" s="5">
        <v>14741.240040396578</v>
      </c>
      <c r="K1486" s="5">
        <v>15487.124352801369</v>
      </c>
      <c r="L1486" s="5">
        <v>16577.562442697115</v>
      </c>
      <c r="M1486" s="5">
        <v>19433.64679949253</v>
      </c>
      <c r="N1486" s="5">
        <v>11751.639947035985</v>
      </c>
      <c r="O1486" s="5">
        <v>20930.098352661731</v>
      </c>
      <c r="P1486" s="5">
        <v>32167.874670939738</v>
      </c>
      <c r="Q1486" s="5">
        <v>43417.41805414496</v>
      </c>
      <c r="R1486" s="5">
        <v>31715.273557891396</v>
      </c>
    </row>
    <row r="1487" spans="9:18">
      <c r="I1487" s="4">
        <v>1472</v>
      </c>
      <c r="J1487" s="5">
        <v>14420.293087375476</v>
      </c>
      <c r="K1487" s="5">
        <v>12026.500118162745</v>
      </c>
      <c r="L1487" s="5">
        <v>34748.877779456467</v>
      </c>
      <c r="M1487" s="5">
        <v>19097.39635881727</v>
      </c>
      <c r="N1487" s="5">
        <v>32184.535272543482</v>
      </c>
      <c r="O1487" s="5">
        <v>13613.378495715853</v>
      </c>
      <c r="P1487" s="5">
        <v>55152.110177667731</v>
      </c>
      <c r="Q1487" s="5">
        <v>68168.482468129529</v>
      </c>
      <c r="R1487" s="5">
        <v>13258.538726001538</v>
      </c>
    </row>
    <row r="1488" spans="9:18">
      <c r="I1488" s="4">
        <v>1473</v>
      </c>
      <c r="J1488" s="5">
        <v>28085.9245102444</v>
      </c>
      <c r="K1488" s="5">
        <v>11857.447519815871</v>
      </c>
      <c r="L1488" s="5">
        <v>17920.486090689363</v>
      </c>
      <c r="M1488" s="5">
        <v>16842.379179328669</v>
      </c>
      <c r="N1488" s="5">
        <v>16418.492928415813</v>
      </c>
      <c r="O1488" s="5">
        <v>27508.313315384185</v>
      </c>
      <c r="P1488" s="5">
        <v>10180.109839011631</v>
      </c>
      <c r="Q1488" s="5">
        <v>13099.063525342741</v>
      </c>
      <c r="R1488" s="5">
        <v>23583.884732956092</v>
      </c>
    </row>
    <row r="1489" spans="9:18">
      <c r="I1489" s="4">
        <v>1474</v>
      </c>
      <c r="J1489" s="5">
        <v>28214.771032351968</v>
      </c>
      <c r="K1489" s="5">
        <v>13331.01856102917</v>
      </c>
      <c r="L1489" s="5">
        <v>14691.846656953887</v>
      </c>
      <c r="M1489" s="5">
        <v>14660.631931099009</v>
      </c>
      <c r="N1489" s="5">
        <v>13909.728487455486</v>
      </c>
      <c r="O1489" s="5">
        <v>27508.313315384185</v>
      </c>
      <c r="P1489" s="5">
        <v>17643.087208586294</v>
      </c>
      <c r="Q1489" s="5">
        <v>54060.5331097772</v>
      </c>
      <c r="R1489" s="5">
        <v>7118.1729476780347</v>
      </c>
    </row>
    <row r="1490" spans="9:18">
      <c r="I1490" s="4">
        <v>1475</v>
      </c>
      <c r="J1490" s="5">
        <v>34933.039312618188</v>
      </c>
      <c r="K1490" s="5">
        <v>15782.544184844044</v>
      </c>
      <c r="L1490" s="5">
        <v>20698.842353987733</v>
      </c>
      <c r="M1490" s="5">
        <v>21913.431401527439</v>
      </c>
      <c r="N1490" s="5">
        <v>27833.630848857778</v>
      </c>
      <c r="O1490" s="5">
        <v>30656.031716467984</v>
      </c>
      <c r="P1490" s="5">
        <v>27708.613526855763</v>
      </c>
      <c r="Q1490" s="5">
        <v>48866.209623168346</v>
      </c>
      <c r="R1490" s="5">
        <v>7952.6989268572033</v>
      </c>
    </row>
    <row r="1491" spans="9:18">
      <c r="I1491" s="4">
        <v>1476</v>
      </c>
      <c r="J1491" s="5">
        <v>14538.277247583976</v>
      </c>
      <c r="K1491" s="5">
        <v>32073.547537933715</v>
      </c>
      <c r="L1491" s="5">
        <v>16451.333928028147</v>
      </c>
      <c r="M1491" s="5">
        <v>37411.178129764201</v>
      </c>
      <c r="N1491" s="5">
        <v>21931.347680292267</v>
      </c>
      <c r="O1491" s="5">
        <v>25644.588869829797</v>
      </c>
      <c r="P1491" s="5">
        <v>55152.110177667731</v>
      </c>
      <c r="Q1491" s="5">
        <v>15623.622662102793</v>
      </c>
      <c r="R1491" s="5">
        <v>17991.870496434763</v>
      </c>
    </row>
    <row r="1492" spans="9:18">
      <c r="I1492" s="4">
        <v>1477</v>
      </c>
      <c r="J1492" s="5">
        <v>15081.728672246438</v>
      </c>
      <c r="K1492" s="5">
        <v>16605.655749562578</v>
      </c>
      <c r="L1492" s="5">
        <v>15225.811035017256</v>
      </c>
      <c r="M1492" s="5">
        <v>36301.422888051464</v>
      </c>
      <c r="N1492" s="5">
        <v>15804.474686449519</v>
      </c>
      <c r="O1492" s="5">
        <v>15936.062371781712</v>
      </c>
      <c r="P1492" s="5">
        <v>16574.429708560569</v>
      </c>
      <c r="Q1492" s="5">
        <v>37101.531383212743</v>
      </c>
      <c r="R1492" s="5">
        <v>41056.152565483346</v>
      </c>
    </row>
    <row r="1493" spans="9:18">
      <c r="I1493" s="4">
        <v>1478</v>
      </c>
      <c r="J1493" s="5">
        <v>16088.430030489333</v>
      </c>
      <c r="K1493" s="5">
        <v>23934.551191616061</v>
      </c>
      <c r="L1493" s="5">
        <v>16071.260291253868</v>
      </c>
      <c r="M1493" s="5">
        <v>7334.8610818348589</v>
      </c>
      <c r="N1493" s="5">
        <v>15251.140047572881</v>
      </c>
      <c r="O1493" s="5">
        <v>62082.6862081785</v>
      </c>
      <c r="P1493" s="5">
        <v>3930.0915591834291</v>
      </c>
      <c r="Q1493" s="5">
        <v>28797.29222718185</v>
      </c>
      <c r="R1493" s="5">
        <v>8130.5639219412278</v>
      </c>
    </row>
    <row r="1494" spans="9:18">
      <c r="I1494" s="4">
        <v>1479</v>
      </c>
      <c r="J1494" s="5">
        <v>15417.870921574262</v>
      </c>
      <c r="K1494" s="5">
        <v>8124.7965732661823</v>
      </c>
      <c r="L1494" s="5">
        <v>14811.370758813007</v>
      </c>
      <c r="M1494" s="5">
        <v>12934.591863415189</v>
      </c>
      <c r="N1494" s="5">
        <v>13745.376566850549</v>
      </c>
      <c r="O1494" s="5">
        <v>3171.3006415671193</v>
      </c>
      <c r="P1494" s="5">
        <v>12639.596794453437</v>
      </c>
      <c r="Q1494" s="5">
        <v>44911.749632594299</v>
      </c>
      <c r="R1494" s="5">
        <v>65420.116221752483</v>
      </c>
    </row>
    <row r="1495" spans="9:18">
      <c r="I1495" s="4">
        <v>1480</v>
      </c>
      <c r="J1495" s="5">
        <v>14710.037865351254</v>
      </c>
      <c r="K1495" s="5">
        <v>18218.584572172625</v>
      </c>
      <c r="L1495" s="5">
        <v>22319.409576580376</v>
      </c>
      <c r="M1495" s="5">
        <v>14217.48832834715</v>
      </c>
      <c r="N1495" s="5">
        <v>16418.492928415813</v>
      </c>
      <c r="O1495" s="5">
        <v>27084.483614751469</v>
      </c>
      <c r="P1495" s="5">
        <v>12790.85158217316</v>
      </c>
      <c r="Q1495" s="5">
        <v>100789.83462564547</v>
      </c>
      <c r="R1495" s="5">
        <v>51141.799458534304</v>
      </c>
    </row>
    <row r="1496" spans="9:18">
      <c r="I1496" s="4">
        <v>1481</v>
      </c>
      <c r="J1496" s="5">
        <v>20002.201347927807</v>
      </c>
      <c r="K1496" s="5">
        <v>95171.967522309933</v>
      </c>
      <c r="L1496" s="5">
        <v>16014.071850041886</v>
      </c>
      <c r="M1496" s="5">
        <v>19042.78605337895</v>
      </c>
      <c r="N1496" s="5">
        <v>23043.345403059295</v>
      </c>
      <c r="O1496" s="5">
        <v>10738.305003664611</v>
      </c>
      <c r="P1496" s="5">
        <v>14327.191387816954</v>
      </c>
      <c r="Q1496" s="5">
        <v>17153.530968450712</v>
      </c>
      <c r="R1496" s="5">
        <v>40368.364083205248</v>
      </c>
    </row>
    <row r="1497" spans="9:18">
      <c r="I1497" s="4">
        <v>1482</v>
      </c>
      <c r="J1497" s="5">
        <v>16166.107684907736</v>
      </c>
      <c r="K1497" s="5">
        <v>11507.182177474708</v>
      </c>
      <c r="L1497" s="5">
        <v>27144.958215276103</v>
      </c>
      <c r="M1497" s="5">
        <v>13011.820191946215</v>
      </c>
      <c r="N1497" s="5">
        <v>18367.429489032103</v>
      </c>
      <c r="O1497" s="5">
        <v>16524.769946939996</v>
      </c>
      <c r="P1497" s="5">
        <v>9965.8330787532959</v>
      </c>
      <c r="Q1497" s="5">
        <v>9796.0979856104404</v>
      </c>
      <c r="R1497" s="5">
        <v>27349.63499959607</v>
      </c>
    </row>
    <row r="1498" spans="9:18">
      <c r="I1498" s="4">
        <v>1483</v>
      </c>
      <c r="J1498" s="5">
        <v>17592.832480262863</v>
      </c>
      <c r="K1498" s="5">
        <v>15698.764831033119</v>
      </c>
      <c r="L1498" s="5">
        <v>22412.045018675239</v>
      </c>
      <c r="M1498" s="5">
        <v>21272.00214469912</v>
      </c>
      <c r="N1498" s="5">
        <v>40377.252444397986</v>
      </c>
      <c r="O1498" s="5">
        <v>26268.613803794757</v>
      </c>
      <c r="P1498" s="5">
        <v>17974.179326980211</v>
      </c>
      <c r="Q1498" s="5">
        <v>17493.456269945855</v>
      </c>
      <c r="R1498" s="5">
        <v>7201.7586694681067</v>
      </c>
    </row>
    <row r="1499" spans="9:18">
      <c r="I1499" s="4">
        <v>1484</v>
      </c>
      <c r="J1499" s="5">
        <v>18650.249281571734</v>
      </c>
      <c r="K1499" s="5">
        <v>14579.232378315752</v>
      </c>
      <c r="L1499" s="5">
        <v>14610.165745300763</v>
      </c>
      <c r="M1499" s="5">
        <v>19151.339770278159</v>
      </c>
      <c r="N1499" s="5">
        <v>13511.694619545402</v>
      </c>
      <c r="O1499" s="5">
        <v>9320.7026593487881</v>
      </c>
      <c r="P1499" s="5">
        <v>16650.229067545235</v>
      </c>
      <c r="Q1499" s="5">
        <v>70295.978314632754</v>
      </c>
      <c r="R1499" s="5">
        <v>2071.5141323269809</v>
      </c>
    </row>
    <row r="1500" spans="9:18">
      <c r="I1500" s="4">
        <v>1485</v>
      </c>
      <c r="J1500" s="5">
        <v>15554.996700302558</v>
      </c>
      <c r="K1500" s="5">
        <v>22732.797143159998</v>
      </c>
      <c r="L1500" s="5">
        <v>14815.394001212817</v>
      </c>
      <c r="M1500" s="5">
        <v>16881.579299055</v>
      </c>
      <c r="N1500" s="5">
        <v>23998.040874392525</v>
      </c>
      <c r="O1500" s="5">
        <v>41653.890350944224</v>
      </c>
      <c r="P1500" s="5">
        <v>21813.848941464526</v>
      </c>
      <c r="Q1500" s="5">
        <v>48756.323642664109</v>
      </c>
      <c r="R1500" s="5">
        <v>89167.415757270224</v>
      </c>
    </row>
    <row r="1501" spans="9:18">
      <c r="I1501" s="4">
        <v>1486</v>
      </c>
      <c r="J1501" s="5">
        <v>14594.990625703947</v>
      </c>
      <c r="K1501" s="5">
        <v>14136.873097602549</v>
      </c>
      <c r="L1501" s="5">
        <v>21725.131459372977</v>
      </c>
      <c r="M1501" s="5">
        <v>19042.78605337895</v>
      </c>
      <c r="N1501" s="5">
        <v>57711.498171893618</v>
      </c>
      <c r="O1501" s="5">
        <v>27195.510785031525</v>
      </c>
      <c r="P1501" s="5">
        <v>24349.301972630979</v>
      </c>
      <c r="Q1501" s="5">
        <v>92068.726035424203</v>
      </c>
      <c r="R1501" s="5">
        <v>20303.08745527079</v>
      </c>
    </row>
    <row r="1502" spans="9:18">
      <c r="I1502" s="4">
        <v>1487</v>
      </c>
      <c r="J1502" s="5">
        <v>14420.293087375476</v>
      </c>
      <c r="K1502" s="5">
        <v>14579.232378315752</v>
      </c>
      <c r="L1502" s="5">
        <v>25007.552172398639</v>
      </c>
      <c r="M1502" s="5">
        <v>16842.379179328669</v>
      </c>
      <c r="N1502" s="5">
        <v>17214.078970533748</v>
      </c>
      <c r="O1502" s="5">
        <v>16462.170789592048</v>
      </c>
      <c r="P1502" s="5">
        <v>21933.779100635442</v>
      </c>
      <c r="Q1502" s="5">
        <v>17153.530968450712</v>
      </c>
      <c r="R1502" s="5">
        <v>3311.4906988006405</v>
      </c>
    </row>
    <row r="1503" spans="9:18">
      <c r="I1503" s="4">
        <v>1488</v>
      </c>
      <c r="J1503" s="5">
        <v>13595.404057849493</v>
      </c>
      <c r="K1503" s="5">
        <v>32073.547537933715</v>
      </c>
      <c r="L1503" s="5">
        <v>16955.349467865559</v>
      </c>
      <c r="M1503" s="5">
        <v>16500.222621933419</v>
      </c>
      <c r="N1503" s="5">
        <v>26152.705108198839</v>
      </c>
      <c r="O1503" s="5">
        <v>35865.625349531729</v>
      </c>
      <c r="P1503" s="5">
        <v>36724.352187786957</v>
      </c>
      <c r="Q1503" s="5">
        <v>6386.5227360487288</v>
      </c>
      <c r="R1503" s="5">
        <v>3433.6677391851467</v>
      </c>
    </row>
    <row r="1504" spans="9:18">
      <c r="I1504" s="4">
        <v>1489</v>
      </c>
      <c r="J1504" s="5">
        <v>11116.191595722205</v>
      </c>
      <c r="K1504" s="5">
        <v>11857.447519815871</v>
      </c>
      <c r="L1504" s="5">
        <v>10752.183901283248</v>
      </c>
      <c r="M1504" s="5">
        <v>20185.026038758231</v>
      </c>
      <c r="N1504" s="5">
        <v>37309.151967087455</v>
      </c>
      <c r="O1504" s="5">
        <v>62082.6862081785</v>
      </c>
      <c r="P1504" s="5">
        <v>9047.5556949992188</v>
      </c>
      <c r="Q1504" s="5">
        <v>116445.46783345108</v>
      </c>
      <c r="R1504" s="5">
        <v>181970.23111012415</v>
      </c>
    </row>
    <row r="1505" spans="9:18">
      <c r="I1505" s="4">
        <v>1490</v>
      </c>
      <c r="J1505" s="5">
        <v>15064.079707240266</v>
      </c>
      <c r="K1505" s="5">
        <v>53937.689698015136</v>
      </c>
      <c r="L1505" s="5">
        <v>17716.90539191998</v>
      </c>
      <c r="M1505" s="5">
        <v>12735.841453044006</v>
      </c>
      <c r="N1505" s="5">
        <v>15130.853682762778</v>
      </c>
      <c r="O1505" s="5">
        <v>27195.510785031525</v>
      </c>
      <c r="P1505" s="5">
        <v>38024.168395914428</v>
      </c>
      <c r="Q1505" s="5">
        <v>31019.493883163672</v>
      </c>
      <c r="R1505" s="5">
        <v>8046.7106309763258</v>
      </c>
    </row>
    <row r="1506" spans="9:18">
      <c r="I1506" s="4">
        <v>1491</v>
      </c>
      <c r="J1506" s="5">
        <v>14750.660273177687</v>
      </c>
      <c r="K1506" s="5">
        <v>15631.937142257386</v>
      </c>
      <c r="L1506" s="5">
        <v>10896.494237357269</v>
      </c>
      <c r="M1506" s="5">
        <v>17370.588707072598</v>
      </c>
      <c r="N1506" s="5">
        <v>46248.895746171031</v>
      </c>
      <c r="O1506" s="5">
        <v>27195.510785031525</v>
      </c>
      <c r="P1506" s="5">
        <v>26541.896041444568</v>
      </c>
      <c r="Q1506" s="5">
        <v>8474.2603471579441</v>
      </c>
      <c r="R1506" s="5">
        <v>24831.679362998926</v>
      </c>
    </row>
    <row r="1507" spans="9:18">
      <c r="I1507" s="4">
        <v>1492</v>
      </c>
      <c r="J1507" s="5">
        <v>13918.242013140338</v>
      </c>
      <c r="K1507" s="5">
        <v>14674.169276244838</v>
      </c>
      <c r="L1507" s="5">
        <v>10896.494237357269</v>
      </c>
      <c r="M1507" s="5">
        <v>16001.653036457456</v>
      </c>
      <c r="N1507" s="5">
        <v>29468.83360104046</v>
      </c>
      <c r="O1507" s="5">
        <v>20827.029306810669</v>
      </c>
      <c r="P1507" s="5">
        <v>17737.38315098183</v>
      </c>
      <c r="Q1507" s="5">
        <v>17234.335939857254</v>
      </c>
      <c r="R1507" s="5">
        <v>72640.340924600489</v>
      </c>
    </row>
    <row r="1508" spans="9:18">
      <c r="I1508" s="4">
        <v>1493</v>
      </c>
      <c r="J1508" s="5">
        <v>11843.28062342474</v>
      </c>
      <c r="K1508" s="5">
        <v>15347.101709242541</v>
      </c>
      <c r="L1508" s="5">
        <v>20698.842353987733</v>
      </c>
      <c r="M1508" s="5">
        <v>13022.686998540772</v>
      </c>
      <c r="N1508" s="5">
        <v>48565.498233359976</v>
      </c>
      <c r="O1508" s="5">
        <v>53028.643350899503</v>
      </c>
      <c r="P1508" s="5">
        <v>9811.9720599964548</v>
      </c>
      <c r="Q1508" s="5">
        <v>44911.749632594299</v>
      </c>
      <c r="R1508" s="5">
        <v>5865.9802599669383</v>
      </c>
    </row>
    <row r="1509" spans="9:18">
      <c r="I1509" s="4">
        <v>1494</v>
      </c>
      <c r="J1509" s="5">
        <v>17679.321624063952</v>
      </c>
      <c r="K1509" s="5">
        <v>16132.555399908759</v>
      </c>
      <c r="L1509" s="5">
        <v>16616.161224349555</v>
      </c>
      <c r="M1509" s="5">
        <v>17116.951435661951</v>
      </c>
      <c r="N1509" s="5">
        <v>21933.097106966918</v>
      </c>
      <c r="O1509" s="5">
        <v>30876.675913171162</v>
      </c>
      <c r="P1509" s="5">
        <v>3930.0915591834291</v>
      </c>
      <c r="Q1509" s="5">
        <v>3272.4685014937832</v>
      </c>
      <c r="R1509" s="5">
        <v>72640.340924600489</v>
      </c>
    </row>
    <row r="1510" spans="9:18">
      <c r="I1510" s="4">
        <v>1495</v>
      </c>
      <c r="J1510" s="5">
        <v>43272.831879770602</v>
      </c>
      <c r="K1510" s="5">
        <v>15347.101709242541</v>
      </c>
      <c r="L1510" s="5">
        <v>10752.183901283248</v>
      </c>
      <c r="M1510" s="5">
        <v>17116.951435661951</v>
      </c>
      <c r="N1510" s="5">
        <v>12592.300437162297</v>
      </c>
      <c r="O1510" s="5">
        <v>6199.3195463515376</v>
      </c>
      <c r="P1510" s="5">
        <v>8877.9712092977989</v>
      </c>
      <c r="Q1510" s="5">
        <v>4924.9171270300558</v>
      </c>
      <c r="R1510" s="5">
        <v>72561.496699005787</v>
      </c>
    </row>
    <row r="1511" spans="9:18">
      <c r="I1511" s="4">
        <v>1496</v>
      </c>
      <c r="J1511" s="5">
        <v>29760.443016608337</v>
      </c>
      <c r="K1511" s="5">
        <v>15391.837334808681</v>
      </c>
      <c r="L1511" s="5">
        <v>15664.99858445921</v>
      </c>
      <c r="M1511" s="5">
        <v>18816.787977140237</v>
      </c>
      <c r="N1511" s="5">
        <v>21009.255892677338</v>
      </c>
      <c r="O1511" s="5">
        <v>9320.7026593487881</v>
      </c>
      <c r="P1511" s="5">
        <v>31127.87225845682</v>
      </c>
      <c r="Q1511" s="5">
        <v>148345.62878828164</v>
      </c>
      <c r="R1511" s="5">
        <v>7879.038918914337</v>
      </c>
    </row>
    <row r="1512" spans="9:18">
      <c r="I1512" s="4">
        <v>1497</v>
      </c>
      <c r="J1512" s="5">
        <v>11854.381651026555</v>
      </c>
      <c r="K1512" s="5">
        <v>14579.232378315752</v>
      </c>
      <c r="L1512" s="5">
        <v>15161.007794371622</v>
      </c>
      <c r="M1512" s="5">
        <v>10142.860128720422</v>
      </c>
      <c r="N1512" s="5">
        <v>22868.569282757788</v>
      </c>
      <c r="O1512" s="5">
        <v>67717.30633712461</v>
      </c>
      <c r="P1512" s="5">
        <v>27708.613526855763</v>
      </c>
      <c r="Q1512" s="5">
        <v>27018.509959127641</v>
      </c>
      <c r="R1512" s="5">
        <v>18230.645544621442</v>
      </c>
    </row>
    <row r="1513" spans="9:18">
      <c r="I1513" s="4">
        <v>1498</v>
      </c>
      <c r="J1513" s="5">
        <v>9405.362381917912</v>
      </c>
      <c r="K1513" s="5">
        <v>18086.448513145526</v>
      </c>
      <c r="L1513" s="5">
        <v>27289.607394458035</v>
      </c>
      <c r="M1513" s="5">
        <v>17349.963215818931</v>
      </c>
      <c r="N1513" s="5">
        <v>21617.945168312468</v>
      </c>
      <c r="O1513" s="5">
        <v>13966.178986479143</v>
      </c>
      <c r="P1513" s="5">
        <v>12639.596794453437</v>
      </c>
      <c r="Q1513" s="5">
        <v>79566.621912742485</v>
      </c>
      <c r="R1513" s="5">
        <v>87776.138236389699</v>
      </c>
    </row>
    <row r="1514" spans="9:18">
      <c r="I1514" s="4">
        <v>1499</v>
      </c>
      <c r="J1514" s="5">
        <v>14749.343145806102</v>
      </c>
      <c r="K1514" s="5">
        <v>32073.547537933715</v>
      </c>
      <c r="L1514" s="5">
        <v>15126.980926457318</v>
      </c>
      <c r="M1514" s="5">
        <v>41403.687663920646</v>
      </c>
      <c r="N1514" s="5">
        <v>9563.1256545330361</v>
      </c>
      <c r="O1514" s="5">
        <v>51330.340277512776</v>
      </c>
      <c r="P1514" s="5">
        <v>6275.8915673055426</v>
      </c>
      <c r="Q1514" s="5">
        <v>59134.059519022907</v>
      </c>
      <c r="R1514" s="5">
        <v>7952.6989268572033</v>
      </c>
    </row>
    <row r="1515" spans="9:18">
      <c r="I1515" s="4">
        <v>1500</v>
      </c>
      <c r="J1515" s="5">
        <v>7855.2948890116513</v>
      </c>
      <c r="K1515" s="5">
        <v>13331.01856102917</v>
      </c>
      <c r="L1515" s="5">
        <v>19078.910217042379</v>
      </c>
      <c r="M1515" s="5">
        <v>19433.64679949253</v>
      </c>
      <c r="N1515" s="5">
        <v>48565.498233359976</v>
      </c>
      <c r="O1515" s="5">
        <v>79848.944504816522</v>
      </c>
      <c r="P1515" s="5">
        <v>21039.927746191301</v>
      </c>
      <c r="Q1515" s="5">
        <v>48866.209623168346</v>
      </c>
      <c r="R1515" s="5">
        <v>7394.6358885760465</v>
      </c>
    </row>
    <row r="1516" spans="9:18">
      <c r="I1516" s="4">
        <v>1501</v>
      </c>
      <c r="J1516" s="5">
        <v>20768.286261788198</v>
      </c>
      <c r="K1516" s="5">
        <v>13559.080695844099</v>
      </c>
      <c r="L1516" s="5">
        <v>25007.552172398639</v>
      </c>
      <c r="M1516" s="5">
        <v>13139.022167648376</v>
      </c>
      <c r="N1516" s="5">
        <v>17891.96347244953</v>
      </c>
      <c r="O1516" s="5">
        <v>32474.063027682765</v>
      </c>
      <c r="P1516" s="5">
        <v>41657.50350099193</v>
      </c>
      <c r="Q1516" s="5">
        <v>22145.301831504508</v>
      </c>
      <c r="R1516" s="5">
        <v>1535.701520095213</v>
      </c>
    </row>
    <row r="1517" spans="9:18">
      <c r="I1517" s="4">
        <v>1502</v>
      </c>
      <c r="J1517" s="5">
        <v>9368.8270679249108</v>
      </c>
      <c r="K1517" s="5">
        <v>8223.1266007477425</v>
      </c>
      <c r="L1517" s="5">
        <v>21954.536591034263</v>
      </c>
      <c r="M1517" s="5">
        <v>16842.379179328669</v>
      </c>
      <c r="N1517" s="5">
        <v>63974.903847153939</v>
      </c>
      <c r="O1517" s="5">
        <v>35865.625349531729</v>
      </c>
      <c r="P1517" s="5">
        <v>27452.975716953504</v>
      </c>
      <c r="Q1517" s="5">
        <v>19541.409060825732</v>
      </c>
      <c r="R1517" s="5">
        <v>13258.538726001538</v>
      </c>
    </row>
    <row r="1518" spans="9:18">
      <c r="I1518" s="4">
        <v>1503</v>
      </c>
      <c r="J1518" s="5">
        <v>28085.9245102444</v>
      </c>
      <c r="K1518" s="5">
        <v>17495.743706488822</v>
      </c>
      <c r="L1518" s="5">
        <v>11827.803406885578</v>
      </c>
      <c r="M1518" s="5">
        <v>20788.503422877813</v>
      </c>
      <c r="N1518" s="5">
        <v>21617.945168312468</v>
      </c>
      <c r="O1518" s="5">
        <v>9869.5889207969612</v>
      </c>
      <c r="P1518" s="5">
        <v>22601.57564624758</v>
      </c>
      <c r="Q1518" s="5">
        <v>22145.301831504508</v>
      </c>
      <c r="R1518" s="5">
        <v>2180.6148629084787</v>
      </c>
    </row>
    <row r="1519" spans="9:18">
      <c r="I1519" s="4">
        <v>1504</v>
      </c>
      <c r="J1519" s="5">
        <v>13447.638004246244</v>
      </c>
      <c r="K1519" s="5">
        <v>15391.837334808681</v>
      </c>
      <c r="L1519" s="5">
        <v>15832.5469007027</v>
      </c>
      <c r="M1519" s="5">
        <v>19097.39635881727</v>
      </c>
      <c r="N1519" s="5">
        <v>20718.434293991453</v>
      </c>
      <c r="O1519" s="5">
        <v>24369.28567093279</v>
      </c>
      <c r="P1519" s="5">
        <v>44816.412248582856</v>
      </c>
      <c r="Q1519" s="5">
        <v>18097.768262249352</v>
      </c>
      <c r="R1519" s="5">
        <v>54594.567438884274</v>
      </c>
    </row>
    <row r="1520" spans="9:18">
      <c r="I1520" s="4">
        <v>1505</v>
      </c>
      <c r="J1520" s="5">
        <v>16145.071869702888</v>
      </c>
      <c r="K1520" s="5">
        <v>13520.836427679104</v>
      </c>
      <c r="L1520" s="5">
        <v>14146.191653372813</v>
      </c>
      <c r="M1520" s="5">
        <v>18879.640760542785</v>
      </c>
      <c r="N1520" s="5">
        <v>15130.853682762778</v>
      </c>
      <c r="O1520" s="5">
        <v>10746.295275180995</v>
      </c>
      <c r="P1520" s="5">
        <v>16072.735485912413</v>
      </c>
      <c r="Q1520" s="5">
        <v>17493.456269945855</v>
      </c>
      <c r="R1520" s="5">
        <v>46004.399892616471</v>
      </c>
    </row>
    <row r="1521" spans="9:18">
      <c r="I1521" s="4">
        <v>1506</v>
      </c>
      <c r="J1521" s="5">
        <v>19467.17453557903</v>
      </c>
      <c r="K1521" s="5">
        <v>35488.449387009874</v>
      </c>
      <c r="L1521" s="5">
        <v>18379.634651549037</v>
      </c>
      <c r="M1521" s="5">
        <v>10142.860128720422</v>
      </c>
      <c r="N1521" s="5">
        <v>23583.581287126868</v>
      </c>
      <c r="O1521" s="5">
        <v>30608.431994348266</v>
      </c>
      <c r="P1521" s="5">
        <v>12639.596794453437</v>
      </c>
      <c r="Q1521" s="5">
        <v>27018.509959127641</v>
      </c>
      <c r="R1521" s="5">
        <v>19133.693426869788</v>
      </c>
    </row>
    <row r="1522" spans="9:18">
      <c r="I1522" s="4">
        <v>1507</v>
      </c>
      <c r="J1522" s="5">
        <v>16544.73779470181</v>
      </c>
      <c r="K1522" s="5">
        <v>11403.533194020869</v>
      </c>
      <c r="L1522" s="5">
        <v>14811.370758813007</v>
      </c>
      <c r="M1522" s="5">
        <v>23913.435663027711</v>
      </c>
      <c r="N1522" s="5">
        <v>13909.728487455486</v>
      </c>
      <c r="O1522" s="5">
        <v>51330.340277512776</v>
      </c>
      <c r="P1522" s="5">
        <v>34814.458119125498</v>
      </c>
      <c r="Q1522" s="5">
        <v>116445.46783345108</v>
      </c>
      <c r="R1522" s="5">
        <v>7118.1729476780347</v>
      </c>
    </row>
    <row r="1523" spans="9:18">
      <c r="I1523" s="4">
        <v>1508</v>
      </c>
      <c r="J1523" s="5">
        <v>22370.105711697011</v>
      </c>
      <c r="K1523" s="5">
        <v>35488.449387009874</v>
      </c>
      <c r="L1523" s="5">
        <v>10896.494237357269</v>
      </c>
      <c r="M1523" s="5">
        <v>10451.914120098167</v>
      </c>
      <c r="N1523" s="5">
        <v>29468.83360104046</v>
      </c>
      <c r="O1523" s="5">
        <v>42492.261063288854</v>
      </c>
      <c r="P1523" s="5">
        <v>18862.487147419793</v>
      </c>
      <c r="Q1523" s="5">
        <v>22895.455950885695</v>
      </c>
      <c r="R1523" s="5">
        <v>40368.364083205248</v>
      </c>
    </row>
    <row r="1524" spans="9:18">
      <c r="I1524" s="4">
        <v>1509</v>
      </c>
      <c r="J1524" s="5">
        <v>28214.771032351968</v>
      </c>
      <c r="K1524" s="5">
        <v>14017.262946034314</v>
      </c>
      <c r="L1524" s="5">
        <v>16106.634875163341</v>
      </c>
      <c r="M1524" s="5">
        <v>13022.686998540772</v>
      </c>
      <c r="N1524" s="5">
        <v>15658.063692994532</v>
      </c>
      <c r="O1524" s="5">
        <v>9956.4031238965053</v>
      </c>
      <c r="P1524" s="5">
        <v>9811.9720599964548</v>
      </c>
      <c r="Q1524" s="5">
        <v>27018.509959127641</v>
      </c>
      <c r="R1524" s="5">
        <v>6360.7905155660001</v>
      </c>
    </row>
    <row r="1525" spans="9:18">
      <c r="I1525" s="4">
        <v>1510</v>
      </c>
      <c r="J1525" s="5">
        <v>14017.326487344162</v>
      </c>
      <c r="K1525" s="5">
        <v>21187.174639714212</v>
      </c>
      <c r="L1525" s="5">
        <v>17128.574519497746</v>
      </c>
      <c r="M1525" s="5">
        <v>36301.422888051464</v>
      </c>
      <c r="N1525" s="5">
        <v>11952.903761138405</v>
      </c>
      <c r="O1525" s="5">
        <v>32474.063027682765</v>
      </c>
      <c r="P1525" s="5">
        <v>23769.190223735484</v>
      </c>
      <c r="Q1525" s="5">
        <v>20987.925664394581</v>
      </c>
      <c r="R1525" s="5">
        <v>41418.225609677866</v>
      </c>
    </row>
    <row r="1526" spans="9:18">
      <c r="I1526" s="4">
        <v>1511</v>
      </c>
      <c r="J1526" s="5">
        <v>9405.362381917912</v>
      </c>
      <c r="K1526" s="5">
        <v>17003.901855709089</v>
      </c>
      <c r="L1526" s="5">
        <v>15764.107424863063</v>
      </c>
      <c r="M1526" s="5">
        <v>22961.931350882205</v>
      </c>
      <c r="N1526" s="5">
        <v>24020.875410266352</v>
      </c>
      <c r="O1526" s="5">
        <v>27503.656957929088</v>
      </c>
      <c r="P1526" s="5">
        <v>3017.2887813579896</v>
      </c>
      <c r="Q1526" s="5">
        <v>148345.62878828164</v>
      </c>
      <c r="R1526" s="5">
        <v>55012.315589742022</v>
      </c>
    </row>
    <row r="1527" spans="9:18">
      <c r="I1527" s="4">
        <v>1512</v>
      </c>
      <c r="J1527" s="5">
        <v>27392.038553726634</v>
      </c>
      <c r="K1527" s="5">
        <v>15768.312122029349</v>
      </c>
      <c r="L1527" s="5">
        <v>14316.474075738101</v>
      </c>
      <c r="M1527" s="5">
        <v>16500.222621933419</v>
      </c>
      <c r="N1527" s="5">
        <v>22868.569282757788</v>
      </c>
      <c r="O1527" s="5">
        <v>20489.622805425737</v>
      </c>
      <c r="P1527" s="5">
        <v>20403.656304140692</v>
      </c>
      <c r="Q1527" s="5">
        <v>21421.044775857536</v>
      </c>
      <c r="R1527" s="5">
        <v>8130.5639219412278</v>
      </c>
    </row>
    <row r="1528" spans="9:18">
      <c r="I1528" s="4">
        <v>1513</v>
      </c>
      <c r="J1528" s="5">
        <v>14680.308400328413</v>
      </c>
      <c r="K1528" s="5">
        <v>10931.803935361211</v>
      </c>
      <c r="L1528" s="5">
        <v>21725.131459372977</v>
      </c>
      <c r="M1528" s="5">
        <v>21712.71007234112</v>
      </c>
      <c r="N1528" s="5">
        <v>11684.605182472778</v>
      </c>
      <c r="O1528" s="5">
        <v>27503.656957929088</v>
      </c>
      <c r="P1528" s="5">
        <v>54292.749740228588</v>
      </c>
      <c r="Q1528" s="5">
        <v>79566.621912742485</v>
      </c>
      <c r="R1528" s="5">
        <v>39788.288251916689</v>
      </c>
    </row>
    <row r="1529" spans="9:18">
      <c r="I1529" s="4">
        <v>1514</v>
      </c>
      <c r="J1529" s="5">
        <v>12035.382213755307</v>
      </c>
      <c r="K1529" s="5">
        <v>16674.541027260992</v>
      </c>
      <c r="L1529" s="5">
        <v>17693.864646288712</v>
      </c>
      <c r="M1529" s="5">
        <v>7334.8610818348589</v>
      </c>
      <c r="N1529" s="5">
        <v>16148.901635865295</v>
      </c>
      <c r="O1529" s="5">
        <v>14371.728352806511</v>
      </c>
      <c r="P1529" s="5">
        <v>22601.57564624758</v>
      </c>
      <c r="Q1529" s="5">
        <v>3272.4685014937832</v>
      </c>
      <c r="R1529" s="5">
        <v>7879.038918914337</v>
      </c>
    </row>
    <row r="1530" spans="9:18">
      <c r="I1530" s="4">
        <v>1515</v>
      </c>
      <c r="J1530" s="5">
        <v>15130.594750069789</v>
      </c>
      <c r="K1530" s="5">
        <v>11403.533194020869</v>
      </c>
      <c r="L1530" s="5">
        <v>14264.23790876064</v>
      </c>
      <c r="M1530" s="5">
        <v>21072.983263501868</v>
      </c>
      <c r="N1530" s="5">
        <v>15251.140047572881</v>
      </c>
      <c r="O1530" s="5">
        <v>40304.23053285561</v>
      </c>
      <c r="P1530" s="5">
        <v>35213.322626437533</v>
      </c>
      <c r="Q1530" s="5">
        <v>92068.726035424203</v>
      </c>
      <c r="R1530" s="5">
        <v>50287.76786557267</v>
      </c>
    </row>
    <row r="1531" spans="9:18">
      <c r="I1531" s="4">
        <v>1516</v>
      </c>
      <c r="J1531" s="5">
        <v>13447.638004246244</v>
      </c>
      <c r="K1531" s="5">
        <v>15428.770955406064</v>
      </c>
      <c r="L1531" s="5">
        <v>18379.634651549037</v>
      </c>
      <c r="M1531" s="5">
        <v>41403.687663920646</v>
      </c>
      <c r="N1531" s="5">
        <v>20718.434293991453</v>
      </c>
      <c r="O1531" s="5">
        <v>9320.7026593487881</v>
      </c>
      <c r="P1531" s="5">
        <v>35569.894390728325</v>
      </c>
      <c r="Q1531" s="5">
        <v>31902.904306425251</v>
      </c>
      <c r="R1531" s="5">
        <v>19133.693426869788</v>
      </c>
    </row>
    <row r="1532" spans="9:18">
      <c r="I1532" s="4">
        <v>1517</v>
      </c>
      <c r="J1532" s="5">
        <v>9368.8270679249108</v>
      </c>
      <c r="K1532" s="5">
        <v>35488.449387009874</v>
      </c>
      <c r="L1532" s="5">
        <v>21428.663623484812</v>
      </c>
      <c r="M1532" s="5">
        <v>42282.977640783138</v>
      </c>
      <c r="N1532" s="5">
        <v>23998.040874392525</v>
      </c>
      <c r="O1532" s="5">
        <v>27508.313315384185</v>
      </c>
      <c r="P1532" s="5">
        <v>54100.778483493887</v>
      </c>
      <c r="Q1532" s="5">
        <v>2356.8990887111336</v>
      </c>
      <c r="R1532" s="5">
        <v>19133.693426869788</v>
      </c>
    </row>
    <row r="1533" spans="9:18">
      <c r="I1533" s="4">
        <v>1518</v>
      </c>
      <c r="J1533" s="5">
        <v>15130.594750069789</v>
      </c>
      <c r="K1533" s="5">
        <v>34164.842952759042</v>
      </c>
      <c r="L1533" s="5">
        <v>14610.165745300763</v>
      </c>
      <c r="M1533" s="5">
        <v>31472.019071027709</v>
      </c>
      <c r="N1533" s="5">
        <v>22511.351424689696</v>
      </c>
      <c r="O1533" s="5">
        <v>18637.945795127704</v>
      </c>
      <c r="P1533" s="5">
        <v>54923.423457863879</v>
      </c>
      <c r="Q1533" s="5">
        <v>9652.8114206999071</v>
      </c>
      <c r="R1533" s="5">
        <v>9913.4206865238284</v>
      </c>
    </row>
    <row r="1534" spans="9:18">
      <c r="I1534" s="4">
        <v>1519</v>
      </c>
      <c r="J1534" s="5">
        <v>9368.8270679249108</v>
      </c>
      <c r="K1534" s="5">
        <v>21218.439146892688</v>
      </c>
      <c r="L1534" s="5">
        <v>14364.472927446199</v>
      </c>
      <c r="M1534" s="5">
        <v>20550.782384061673</v>
      </c>
      <c r="N1534" s="5">
        <v>17891.96347244953</v>
      </c>
      <c r="O1534" s="5">
        <v>53028.643350899503</v>
      </c>
      <c r="P1534" s="5">
        <v>8069.5385577067918</v>
      </c>
      <c r="Q1534" s="5">
        <v>9645.8788061228515</v>
      </c>
      <c r="R1534" s="5">
        <v>39263.770877572199</v>
      </c>
    </row>
    <row r="1535" spans="9:18">
      <c r="I1535" s="4">
        <v>1520</v>
      </c>
      <c r="J1535" s="5">
        <v>14344.692898101612</v>
      </c>
      <c r="K1535" s="5">
        <v>20887.307279900142</v>
      </c>
      <c r="L1535" s="5">
        <v>10896.494237357269</v>
      </c>
      <c r="M1535" s="5">
        <v>17542.15972125496</v>
      </c>
      <c r="N1535" s="5">
        <v>46248.895746171031</v>
      </c>
      <c r="O1535" s="5">
        <v>27195.510785031525</v>
      </c>
      <c r="P1535" s="5">
        <v>9633.1652908310007</v>
      </c>
      <c r="Q1535" s="5">
        <v>14064.158297039334</v>
      </c>
      <c r="R1535" s="5">
        <v>30571.564004538617</v>
      </c>
    </row>
    <row r="1536" spans="9:18">
      <c r="I1536" s="4">
        <v>1521</v>
      </c>
      <c r="J1536" s="5">
        <v>14017.326487344162</v>
      </c>
      <c r="K1536" s="5">
        <v>11558.357574452555</v>
      </c>
      <c r="L1536" s="5">
        <v>15060.431658965737</v>
      </c>
      <c r="M1536" s="5">
        <v>21833.004790208965</v>
      </c>
      <c r="N1536" s="5">
        <v>21617.945168312468</v>
      </c>
      <c r="O1536" s="5">
        <v>40304.23053285561</v>
      </c>
      <c r="P1536" s="5">
        <v>48123.003747643132</v>
      </c>
      <c r="Q1536" s="5">
        <v>15623.622662102793</v>
      </c>
      <c r="R1536" s="5">
        <v>33863.04333215439</v>
      </c>
    </row>
    <row r="1537" spans="9:18">
      <c r="I1537" s="4">
        <v>1522</v>
      </c>
      <c r="J1537" s="5">
        <v>11843.28062342474</v>
      </c>
      <c r="K1537" s="5">
        <v>11149.572204897504</v>
      </c>
      <c r="L1537" s="5">
        <v>14364.472927446199</v>
      </c>
      <c r="M1537" s="5">
        <v>23449.501569180404</v>
      </c>
      <c r="N1537" s="5">
        <v>37309.151967087455</v>
      </c>
      <c r="O1537" s="5">
        <v>4231.3144655921506</v>
      </c>
      <c r="P1537" s="5">
        <v>38024.168395914428</v>
      </c>
      <c r="Q1537" s="5">
        <v>28776.080424849053</v>
      </c>
      <c r="R1537" s="5">
        <v>91403.228438796665</v>
      </c>
    </row>
    <row r="1538" spans="9:18">
      <c r="I1538" s="4">
        <v>1523</v>
      </c>
      <c r="J1538" s="5">
        <v>14538.277247583976</v>
      </c>
      <c r="K1538" s="5">
        <v>14878.52734402675</v>
      </c>
      <c r="L1538" s="5">
        <v>14610.165745300763</v>
      </c>
      <c r="M1538" s="5">
        <v>36301.422888051464</v>
      </c>
      <c r="N1538" s="5">
        <v>13511.694619545402</v>
      </c>
      <c r="O1538" s="5">
        <v>10369.402667058452</v>
      </c>
      <c r="P1538" s="5">
        <v>16072.735485912413</v>
      </c>
      <c r="Q1538" s="5">
        <v>22145.301831504508</v>
      </c>
      <c r="R1538" s="5">
        <v>8105.1944146993656</v>
      </c>
    </row>
    <row r="1539" spans="9:18">
      <c r="I1539" s="4">
        <v>1524</v>
      </c>
      <c r="J1539" s="5">
        <v>20768.286261788198</v>
      </c>
      <c r="K1539" s="5">
        <v>12777.667398488715</v>
      </c>
      <c r="L1539" s="5">
        <v>14815.394001212817</v>
      </c>
      <c r="M1539" s="5">
        <v>30830.81083227017</v>
      </c>
      <c r="N1539" s="5">
        <v>15658.063692994532</v>
      </c>
      <c r="O1539" s="5">
        <v>77417.02098927302</v>
      </c>
      <c r="P1539" s="5">
        <v>22708.601480587709</v>
      </c>
      <c r="Q1539" s="5">
        <v>19541.409060825732</v>
      </c>
      <c r="R1539" s="5">
        <v>29295.938844292672</v>
      </c>
    </row>
    <row r="1540" spans="9:18">
      <c r="I1540" s="4">
        <v>1525</v>
      </c>
      <c r="J1540" s="5">
        <v>14741.240040396578</v>
      </c>
      <c r="K1540" s="5">
        <v>14611.618478071941</v>
      </c>
      <c r="L1540" s="5">
        <v>15746.942257105531</v>
      </c>
      <c r="M1540" s="5">
        <v>11529.920007560097</v>
      </c>
      <c r="N1540" s="5">
        <v>11952.903761138405</v>
      </c>
      <c r="O1540" s="5">
        <v>13519.384207850644</v>
      </c>
      <c r="P1540" s="5">
        <v>35569.894390728325</v>
      </c>
      <c r="Q1540" s="5">
        <v>19315.033835554255</v>
      </c>
      <c r="R1540" s="5">
        <v>29295.938844292672</v>
      </c>
    </row>
    <row r="1541" spans="9:18">
      <c r="I1541" s="4">
        <v>1526</v>
      </c>
      <c r="J1541" s="5">
        <v>16788.081681455456</v>
      </c>
      <c r="K1541" s="5">
        <v>16081.362509465702</v>
      </c>
      <c r="L1541" s="5">
        <v>13417.453622029931</v>
      </c>
      <c r="M1541" s="5">
        <v>23515.935489506261</v>
      </c>
      <c r="N1541" s="5">
        <v>9989.086510768735</v>
      </c>
      <c r="O1541" s="5">
        <v>20827.029306810669</v>
      </c>
      <c r="P1541" s="5">
        <v>44816.412248582856</v>
      </c>
      <c r="Q1541" s="5">
        <v>15623.622662102793</v>
      </c>
      <c r="R1541" s="5">
        <v>261393.32711858812</v>
      </c>
    </row>
    <row r="1542" spans="9:18">
      <c r="I1542" s="4">
        <v>1527</v>
      </c>
      <c r="J1542" s="5">
        <v>14420.293087375476</v>
      </c>
      <c r="K1542" s="5">
        <v>18218.584572172625</v>
      </c>
      <c r="L1542" s="5">
        <v>34748.877779456467</v>
      </c>
      <c r="M1542" s="5">
        <v>31554.722481137964</v>
      </c>
      <c r="N1542" s="5">
        <v>41563.89847100406</v>
      </c>
      <c r="O1542" s="5">
        <v>10746.295275180995</v>
      </c>
      <c r="P1542" s="5">
        <v>38771.994792132391</v>
      </c>
      <c r="Q1542" s="5">
        <v>7457.1844090365566</v>
      </c>
      <c r="R1542" s="5">
        <v>3433.6677391851467</v>
      </c>
    </row>
    <row r="1543" spans="9:18">
      <c r="I1543" s="4">
        <v>1528</v>
      </c>
      <c r="J1543" s="5">
        <v>13391.049101507895</v>
      </c>
      <c r="K1543" s="5">
        <v>9769.3659785458403</v>
      </c>
      <c r="L1543" s="5">
        <v>16071.478531535273</v>
      </c>
      <c r="M1543" s="5">
        <v>16510.442870615672</v>
      </c>
      <c r="N1543" s="5">
        <v>11684.605182472778</v>
      </c>
      <c r="O1543" s="5">
        <v>10676.618215263648</v>
      </c>
      <c r="P1543" s="5">
        <v>26541.896041444568</v>
      </c>
      <c r="Q1543" s="5">
        <v>48756.323642664109</v>
      </c>
      <c r="R1543" s="5">
        <v>181970.23111012415</v>
      </c>
    </row>
    <row r="1544" spans="9:18">
      <c r="I1544" s="4">
        <v>1529</v>
      </c>
      <c r="J1544" s="5">
        <v>9405.362381917912</v>
      </c>
      <c r="K1544" s="5">
        <v>16952.949313901812</v>
      </c>
      <c r="L1544" s="5">
        <v>25389.332759288587</v>
      </c>
      <c r="M1544" s="5">
        <v>21712.71007234112</v>
      </c>
      <c r="N1544" s="5">
        <v>4770.4216775830728</v>
      </c>
      <c r="O1544" s="5">
        <v>66253.993323243907</v>
      </c>
      <c r="P1544" s="5">
        <v>12639.596794453437</v>
      </c>
      <c r="Q1544" s="5">
        <v>71213.172792303565</v>
      </c>
      <c r="R1544" s="5">
        <v>44707.053087992797</v>
      </c>
    </row>
    <row r="1545" spans="9:18">
      <c r="I1545" s="4">
        <v>1530</v>
      </c>
      <c r="J1545" s="5">
        <v>49463.324094345015</v>
      </c>
      <c r="K1545" s="5">
        <v>53937.689698015136</v>
      </c>
      <c r="L1545" s="5">
        <v>16014.071850041886</v>
      </c>
      <c r="M1545" s="5">
        <v>41698.977215629871</v>
      </c>
      <c r="N1545" s="5">
        <v>59876.136849941562</v>
      </c>
      <c r="O1545" s="5">
        <v>26268.613803794757</v>
      </c>
      <c r="P1545" s="5">
        <v>31127.87225845682</v>
      </c>
      <c r="Q1545" s="5">
        <v>8832.660767995616</v>
      </c>
      <c r="R1545" s="5">
        <v>302760.11878714536</v>
      </c>
    </row>
    <row r="1546" spans="9:18">
      <c r="I1546" s="4">
        <v>1531</v>
      </c>
      <c r="J1546" s="5">
        <v>14344.692898101612</v>
      </c>
      <c r="K1546" s="5">
        <v>15698.764831033119</v>
      </c>
      <c r="L1546" s="5">
        <v>25389.332759288587</v>
      </c>
      <c r="M1546" s="5">
        <v>19097.39635881727</v>
      </c>
      <c r="N1546" s="5">
        <v>23008.246229813707</v>
      </c>
      <c r="O1546" s="5">
        <v>25802.481365323994</v>
      </c>
      <c r="P1546" s="5">
        <v>17643.087208586294</v>
      </c>
      <c r="Q1546" s="5">
        <v>70295.978314632754</v>
      </c>
      <c r="R1546" s="5">
        <v>91403.228438796665</v>
      </c>
    </row>
    <row r="1547" spans="9:18">
      <c r="I1547" s="4">
        <v>1532</v>
      </c>
      <c r="J1547" s="5">
        <v>19467.17453557903</v>
      </c>
      <c r="K1547" s="5">
        <v>15051.330276415061</v>
      </c>
      <c r="L1547" s="5">
        <v>15225.811035017256</v>
      </c>
      <c r="M1547" s="5">
        <v>19433.64679949253</v>
      </c>
      <c r="N1547" s="5">
        <v>22868.569282757788</v>
      </c>
      <c r="O1547" s="5">
        <v>13966.178986479143</v>
      </c>
      <c r="P1547" s="5">
        <v>35569.894390728325</v>
      </c>
      <c r="Q1547" s="5">
        <v>37277.391668005912</v>
      </c>
      <c r="R1547" s="5">
        <v>40368.364083205248</v>
      </c>
    </row>
    <row r="1548" spans="9:18">
      <c r="I1548" s="4">
        <v>1533</v>
      </c>
      <c r="J1548" s="5">
        <v>31053.540961463306</v>
      </c>
      <c r="K1548" s="5">
        <v>21958.925144875713</v>
      </c>
      <c r="L1548" s="5">
        <v>21954.536591034263</v>
      </c>
      <c r="M1548" s="5">
        <v>19262.243095117232</v>
      </c>
      <c r="N1548" s="5">
        <v>23043.345403059295</v>
      </c>
      <c r="O1548" s="5">
        <v>5444.7598502623823</v>
      </c>
      <c r="P1548" s="5">
        <v>21933.779100635442</v>
      </c>
      <c r="Q1548" s="5">
        <v>8474.2603471579441</v>
      </c>
      <c r="R1548" s="5">
        <v>181970.23111012415</v>
      </c>
    </row>
    <row r="1549" spans="9:18">
      <c r="I1549" s="4">
        <v>1534</v>
      </c>
      <c r="J1549" s="5">
        <v>15130.594750069789</v>
      </c>
      <c r="K1549" s="5">
        <v>14497.035717129334</v>
      </c>
      <c r="L1549" s="5">
        <v>19224.583269019437</v>
      </c>
      <c r="M1549" s="5">
        <v>11680.747299075838</v>
      </c>
      <c r="N1549" s="5">
        <v>32184.535272543482</v>
      </c>
      <c r="O1549" s="5">
        <v>18637.945795127704</v>
      </c>
      <c r="P1549" s="5">
        <v>49519.098753410741</v>
      </c>
      <c r="Q1549" s="5">
        <v>3272.4685014937832</v>
      </c>
      <c r="R1549" s="5">
        <v>51141.799458534304</v>
      </c>
    </row>
    <row r="1550" spans="9:18">
      <c r="I1550" s="4">
        <v>1535</v>
      </c>
      <c r="J1550" s="5">
        <v>14538.277247583976</v>
      </c>
      <c r="K1550" s="5">
        <v>6949.5708823216592</v>
      </c>
      <c r="L1550" s="5">
        <v>15651.346103181355</v>
      </c>
      <c r="M1550" s="5">
        <v>12735.841453044006</v>
      </c>
      <c r="N1550" s="5">
        <v>40377.252444397986</v>
      </c>
      <c r="O1550" s="5">
        <v>26565.882515615398</v>
      </c>
      <c r="P1550" s="5">
        <v>22708.601480587709</v>
      </c>
      <c r="Q1550" s="5">
        <v>59134.059519022907</v>
      </c>
      <c r="R1550" s="5">
        <v>62674.060343500474</v>
      </c>
    </row>
    <row r="1551" spans="9:18">
      <c r="I1551" s="4">
        <v>1536</v>
      </c>
      <c r="J1551" s="5">
        <v>15064.079707240266</v>
      </c>
      <c r="K1551" s="5">
        <v>7753.2116148734594</v>
      </c>
      <c r="L1551" s="5">
        <v>15359.132481533357</v>
      </c>
      <c r="M1551" s="5">
        <v>16001.653036457456</v>
      </c>
      <c r="N1551" s="5">
        <v>28426.778914975595</v>
      </c>
      <c r="O1551" s="5">
        <v>30608.431994348266</v>
      </c>
      <c r="P1551" s="5">
        <v>54100.778483493887</v>
      </c>
      <c r="Q1551" s="5">
        <v>3909.239690544402</v>
      </c>
      <c r="R1551" s="5">
        <v>1535.701520095213</v>
      </c>
    </row>
    <row r="1552" spans="9:18">
      <c r="I1552" s="4">
        <v>1537</v>
      </c>
      <c r="J1552" s="5">
        <v>11854.381651026555</v>
      </c>
      <c r="K1552" s="5">
        <v>13652.224205833634</v>
      </c>
      <c r="L1552" s="5">
        <v>23561.450544884348</v>
      </c>
      <c r="M1552" s="5">
        <v>13011.820191946215</v>
      </c>
      <c r="N1552" s="5">
        <v>20718.434293991453</v>
      </c>
      <c r="O1552" s="5">
        <v>66253.993323243907</v>
      </c>
      <c r="P1552" s="5">
        <v>9047.5556949992188</v>
      </c>
      <c r="Q1552" s="5">
        <v>37802.358878968138</v>
      </c>
      <c r="R1552" s="5">
        <v>27349.63499959607</v>
      </c>
    </row>
    <row r="1553" spans="9:18">
      <c r="I1553" s="4">
        <v>1538</v>
      </c>
      <c r="J1553" s="5">
        <v>14680.308400328413</v>
      </c>
      <c r="K1553" s="5">
        <v>21958.925144875713</v>
      </c>
      <c r="L1553" s="5">
        <v>18379.634651549037</v>
      </c>
      <c r="M1553" s="5">
        <v>26477.996319655329</v>
      </c>
      <c r="N1553" s="5">
        <v>51261.622558090799</v>
      </c>
      <c r="O1553" s="5">
        <v>41653.890350944224</v>
      </c>
      <c r="P1553" s="5">
        <v>5836.7810663002319</v>
      </c>
      <c r="Q1553" s="5">
        <v>8474.2603471579441</v>
      </c>
      <c r="R1553" s="5">
        <v>182942.88598316166</v>
      </c>
    </row>
    <row r="1554" spans="9:18">
      <c r="I1554" s="4">
        <v>1539</v>
      </c>
      <c r="J1554" s="5">
        <v>14960.076233580705</v>
      </c>
      <c r="K1554" s="5">
        <v>16952.949313901812</v>
      </c>
      <c r="L1554" s="5">
        <v>15764.107424863063</v>
      </c>
      <c r="M1554" s="5">
        <v>41403.687663920646</v>
      </c>
      <c r="N1554" s="5">
        <v>17891.96347244953</v>
      </c>
      <c r="O1554" s="5">
        <v>20827.029306810669</v>
      </c>
      <c r="P1554" s="5">
        <v>5836.7810663002319</v>
      </c>
      <c r="Q1554" s="5">
        <v>29432.473148002948</v>
      </c>
      <c r="R1554" s="5">
        <v>19133.693426869788</v>
      </c>
    </row>
    <row r="1555" spans="9:18">
      <c r="I1555" s="4">
        <v>1540</v>
      </c>
      <c r="J1555" s="5">
        <v>14741.240040396578</v>
      </c>
      <c r="K1555" s="5">
        <v>15347.101709242541</v>
      </c>
      <c r="L1555" s="5">
        <v>22018.381599979773</v>
      </c>
      <c r="M1555" s="5">
        <v>19890.009981657669</v>
      </c>
      <c r="N1555" s="5">
        <v>59876.136849941562</v>
      </c>
      <c r="O1555" s="5">
        <v>16524.769946939996</v>
      </c>
      <c r="P1555" s="5">
        <v>45161.732159568586</v>
      </c>
      <c r="Q1555" s="5">
        <v>31618.396253255491</v>
      </c>
      <c r="R1555" s="5">
        <v>84289.422255274636</v>
      </c>
    </row>
    <row r="1556" spans="9:18">
      <c r="I1556" s="4">
        <v>1541</v>
      </c>
      <c r="J1556" s="5">
        <v>16166.107684907736</v>
      </c>
      <c r="K1556" s="5">
        <v>23934.551191616061</v>
      </c>
      <c r="L1556" s="5">
        <v>14175.160754078657</v>
      </c>
      <c r="M1556" s="5">
        <v>18879.640760542785</v>
      </c>
      <c r="N1556" s="5">
        <v>32184.535272543482</v>
      </c>
      <c r="O1556" s="5">
        <v>36759.655306288936</v>
      </c>
      <c r="P1556" s="5">
        <v>35213.322626437533</v>
      </c>
      <c r="Q1556" s="5">
        <v>28776.080424849053</v>
      </c>
      <c r="R1556" s="5">
        <v>89167.415757270224</v>
      </c>
    </row>
    <row r="1557" spans="9:18">
      <c r="I1557" s="4">
        <v>1542</v>
      </c>
      <c r="J1557" s="5">
        <v>31559.699247539775</v>
      </c>
      <c r="K1557" s="5">
        <v>10931.803935361211</v>
      </c>
      <c r="L1557" s="5">
        <v>16071.260291253868</v>
      </c>
      <c r="M1557" s="5">
        <v>19097.39635881727</v>
      </c>
      <c r="N1557" s="5">
        <v>20583.564383988036</v>
      </c>
      <c r="O1557" s="5">
        <v>13840.304699955392</v>
      </c>
      <c r="P1557" s="5">
        <v>46514.467673254068</v>
      </c>
      <c r="Q1557" s="5">
        <v>20987.925664394581</v>
      </c>
      <c r="R1557" s="5">
        <v>62674.060343500474</v>
      </c>
    </row>
    <row r="1558" spans="9:18">
      <c r="I1558" s="4">
        <v>1543</v>
      </c>
      <c r="J1558" s="5">
        <v>22188.291830993156</v>
      </c>
      <c r="K1558" s="5">
        <v>23934.551191616061</v>
      </c>
      <c r="L1558" s="5">
        <v>24256.352541181568</v>
      </c>
      <c r="M1558" s="5">
        <v>20041.623430301417</v>
      </c>
      <c r="N1558" s="5">
        <v>6130.3882288404347</v>
      </c>
      <c r="O1558" s="5">
        <v>19492.655596593511</v>
      </c>
      <c r="P1558" s="5">
        <v>21039.927746191301</v>
      </c>
      <c r="Q1558" s="5">
        <v>129470.11441833655</v>
      </c>
      <c r="R1558" s="5">
        <v>59414.886464347241</v>
      </c>
    </row>
    <row r="1559" spans="9:18">
      <c r="I1559" s="4">
        <v>1544</v>
      </c>
      <c r="J1559" s="5">
        <v>11843.28062342474</v>
      </c>
      <c r="K1559" s="5">
        <v>26110.948843472826</v>
      </c>
      <c r="L1559" s="5">
        <v>15487.970507365942</v>
      </c>
      <c r="M1559" s="5">
        <v>30785.663999045999</v>
      </c>
      <c r="N1559" s="5">
        <v>15658.063692994532</v>
      </c>
      <c r="O1559" s="5">
        <v>33720.545907536376</v>
      </c>
      <c r="P1559" s="5">
        <v>9633.1652908310007</v>
      </c>
      <c r="Q1559" s="5">
        <v>18097.768262249352</v>
      </c>
      <c r="R1559" s="5">
        <v>51358.6267760993</v>
      </c>
    </row>
    <row r="1560" spans="9:18">
      <c r="I1560" s="4">
        <v>1545</v>
      </c>
      <c r="J1560" s="5">
        <v>18650.249281571734</v>
      </c>
      <c r="K1560" s="5">
        <v>20887.307279900142</v>
      </c>
      <c r="L1560" s="5">
        <v>14796.875457021113</v>
      </c>
      <c r="M1560" s="5">
        <v>23515.935489506261</v>
      </c>
      <c r="N1560" s="5">
        <v>35826.921212852278</v>
      </c>
      <c r="O1560" s="5">
        <v>19430.912633256889</v>
      </c>
      <c r="P1560" s="5">
        <v>45161.732159568586</v>
      </c>
      <c r="Q1560" s="5">
        <v>54060.5331097772</v>
      </c>
      <c r="R1560" s="5">
        <v>19133.693426869788</v>
      </c>
    </row>
    <row r="1561" spans="9:18">
      <c r="I1561" s="4">
        <v>1546</v>
      </c>
      <c r="J1561" s="5">
        <v>73074.062486361407</v>
      </c>
      <c r="K1561" s="5">
        <v>31910.762633549082</v>
      </c>
      <c r="L1561" s="5">
        <v>14264.23790876064</v>
      </c>
      <c r="M1561" s="5">
        <v>13642.678686731051</v>
      </c>
      <c r="N1561" s="5">
        <v>26565.664379767408</v>
      </c>
      <c r="O1561" s="5">
        <v>13840.304699955392</v>
      </c>
      <c r="P1561" s="5">
        <v>54100.778483493887</v>
      </c>
      <c r="Q1561" s="5">
        <v>27018.509959127641</v>
      </c>
      <c r="R1561" s="5">
        <v>5865.9802599669383</v>
      </c>
    </row>
    <row r="1562" spans="9:18">
      <c r="I1562" s="4">
        <v>1547</v>
      </c>
      <c r="J1562" s="5">
        <v>22812.564910649318</v>
      </c>
      <c r="K1562" s="5">
        <v>14497.035717129334</v>
      </c>
      <c r="L1562" s="5">
        <v>16451.333928028147</v>
      </c>
      <c r="M1562" s="5">
        <v>19795.661011456152</v>
      </c>
      <c r="N1562" s="5">
        <v>6130.3882288404347</v>
      </c>
      <c r="O1562" s="5">
        <v>27503.656957929088</v>
      </c>
      <c r="P1562" s="5">
        <v>39054.462981000084</v>
      </c>
      <c r="Q1562" s="5">
        <v>37277.391668005912</v>
      </c>
      <c r="R1562" s="5">
        <v>5865.9802599669383</v>
      </c>
    </row>
    <row r="1563" spans="9:18">
      <c r="I1563" s="4">
        <v>1548</v>
      </c>
      <c r="J1563" s="5">
        <v>8580.4413740966302</v>
      </c>
      <c r="K1563" s="5">
        <v>17003.901855709089</v>
      </c>
      <c r="L1563" s="5">
        <v>20698.842353987733</v>
      </c>
      <c r="M1563" s="5">
        <v>15346.383801976139</v>
      </c>
      <c r="N1563" s="5">
        <v>16418.492928415813</v>
      </c>
      <c r="O1563" s="5">
        <v>53028.643350899503</v>
      </c>
      <c r="P1563" s="5">
        <v>54923.423457863879</v>
      </c>
      <c r="Q1563" s="5">
        <v>30266.563414010914</v>
      </c>
      <c r="R1563" s="5">
        <v>302760.11878714536</v>
      </c>
    </row>
    <row r="1564" spans="9:18">
      <c r="I1564" s="4">
        <v>1549</v>
      </c>
      <c r="J1564" s="5">
        <v>14680.308400328413</v>
      </c>
      <c r="K1564" s="5">
        <v>14854.898507619706</v>
      </c>
      <c r="L1564" s="5">
        <v>16777.996633299583</v>
      </c>
      <c r="M1564" s="5">
        <v>23515.935489506261</v>
      </c>
      <c r="N1564" s="5">
        <v>17214.078970533748</v>
      </c>
      <c r="O1564" s="5">
        <v>5909.5347260996277</v>
      </c>
      <c r="P1564" s="5">
        <v>66904.018529955298</v>
      </c>
      <c r="Q1564" s="5">
        <v>11173.074396969254</v>
      </c>
      <c r="R1564" s="5">
        <v>51141.799458534304</v>
      </c>
    </row>
    <row r="1565" spans="9:18">
      <c r="I1565" s="4">
        <v>1550</v>
      </c>
      <c r="J1565" s="5">
        <v>14420.293087375476</v>
      </c>
      <c r="K1565" s="5">
        <v>15347.101709242541</v>
      </c>
      <c r="L1565" s="5">
        <v>18634.523182776735</v>
      </c>
      <c r="M1565" s="5">
        <v>13642.678686731051</v>
      </c>
      <c r="N1565" s="5">
        <v>23746.795665493762</v>
      </c>
      <c r="O1565" s="5">
        <v>16826.763259351828</v>
      </c>
      <c r="P1565" s="5">
        <v>26126.807131356076</v>
      </c>
      <c r="Q1565" s="5">
        <v>31019.493883163672</v>
      </c>
      <c r="R1565" s="5">
        <v>23583.884732956092</v>
      </c>
    </row>
    <row r="1566" spans="9:18">
      <c r="I1566" s="4">
        <v>1551</v>
      </c>
      <c r="J1566" s="5">
        <v>16733.020222212988</v>
      </c>
      <c r="K1566" s="5">
        <v>15129.619337591721</v>
      </c>
      <c r="L1566" s="5">
        <v>27289.607394458035</v>
      </c>
      <c r="M1566" s="5">
        <v>7334.8610818348589</v>
      </c>
      <c r="N1566" s="5">
        <v>28426.778914975595</v>
      </c>
      <c r="O1566" s="5">
        <v>40304.23053285561</v>
      </c>
      <c r="P1566" s="5">
        <v>6275.8915673055426</v>
      </c>
      <c r="Q1566" s="5">
        <v>12253.299944531094</v>
      </c>
      <c r="R1566" s="5">
        <v>26783.439354489365</v>
      </c>
    </row>
    <row r="1567" spans="9:18">
      <c r="I1567" s="4">
        <v>1552</v>
      </c>
      <c r="J1567" s="5">
        <v>49463.324094345015</v>
      </c>
      <c r="K1567" s="5">
        <v>16952.949313901812</v>
      </c>
      <c r="L1567" s="5">
        <v>17683.765335572589</v>
      </c>
      <c r="M1567" s="5">
        <v>17370.588707072598</v>
      </c>
      <c r="N1567" s="5">
        <v>27833.630848857778</v>
      </c>
      <c r="O1567" s="5">
        <v>33720.545907536376</v>
      </c>
      <c r="P1567" s="5">
        <v>39054.462981000084</v>
      </c>
      <c r="Q1567" s="5">
        <v>6386.5227360487288</v>
      </c>
      <c r="R1567" s="5">
        <v>123773.40402252052</v>
      </c>
    </row>
    <row r="1568" spans="9:18">
      <c r="I1568" s="4">
        <v>1553</v>
      </c>
      <c r="J1568" s="5">
        <v>15623.733864199699</v>
      </c>
      <c r="K1568" s="5">
        <v>34164.842952759042</v>
      </c>
      <c r="L1568" s="5">
        <v>16071.478531535273</v>
      </c>
      <c r="M1568" s="5">
        <v>36301.422888051464</v>
      </c>
      <c r="N1568" s="5">
        <v>39406.658185292261</v>
      </c>
      <c r="O1568" s="5">
        <v>19492.655596593511</v>
      </c>
      <c r="P1568" s="5">
        <v>95486.196907583406</v>
      </c>
      <c r="Q1568" s="5">
        <v>31618.396253255491</v>
      </c>
      <c r="R1568" s="5">
        <v>181970.23111012415</v>
      </c>
    </row>
    <row r="1569" spans="9:18">
      <c r="I1569" s="4">
        <v>1554</v>
      </c>
      <c r="J1569" s="5">
        <v>13841.207384998772</v>
      </c>
      <c r="K1569" s="5">
        <v>10931.803935361211</v>
      </c>
      <c r="L1569" s="5">
        <v>34748.877779456467</v>
      </c>
      <c r="M1569" s="5">
        <v>13011.820191946215</v>
      </c>
      <c r="N1569" s="5">
        <v>9209.4418830788036</v>
      </c>
      <c r="O1569" s="5">
        <v>10270.120415297655</v>
      </c>
      <c r="P1569" s="5">
        <v>8662.4232458952465</v>
      </c>
      <c r="Q1569" s="5">
        <v>28078.365156847896</v>
      </c>
      <c r="R1569" s="5">
        <v>7201.7586694681067</v>
      </c>
    </row>
    <row r="1570" spans="9:18">
      <c r="I1570" s="4">
        <v>1555</v>
      </c>
      <c r="J1570" s="5">
        <v>28085.9245102444</v>
      </c>
      <c r="K1570" s="5">
        <v>15631.937142257386</v>
      </c>
      <c r="L1570" s="5">
        <v>34748.877779456467</v>
      </c>
      <c r="M1570" s="5">
        <v>23454.775510296178</v>
      </c>
      <c r="N1570" s="5">
        <v>23746.795665493762</v>
      </c>
      <c r="O1570" s="5">
        <v>24369.28567093279</v>
      </c>
      <c r="P1570" s="5">
        <v>17974.179326980211</v>
      </c>
      <c r="Q1570" s="5">
        <v>48866.209623168346</v>
      </c>
      <c r="R1570" s="5">
        <v>18349.337771428582</v>
      </c>
    </row>
    <row r="1571" spans="9:18">
      <c r="I1571" s="4">
        <v>1556</v>
      </c>
      <c r="J1571" s="5">
        <v>14741.240040396578</v>
      </c>
      <c r="K1571" s="5">
        <v>17128.860847126922</v>
      </c>
      <c r="L1571" s="5">
        <v>17311.244744664215</v>
      </c>
      <c r="M1571" s="5">
        <v>11860.862376247747</v>
      </c>
      <c r="N1571" s="5">
        <v>21009.255892677338</v>
      </c>
      <c r="O1571" s="5">
        <v>10676.618215263648</v>
      </c>
      <c r="P1571" s="5">
        <v>12790.85158217316</v>
      </c>
      <c r="Q1571" s="5">
        <v>54060.5331097772</v>
      </c>
      <c r="R1571" s="5">
        <v>26783.439354489365</v>
      </c>
    </row>
    <row r="1572" spans="9:18">
      <c r="I1572" s="4">
        <v>1557</v>
      </c>
      <c r="J1572" s="5">
        <v>19048.674633640545</v>
      </c>
      <c r="K1572" s="5">
        <v>16674.541027260992</v>
      </c>
      <c r="L1572" s="5">
        <v>16293.265064857471</v>
      </c>
      <c r="M1572" s="5">
        <v>13616.35938654862</v>
      </c>
      <c r="N1572" s="5">
        <v>19225.139878706803</v>
      </c>
      <c r="O1572" s="5">
        <v>40581.847217937895</v>
      </c>
      <c r="P1572" s="5">
        <v>16650.229067545235</v>
      </c>
      <c r="Q1572" s="5">
        <v>14064.158297039334</v>
      </c>
      <c r="R1572" s="5">
        <v>181970.23111012415</v>
      </c>
    </row>
    <row r="1573" spans="9:18">
      <c r="I1573" s="4">
        <v>1558</v>
      </c>
      <c r="J1573" s="5">
        <v>17005.744061105343</v>
      </c>
      <c r="K1573" s="5">
        <v>7753.2116148734594</v>
      </c>
      <c r="L1573" s="5">
        <v>13023.361770761438</v>
      </c>
      <c r="M1573" s="5">
        <v>20185.026038758231</v>
      </c>
      <c r="N1573" s="5">
        <v>20718.434293991453</v>
      </c>
      <c r="O1573" s="5">
        <v>27503.656957929088</v>
      </c>
      <c r="P1573" s="5">
        <v>46514.467673254068</v>
      </c>
      <c r="Q1573" s="5">
        <v>7349.2234634219121</v>
      </c>
      <c r="R1573" s="5">
        <v>7879.038918914337</v>
      </c>
    </row>
    <row r="1574" spans="9:18">
      <c r="I1574" s="4">
        <v>1559</v>
      </c>
      <c r="J1574" s="5">
        <v>20768.286261788198</v>
      </c>
      <c r="K1574" s="5">
        <v>18218.584572172625</v>
      </c>
      <c r="L1574" s="5">
        <v>16106.634875163341</v>
      </c>
      <c r="M1574" s="5">
        <v>18816.787977140237</v>
      </c>
      <c r="N1574" s="5">
        <v>46248.895746171031</v>
      </c>
      <c r="O1574" s="5">
        <v>16524.769946939996</v>
      </c>
      <c r="P1574" s="5">
        <v>8662.4232458952465</v>
      </c>
      <c r="Q1574" s="5">
        <v>20883.852062640355</v>
      </c>
      <c r="R1574" s="5">
        <v>17991.870496434763</v>
      </c>
    </row>
    <row r="1575" spans="9:18">
      <c r="I1575" s="4">
        <v>1560</v>
      </c>
      <c r="J1575" s="5">
        <v>16710.807721801892</v>
      </c>
      <c r="K1575" s="5">
        <v>13331.01856102917</v>
      </c>
      <c r="L1575" s="5">
        <v>13622.976145621742</v>
      </c>
      <c r="M1575" s="5">
        <v>37411.178129764201</v>
      </c>
      <c r="N1575" s="5">
        <v>10882.757905166785</v>
      </c>
      <c r="O1575" s="5">
        <v>30876.675913171162</v>
      </c>
      <c r="P1575" s="5">
        <v>39054.462981000084</v>
      </c>
      <c r="Q1575" s="5">
        <v>35525.432376048877</v>
      </c>
      <c r="R1575" s="5">
        <v>39727.513802035661</v>
      </c>
    </row>
    <row r="1576" spans="9:18">
      <c r="I1576" s="4">
        <v>1561</v>
      </c>
      <c r="J1576" s="5">
        <v>27392.038553726634</v>
      </c>
      <c r="K1576" s="5">
        <v>16934.093371663999</v>
      </c>
      <c r="L1576" s="5">
        <v>15832.5469007027</v>
      </c>
      <c r="M1576" s="5">
        <v>13065.820809359835</v>
      </c>
      <c r="N1576" s="5">
        <v>26565.664379767408</v>
      </c>
      <c r="O1576" s="5">
        <v>16462.170789592048</v>
      </c>
      <c r="P1576" s="5">
        <v>17643.087208586294</v>
      </c>
      <c r="Q1576" s="5">
        <v>13214.632802255031</v>
      </c>
      <c r="R1576" s="5">
        <v>1535.701520095213</v>
      </c>
    </row>
    <row r="1577" spans="9:18">
      <c r="I1577" s="4">
        <v>1562</v>
      </c>
      <c r="J1577" s="5">
        <v>13663.281817546009</v>
      </c>
      <c r="K1577" s="5">
        <v>12423.491400404893</v>
      </c>
      <c r="L1577" s="5">
        <v>17845.207337527903</v>
      </c>
      <c r="M1577" s="5">
        <v>36301.422888051464</v>
      </c>
      <c r="N1577" s="5">
        <v>22010.718648995869</v>
      </c>
      <c r="O1577" s="5">
        <v>10676.618215263648</v>
      </c>
      <c r="P1577" s="5">
        <v>63015.124693769802</v>
      </c>
      <c r="Q1577" s="5">
        <v>148345.62878828164</v>
      </c>
      <c r="R1577" s="5">
        <v>7952.6989268572033</v>
      </c>
    </row>
    <row r="1578" spans="9:18">
      <c r="I1578" s="4">
        <v>1563</v>
      </c>
      <c r="J1578" s="5">
        <v>29760.443016608337</v>
      </c>
      <c r="K1578" s="5">
        <v>11206.053243692098</v>
      </c>
      <c r="L1578" s="5">
        <v>27144.958215276103</v>
      </c>
      <c r="M1578" s="5">
        <v>17542.15972125496</v>
      </c>
      <c r="N1578" s="5">
        <v>16418.492928415813</v>
      </c>
      <c r="O1578" s="5">
        <v>8024.6340027919978</v>
      </c>
      <c r="P1578" s="5">
        <v>25258.981945036445</v>
      </c>
      <c r="Q1578" s="5">
        <v>47365.380972950254</v>
      </c>
      <c r="R1578" s="5">
        <v>59414.886464347241</v>
      </c>
    </row>
    <row r="1579" spans="9:18">
      <c r="I1579" s="4">
        <v>1564</v>
      </c>
      <c r="J1579" s="5">
        <v>14741.240040396578</v>
      </c>
      <c r="K1579" s="5">
        <v>21958.925144875713</v>
      </c>
      <c r="L1579" s="5">
        <v>14175.160754078657</v>
      </c>
      <c r="M1579" s="5">
        <v>20788.503422877813</v>
      </c>
      <c r="N1579" s="5">
        <v>13511.694619545402</v>
      </c>
      <c r="O1579" s="5">
        <v>24422.445067017139</v>
      </c>
      <c r="P1579" s="5">
        <v>31127.87225845682</v>
      </c>
      <c r="Q1579" s="5">
        <v>11928.872068442162</v>
      </c>
      <c r="R1579" s="5">
        <v>17304.847214362417</v>
      </c>
    </row>
    <row r="1580" spans="9:18">
      <c r="I1580" s="4">
        <v>1565</v>
      </c>
      <c r="J1580" s="5">
        <v>16459.003095225507</v>
      </c>
      <c r="K1580" s="5">
        <v>14611.618478071941</v>
      </c>
      <c r="L1580" s="5">
        <v>15359.132481533357</v>
      </c>
      <c r="M1580" s="5">
        <v>9623.0342442006167</v>
      </c>
      <c r="N1580" s="5">
        <v>39672.376281023731</v>
      </c>
      <c r="O1580" s="5">
        <v>20721.57544042755</v>
      </c>
      <c r="P1580" s="5">
        <v>10180.109839011631</v>
      </c>
      <c r="Q1580" s="5">
        <v>12253.299944531094</v>
      </c>
      <c r="R1580" s="5">
        <v>41418.225609677866</v>
      </c>
    </row>
    <row r="1581" spans="9:18">
      <c r="I1581" s="4">
        <v>1566</v>
      </c>
      <c r="J1581" s="5">
        <v>43272.831879770602</v>
      </c>
      <c r="K1581" s="5">
        <v>15631.937142257386</v>
      </c>
      <c r="L1581" s="5">
        <v>20698.842353987733</v>
      </c>
      <c r="M1581" s="5">
        <v>29834.240613550006</v>
      </c>
      <c r="N1581" s="5">
        <v>25424.029865101274</v>
      </c>
      <c r="O1581" s="5">
        <v>16462.170789592048</v>
      </c>
      <c r="P1581" s="5">
        <v>14327.191387816954</v>
      </c>
      <c r="Q1581" s="5">
        <v>100789.83462564547</v>
      </c>
      <c r="R1581" s="5">
        <v>122304.95880137496</v>
      </c>
    </row>
    <row r="1582" spans="9:18">
      <c r="I1582" s="4">
        <v>1567</v>
      </c>
      <c r="J1582" s="5">
        <v>12701.339251949787</v>
      </c>
      <c r="K1582" s="5">
        <v>22732.797143159998</v>
      </c>
      <c r="L1582" s="5">
        <v>14691.846656953887</v>
      </c>
      <c r="M1582" s="5">
        <v>33862.836621974391</v>
      </c>
      <c r="N1582" s="5">
        <v>20558.672182394013</v>
      </c>
      <c r="O1582" s="5">
        <v>16462.170789592048</v>
      </c>
      <c r="P1582" s="5">
        <v>20403.656304140692</v>
      </c>
      <c r="Q1582" s="5">
        <v>3272.4685014937832</v>
      </c>
      <c r="R1582" s="5">
        <v>14051.647494499957</v>
      </c>
    </row>
    <row r="1583" spans="9:18">
      <c r="I1583" s="4">
        <v>1568</v>
      </c>
      <c r="J1583" s="5">
        <v>13391.049101507895</v>
      </c>
      <c r="K1583" s="5">
        <v>21218.439146892688</v>
      </c>
      <c r="L1583" s="5">
        <v>15487.970507365942</v>
      </c>
      <c r="M1583" s="5">
        <v>32751.734100446065</v>
      </c>
      <c r="N1583" s="5">
        <v>42744.618431291936</v>
      </c>
      <c r="O1583" s="5">
        <v>13117.417685535194</v>
      </c>
      <c r="P1583" s="5">
        <v>17996.895987204196</v>
      </c>
      <c r="Q1583" s="5">
        <v>27789.973552634947</v>
      </c>
      <c r="R1583" s="5">
        <v>18349.337771428582</v>
      </c>
    </row>
    <row r="1584" spans="9:18">
      <c r="I1584" s="4">
        <v>1569</v>
      </c>
      <c r="J1584" s="5">
        <v>16166.107684907736</v>
      </c>
      <c r="K1584" s="5">
        <v>15347.101709242541</v>
      </c>
      <c r="L1584" s="5">
        <v>13358.459356674217</v>
      </c>
      <c r="M1584" s="5">
        <v>23515.935489506261</v>
      </c>
      <c r="N1584" s="5">
        <v>41563.89847100406</v>
      </c>
      <c r="O1584" s="5">
        <v>42492.261063288854</v>
      </c>
      <c r="P1584" s="5">
        <v>5735.6883097179207</v>
      </c>
      <c r="Q1584" s="5">
        <v>27018.509959127641</v>
      </c>
      <c r="R1584" s="5">
        <v>31715.273557891396</v>
      </c>
    </row>
    <row r="1585" spans="9:18">
      <c r="I1585" s="4">
        <v>1570</v>
      </c>
      <c r="J1585" s="5">
        <v>17679.321624063952</v>
      </c>
      <c r="K1585" s="5">
        <v>11403.533194020869</v>
      </c>
      <c r="L1585" s="5">
        <v>15359.132481533357</v>
      </c>
      <c r="M1585" s="5">
        <v>41698.977215629871</v>
      </c>
      <c r="N1585" s="5">
        <v>41563.89847100406</v>
      </c>
      <c r="O1585" s="5">
        <v>12110.196126281628</v>
      </c>
      <c r="P1585" s="5">
        <v>22601.57564624758</v>
      </c>
      <c r="Q1585" s="5">
        <v>59134.059519022907</v>
      </c>
      <c r="R1585" s="5">
        <v>3989.7956692889929</v>
      </c>
    </row>
    <row r="1586" spans="9:18">
      <c r="I1586" s="4">
        <v>1571</v>
      </c>
      <c r="J1586" s="5">
        <v>14344.692898101612</v>
      </c>
      <c r="K1586" s="5">
        <v>12777.667398488715</v>
      </c>
      <c r="L1586" s="5">
        <v>27144.958215276103</v>
      </c>
      <c r="M1586" s="5">
        <v>23908.621352410395</v>
      </c>
      <c r="N1586" s="5">
        <v>28426.778914975595</v>
      </c>
      <c r="O1586" s="5">
        <v>94068.324736096256</v>
      </c>
      <c r="P1586" s="5">
        <v>5836.7810663002319</v>
      </c>
      <c r="Q1586" s="5">
        <v>31618.396253255491</v>
      </c>
      <c r="R1586" s="5">
        <v>17687.533637716911</v>
      </c>
    </row>
    <row r="1587" spans="9:18">
      <c r="I1587" s="4">
        <v>1572</v>
      </c>
      <c r="J1587" s="5">
        <v>11116.191595722205</v>
      </c>
      <c r="K1587" s="5">
        <v>12423.491400404893</v>
      </c>
      <c r="L1587" s="5">
        <v>22319.409576580376</v>
      </c>
      <c r="M1587" s="5">
        <v>7334.8610818348589</v>
      </c>
      <c r="N1587" s="5">
        <v>19125.360074567652</v>
      </c>
      <c r="O1587" s="5">
        <v>35286.662852302201</v>
      </c>
      <c r="P1587" s="5">
        <v>16650.229067545235</v>
      </c>
      <c r="Q1587" s="5">
        <v>22483.395143121877</v>
      </c>
      <c r="R1587" s="5">
        <v>96845.299789249824</v>
      </c>
    </row>
    <row r="1588" spans="9:18">
      <c r="I1588" s="4">
        <v>1573</v>
      </c>
      <c r="J1588" s="5">
        <v>34933.039312618188</v>
      </c>
      <c r="K1588" s="5">
        <v>34058.671324159091</v>
      </c>
      <c r="L1588" s="5">
        <v>15126.980926457318</v>
      </c>
      <c r="M1588" s="5">
        <v>36301.422888051464</v>
      </c>
      <c r="N1588" s="5">
        <v>11604.12831603515</v>
      </c>
      <c r="O1588" s="5">
        <v>18637.945795127704</v>
      </c>
      <c r="P1588" s="5">
        <v>10966.822219855034</v>
      </c>
      <c r="Q1588" s="5">
        <v>31974.553851773013</v>
      </c>
      <c r="R1588" s="5">
        <v>14051.647494499957</v>
      </c>
    </row>
    <row r="1589" spans="9:18">
      <c r="I1589" s="4">
        <v>1574</v>
      </c>
      <c r="J1589" s="5">
        <v>28085.9245102444</v>
      </c>
      <c r="K1589" s="5">
        <v>56656.842992470461</v>
      </c>
      <c r="L1589" s="5">
        <v>16451.333928028147</v>
      </c>
      <c r="M1589" s="5">
        <v>19890.009981657669</v>
      </c>
      <c r="N1589" s="5">
        <v>23283.854578052265</v>
      </c>
      <c r="O1589" s="5">
        <v>25644.588869829797</v>
      </c>
      <c r="P1589" s="5">
        <v>106091.28270624072</v>
      </c>
      <c r="Q1589" s="5">
        <v>52421.574537857021</v>
      </c>
      <c r="R1589" s="5">
        <v>24722.972470599001</v>
      </c>
    </row>
    <row r="1590" spans="9:18">
      <c r="I1590" s="4">
        <v>1575</v>
      </c>
      <c r="J1590" s="5">
        <v>73074.062486361407</v>
      </c>
      <c r="K1590" s="5">
        <v>13331.01856102917</v>
      </c>
      <c r="L1590" s="5">
        <v>18602.881797624486</v>
      </c>
      <c r="M1590" s="5">
        <v>29058.117767351498</v>
      </c>
      <c r="N1590" s="5">
        <v>14240.123545764454</v>
      </c>
      <c r="O1590" s="5">
        <v>27062.73412298776</v>
      </c>
      <c r="P1590" s="5">
        <v>26126.807131356076</v>
      </c>
      <c r="Q1590" s="5">
        <v>4631.7430487757983</v>
      </c>
      <c r="R1590" s="5">
        <v>46004.399892616471</v>
      </c>
    </row>
    <row r="1591" spans="9:18">
      <c r="I1591" s="4">
        <v>1576</v>
      </c>
      <c r="J1591" s="5">
        <v>15554.996700302558</v>
      </c>
      <c r="K1591" s="5">
        <v>14497.035717129334</v>
      </c>
      <c r="L1591" s="5">
        <v>17482.478480142941</v>
      </c>
      <c r="M1591" s="5">
        <v>29058.117767351498</v>
      </c>
      <c r="N1591" s="5">
        <v>17214.078970533748</v>
      </c>
      <c r="O1591" s="5">
        <v>20930.098352661731</v>
      </c>
      <c r="P1591" s="5">
        <v>34814.458119125498</v>
      </c>
      <c r="Q1591" s="5">
        <v>42044.890065817184</v>
      </c>
      <c r="R1591" s="5">
        <v>14706.681111065362</v>
      </c>
    </row>
    <row r="1592" spans="9:18">
      <c r="I1592" s="4">
        <v>1577</v>
      </c>
      <c r="J1592" s="5">
        <v>11036.461796239426</v>
      </c>
      <c r="K1592" s="5">
        <v>16934.093371663999</v>
      </c>
      <c r="L1592" s="5">
        <v>11827.803406885578</v>
      </c>
      <c r="M1592" s="5">
        <v>21833.004790208965</v>
      </c>
      <c r="N1592" s="5">
        <v>57711.498171893618</v>
      </c>
      <c r="O1592" s="5">
        <v>16524.769946939996</v>
      </c>
      <c r="P1592" s="5">
        <v>26541.896041444568</v>
      </c>
      <c r="Q1592" s="5">
        <v>31855.809428519857</v>
      </c>
      <c r="R1592" s="5">
        <v>30571.564004538617</v>
      </c>
    </row>
    <row r="1593" spans="9:18">
      <c r="I1593" s="4">
        <v>1578</v>
      </c>
      <c r="J1593" s="5">
        <v>11116.191595722205</v>
      </c>
      <c r="K1593" s="5">
        <v>16934.093371663999</v>
      </c>
      <c r="L1593" s="5">
        <v>14146.191653372813</v>
      </c>
      <c r="M1593" s="5">
        <v>7334.8610818348589</v>
      </c>
      <c r="N1593" s="5">
        <v>13745.376566850549</v>
      </c>
      <c r="O1593" s="5">
        <v>18637.945795127704</v>
      </c>
      <c r="P1593" s="5">
        <v>54292.749740228588</v>
      </c>
      <c r="Q1593" s="5">
        <v>52421.574537857021</v>
      </c>
      <c r="R1593" s="5">
        <v>14079.827908007112</v>
      </c>
    </row>
    <row r="1594" spans="9:18">
      <c r="I1594" s="4">
        <v>1579</v>
      </c>
      <c r="J1594" s="5">
        <v>15554.996700302558</v>
      </c>
      <c r="K1594" s="5">
        <v>35705.595198125673</v>
      </c>
      <c r="L1594" s="5">
        <v>11827.803406885578</v>
      </c>
      <c r="M1594" s="5">
        <v>20550.782384061673</v>
      </c>
      <c r="N1594" s="5">
        <v>6130.3882288404347</v>
      </c>
      <c r="O1594" s="5">
        <v>20489.622805425737</v>
      </c>
      <c r="P1594" s="5">
        <v>27708.613526855763</v>
      </c>
      <c r="Q1594" s="5">
        <v>30266.563414010914</v>
      </c>
      <c r="R1594" s="5">
        <v>41056.152565483346</v>
      </c>
    </row>
    <row r="1595" spans="9:18">
      <c r="I1595" s="4">
        <v>1580</v>
      </c>
      <c r="J1595" s="5">
        <v>31053.540961463306</v>
      </c>
      <c r="K1595" s="5">
        <v>11149.572204897504</v>
      </c>
      <c r="L1595" s="5">
        <v>14175.160754078657</v>
      </c>
      <c r="M1595" s="5">
        <v>12426.949970383979</v>
      </c>
      <c r="N1595" s="5">
        <v>21909.120225822895</v>
      </c>
      <c r="O1595" s="5">
        <v>49114.195066822271</v>
      </c>
      <c r="P1595" s="5">
        <v>3930.0915591834291</v>
      </c>
      <c r="Q1595" s="5">
        <v>11173.074396969254</v>
      </c>
      <c r="R1595" s="5">
        <v>55012.315589742022</v>
      </c>
    </row>
    <row r="1596" spans="9:18">
      <c r="I1596" s="4">
        <v>1581</v>
      </c>
      <c r="J1596" s="5">
        <v>26634.853073396614</v>
      </c>
      <c r="K1596" s="5">
        <v>56656.842992470461</v>
      </c>
      <c r="L1596" s="5">
        <v>13023.361770761438</v>
      </c>
      <c r="M1596" s="5">
        <v>16500.222621933419</v>
      </c>
      <c r="N1596" s="5">
        <v>22511.351424689696</v>
      </c>
      <c r="O1596" s="5">
        <v>20721.57544042755</v>
      </c>
      <c r="P1596" s="5">
        <v>48123.003747643132</v>
      </c>
      <c r="Q1596" s="5">
        <v>27789.973552634947</v>
      </c>
      <c r="R1596" s="5">
        <v>27349.63499959607</v>
      </c>
    </row>
    <row r="1597" spans="9:18">
      <c r="I1597" s="4">
        <v>1582</v>
      </c>
      <c r="J1597" s="5">
        <v>16166.107684907736</v>
      </c>
      <c r="K1597" s="5">
        <v>26110.948843472826</v>
      </c>
      <c r="L1597" s="5">
        <v>10752.183901283248</v>
      </c>
      <c r="M1597" s="5">
        <v>29834.240613550006</v>
      </c>
      <c r="N1597" s="5">
        <v>23583.581287126868</v>
      </c>
      <c r="O1597" s="5">
        <v>8801.3667015774663</v>
      </c>
      <c r="P1597" s="5">
        <v>14316.965520592317</v>
      </c>
      <c r="Q1597" s="5">
        <v>28776.080424849053</v>
      </c>
      <c r="R1597" s="5">
        <v>122304.95880137496</v>
      </c>
    </row>
    <row r="1598" spans="9:18">
      <c r="I1598" s="4">
        <v>1583</v>
      </c>
      <c r="J1598" s="5">
        <v>43272.831879770602</v>
      </c>
      <c r="K1598" s="5">
        <v>24728.095385476983</v>
      </c>
      <c r="L1598" s="5">
        <v>15764.107424863063</v>
      </c>
      <c r="M1598" s="5">
        <v>22326.253555179093</v>
      </c>
      <c r="N1598" s="5">
        <v>12592.300437162297</v>
      </c>
      <c r="O1598" s="5">
        <v>40304.23053285561</v>
      </c>
      <c r="P1598" s="5">
        <v>9826.8369575407578</v>
      </c>
      <c r="Q1598" s="5">
        <v>37101.531383212743</v>
      </c>
      <c r="R1598" s="5">
        <v>14051.647494499957</v>
      </c>
    </row>
    <row r="1599" spans="9:18">
      <c r="I1599" s="4">
        <v>1584</v>
      </c>
      <c r="J1599" s="5">
        <v>33627.941293959229</v>
      </c>
      <c r="K1599" s="5">
        <v>16273.14570113692</v>
      </c>
      <c r="L1599" s="5">
        <v>23561.450544884348</v>
      </c>
      <c r="M1599" s="5">
        <v>15586.009710351766</v>
      </c>
      <c r="N1599" s="5">
        <v>13909.728487455486</v>
      </c>
      <c r="O1599" s="5">
        <v>16826.763259351828</v>
      </c>
      <c r="P1599" s="5">
        <v>14327.191387816954</v>
      </c>
      <c r="Q1599" s="5">
        <v>25156.033327562815</v>
      </c>
      <c r="R1599" s="5">
        <v>261393.32711858812</v>
      </c>
    </row>
    <row r="1600" spans="9:18">
      <c r="I1600" s="4">
        <v>1585</v>
      </c>
      <c r="J1600" s="5">
        <v>19467.17453557903</v>
      </c>
      <c r="K1600" s="5">
        <v>9739.7813029644258</v>
      </c>
      <c r="L1600" s="5">
        <v>15922.087958863045</v>
      </c>
      <c r="M1600" s="5">
        <v>15586.009710351766</v>
      </c>
      <c r="N1600" s="5">
        <v>21931.347680292267</v>
      </c>
      <c r="O1600" s="5">
        <v>25644.588869829797</v>
      </c>
      <c r="P1600" s="5">
        <v>27452.975716953504</v>
      </c>
      <c r="Q1600" s="5">
        <v>8832.660767995616</v>
      </c>
      <c r="R1600" s="5">
        <v>8720.6503563381029</v>
      </c>
    </row>
    <row r="1601" spans="9:18">
      <c r="I1601" s="4">
        <v>1586</v>
      </c>
      <c r="J1601" s="5">
        <v>8580.4413740966302</v>
      </c>
      <c r="K1601" s="5">
        <v>21527.93129974293</v>
      </c>
      <c r="L1601" s="5">
        <v>17716.90539191998</v>
      </c>
      <c r="M1601" s="5">
        <v>30785.663999045999</v>
      </c>
      <c r="N1601" s="5">
        <v>28426.778914975595</v>
      </c>
      <c r="O1601" s="5">
        <v>11282.178219986479</v>
      </c>
      <c r="P1601" s="5">
        <v>44646.134934589521</v>
      </c>
      <c r="Q1601" s="5">
        <v>13865.641566869812</v>
      </c>
      <c r="R1601" s="5">
        <v>17304.847214362417</v>
      </c>
    </row>
    <row r="1602" spans="9:18">
      <c r="I1602" s="4">
        <v>1587</v>
      </c>
      <c r="J1602" s="5">
        <v>16733.020222212988</v>
      </c>
      <c r="K1602" s="5">
        <v>13520.836427679104</v>
      </c>
      <c r="L1602" s="5">
        <v>19359.475411188432</v>
      </c>
      <c r="M1602" s="5">
        <v>19890.009981657669</v>
      </c>
      <c r="N1602" s="5">
        <v>22868.569282757788</v>
      </c>
      <c r="O1602" s="5">
        <v>27195.510785031525</v>
      </c>
      <c r="P1602" s="5">
        <v>21039.927746191301</v>
      </c>
      <c r="Q1602" s="5">
        <v>42044.890065817184</v>
      </c>
      <c r="R1602" s="5">
        <v>302760.11878714536</v>
      </c>
    </row>
    <row r="1603" spans="9:18">
      <c r="I1603" s="4">
        <v>1588</v>
      </c>
      <c r="J1603" s="5">
        <v>31053.540961463306</v>
      </c>
      <c r="K1603" s="5">
        <v>17128.860847126922</v>
      </c>
      <c r="L1603" s="5">
        <v>14649.721476864312</v>
      </c>
      <c r="M1603" s="5">
        <v>21913.431401527439</v>
      </c>
      <c r="N1603" s="5">
        <v>21931.347680292267</v>
      </c>
      <c r="O1603" s="5">
        <v>16826.763259351828</v>
      </c>
      <c r="P1603" s="5">
        <v>66904.018529955298</v>
      </c>
      <c r="Q1603" s="5">
        <v>31618.396253255491</v>
      </c>
      <c r="R1603" s="5">
        <v>24831.679362998926</v>
      </c>
    </row>
    <row r="1604" spans="9:18">
      <c r="I1604" s="4">
        <v>1589</v>
      </c>
      <c r="J1604" s="5">
        <v>12056.41843703942</v>
      </c>
      <c r="K1604" s="5">
        <v>16674.541027260992</v>
      </c>
      <c r="L1604" s="5">
        <v>17845.207337527903</v>
      </c>
      <c r="M1604" s="5">
        <v>21272.00214469912</v>
      </c>
      <c r="N1604" s="5">
        <v>12592.300437162297</v>
      </c>
      <c r="O1604" s="5">
        <v>20827.029306810669</v>
      </c>
      <c r="P1604" s="5">
        <v>27820.721938889761</v>
      </c>
      <c r="Q1604" s="5">
        <v>116445.46783345108</v>
      </c>
      <c r="R1604" s="5">
        <v>9913.4206865238284</v>
      </c>
    </row>
    <row r="1605" spans="9:18">
      <c r="I1605" s="4">
        <v>1590</v>
      </c>
      <c r="J1605" s="5">
        <v>28590.354879265724</v>
      </c>
      <c r="K1605" s="5">
        <v>17495.743706488822</v>
      </c>
      <c r="L1605" s="5">
        <v>16451.333928028147</v>
      </c>
      <c r="M1605" s="5">
        <v>20550.782384061673</v>
      </c>
      <c r="N1605" s="5">
        <v>15130.853682762778</v>
      </c>
      <c r="O1605" s="5">
        <v>5909.5347260996277</v>
      </c>
      <c r="P1605" s="5">
        <v>48123.003747643132</v>
      </c>
      <c r="Q1605" s="5">
        <v>52545.991451361173</v>
      </c>
      <c r="R1605" s="5">
        <v>19133.693426869788</v>
      </c>
    </row>
    <row r="1606" spans="9:18">
      <c r="I1606" s="4">
        <v>1591</v>
      </c>
      <c r="J1606" s="5">
        <v>14017.326487344162</v>
      </c>
      <c r="K1606" s="5">
        <v>14136.873097602549</v>
      </c>
      <c r="L1606" s="5">
        <v>16071.260291253868</v>
      </c>
      <c r="M1606" s="5">
        <v>23449.501569180404</v>
      </c>
      <c r="N1606" s="5">
        <v>14240.123545764454</v>
      </c>
      <c r="O1606" s="5">
        <v>40581.847217937895</v>
      </c>
      <c r="P1606" s="5">
        <v>77603.711720266961</v>
      </c>
      <c r="Q1606" s="5">
        <v>47365.380972950254</v>
      </c>
      <c r="R1606" s="5">
        <v>51141.799458534304</v>
      </c>
    </row>
    <row r="1607" spans="9:18">
      <c r="I1607" s="4">
        <v>1592</v>
      </c>
      <c r="J1607" s="5">
        <v>19048.674633640545</v>
      </c>
      <c r="K1607" s="5">
        <v>19467.955014411935</v>
      </c>
      <c r="L1607" s="5">
        <v>21428.663623484812</v>
      </c>
      <c r="M1607" s="5">
        <v>37411.178129764201</v>
      </c>
      <c r="N1607" s="5">
        <v>21933.097106966918</v>
      </c>
      <c r="O1607" s="5">
        <v>35286.662852302201</v>
      </c>
      <c r="P1607" s="5">
        <v>9047.5556949992188</v>
      </c>
      <c r="Q1607" s="5">
        <v>37277.391668005912</v>
      </c>
      <c r="R1607" s="5">
        <v>114016.93673542379</v>
      </c>
    </row>
    <row r="1608" spans="9:18">
      <c r="I1608" s="4">
        <v>1593</v>
      </c>
      <c r="J1608" s="5">
        <v>17679.321624063952</v>
      </c>
      <c r="K1608" s="5">
        <v>14587.813833513306</v>
      </c>
      <c r="L1608" s="5">
        <v>15832.5469007027</v>
      </c>
      <c r="M1608" s="5">
        <v>18879.640760542785</v>
      </c>
      <c r="N1608" s="5">
        <v>22868.569282757788</v>
      </c>
      <c r="O1608" s="5">
        <v>13966.178986479143</v>
      </c>
      <c r="P1608" s="5">
        <v>23769.190223735484</v>
      </c>
      <c r="Q1608" s="5">
        <v>17493.456269945855</v>
      </c>
      <c r="R1608" s="5">
        <v>7394.6358885760465</v>
      </c>
    </row>
    <row r="1609" spans="9:18">
      <c r="I1609" s="4">
        <v>1594</v>
      </c>
      <c r="J1609" s="5">
        <v>7855.2948890116513</v>
      </c>
      <c r="K1609" s="5">
        <v>6949.5708823216592</v>
      </c>
      <c r="L1609" s="5">
        <v>11827.803406885578</v>
      </c>
      <c r="M1609" s="5">
        <v>30785.663999045999</v>
      </c>
      <c r="N1609" s="5">
        <v>20718.434293991453</v>
      </c>
      <c r="O1609" s="5">
        <v>53007.660727727191</v>
      </c>
      <c r="P1609" s="5">
        <v>16574.429708560569</v>
      </c>
      <c r="Q1609" s="5">
        <v>47365.380972950254</v>
      </c>
      <c r="R1609" s="5">
        <v>39788.288251916689</v>
      </c>
    </row>
    <row r="1610" spans="9:18">
      <c r="I1610" s="4">
        <v>1595</v>
      </c>
      <c r="J1610" s="5">
        <v>13918.242013140338</v>
      </c>
      <c r="K1610" s="5">
        <v>32073.547537933715</v>
      </c>
      <c r="L1610" s="5">
        <v>14175.160754078657</v>
      </c>
      <c r="M1610" s="5">
        <v>13022.686998540772</v>
      </c>
      <c r="N1610" s="5">
        <v>11788.341482962171</v>
      </c>
      <c r="O1610" s="5">
        <v>8024.6340027919978</v>
      </c>
      <c r="P1610" s="5">
        <v>27708.613526855763</v>
      </c>
      <c r="Q1610" s="5">
        <v>9645.8788061228515</v>
      </c>
      <c r="R1610" s="5">
        <v>31715.273557891396</v>
      </c>
    </row>
    <row r="1611" spans="9:18">
      <c r="I1611" s="4">
        <v>1596</v>
      </c>
      <c r="J1611" s="5">
        <v>14749.343145806102</v>
      </c>
      <c r="K1611" s="5">
        <v>16199.334613834633</v>
      </c>
      <c r="L1611" s="5">
        <v>18475.258050488967</v>
      </c>
      <c r="M1611" s="5">
        <v>26477.996319655329</v>
      </c>
      <c r="N1611" s="5">
        <v>29468.83360104046</v>
      </c>
      <c r="O1611" s="5">
        <v>27084.483614751469</v>
      </c>
      <c r="P1611" s="5">
        <v>63015.124693769802</v>
      </c>
      <c r="Q1611" s="5">
        <v>31618.396253255491</v>
      </c>
      <c r="R1611" s="5">
        <v>182942.88598316166</v>
      </c>
    </row>
    <row r="1612" spans="9:18">
      <c r="I1612" s="4">
        <v>1597</v>
      </c>
      <c r="J1612" s="5">
        <v>14960.076233580705</v>
      </c>
      <c r="K1612" s="5">
        <v>53937.689698015136</v>
      </c>
      <c r="L1612" s="5">
        <v>13417.453622029931</v>
      </c>
      <c r="M1612" s="5">
        <v>19262.243095117232</v>
      </c>
      <c r="N1612" s="5">
        <v>22868.569282757788</v>
      </c>
      <c r="O1612" s="5">
        <v>79848.944504816522</v>
      </c>
      <c r="P1612" s="5">
        <v>83536.241167211992</v>
      </c>
      <c r="Q1612" s="5">
        <v>22483.395143121877</v>
      </c>
      <c r="R1612" s="5">
        <v>31715.273557891396</v>
      </c>
    </row>
    <row r="1613" spans="9:18">
      <c r="I1613" s="4">
        <v>1598</v>
      </c>
      <c r="J1613" s="5">
        <v>19467.17453557903</v>
      </c>
      <c r="K1613" s="5">
        <v>15631.937142257386</v>
      </c>
      <c r="L1613" s="5">
        <v>16017.890956041876</v>
      </c>
      <c r="M1613" s="5">
        <v>16001.653036457456</v>
      </c>
      <c r="N1613" s="5">
        <v>48565.498233359976</v>
      </c>
      <c r="O1613" s="5">
        <v>30876.675913171162</v>
      </c>
      <c r="P1613" s="5">
        <v>10966.822219855034</v>
      </c>
      <c r="Q1613" s="5">
        <v>25156.033327562815</v>
      </c>
      <c r="R1613" s="5">
        <v>2071.5141323269809</v>
      </c>
    </row>
    <row r="1614" spans="9:18">
      <c r="I1614" s="4">
        <v>1599</v>
      </c>
      <c r="J1614" s="5">
        <v>14671.176405938595</v>
      </c>
      <c r="K1614" s="5">
        <v>15698.764831033119</v>
      </c>
      <c r="L1614" s="5">
        <v>17716.90539191998</v>
      </c>
      <c r="M1614" s="5">
        <v>13011.820191946215</v>
      </c>
      <c r="N1614" s="5">
        <v>17214.078970533748</v>
      </c>
      <c r="O1614" s="5">
        <v>30876.675913171162</v>
      </c>
      <c r="P1614" s="5">
        <v>14773.185437294762</v>
      </c>
      <c r="Q1614" s="5">
        <v>8832.660767995616</v>
      </c>
      <c r="R1614" s="5">
        <v>50287.76786557267</v>
      </c>
    </row>
    <row r="1615" spans="9:18">
      <c r="I1615" s="4">
        <v>1600</v>
      </c>
      <c r="J1615" s="5">
        <v>15417.870921574262</v>
      </c>
      <c r="K1615" s="5">
        <v>43843.85059185313</v>
      </c>
      <c r="L1615" s="5">
        <v>16014.071850041886</v>
      </c>
      <c r="M1615" s="5">
        <v>21833.004790208965</v>
      </c>
      <c r="N1615" s="5">
        <v>13511.694619545402</v>
      </c>
      <c r="O1615" s="5">
        <v>13550.031670770122</v>
      </c>
      <c r="P1615" s="5">
        <v>66904.018529955298</v>
      </c>
      <c r="Q1615" s="5">
        <v>7457.1844090365566</v>
      </c>
      <c r="R1615" s="5">
        <v>2180.6148629084787</v>
      </c>
    </row>
    <row r="1616" spans="9:18">
      <c r="I1616" s="4">
        <v>1601</v>
      </c>
      <c r="J1616" s="5">
        <v>27392.038553726634</v>
      </c>
      <c r="K1616" s="5">
        <v>35705.595198125673</v>
      </c>
      <c r="L1616" s="5">
        <v>27144.958215276103</v>
      </c>
      <c r="M1616" s="5">
        <v>18691.941789825862</v>
      </c>
      <c r="N1616" s="5">
        <v>18410.937863650517</v>
      </c>
      <c r="O1616" s="5">
        <v>9956.4031238965053</v>
      </c>
      <c r="P1616" s="5">
        <v>16072.735485912413</v>
      </c>
      <c r="Q1616" s="5">
        <v>10151.908492905288</v>
      </c>
      <c r="R1616" s="5">
        <v>18230.645544621442</v>
      </c>
    </row>
    <row r="1617" spans="9:18">
      <c r="I1617" s="4">
        <v>1602</v>
      </c>
      <c r="J1617" s="5">
        <v>19048.674633640545</v>
      </c>
      <c r="K1617" s="5">
        <v>14587.813833513306</v>
      </c>
      <c r="L1617" s="5">
        <v>16777.996633299583</v>
      </c>
      <c r="M1617" s="5">
        <v>20041.623430301417</v>
      </c>
      <c r="N1617" s="5">
        <v>12297.015342318469</v>
      </c>
      <c r="O1617" s="5">
        <v>94068.324736096256</v>
      </c>
      <c r="P1617" s="5">
        <v>54292.749740228588</v>
      </c>
      <c r="Q1617" s="5">
        <v>15663.43865741136</v>
      </c>
      <c r="R1617" s="5">
        <v>16039.216896723072</v>
      </c>
    </row>
    <row r="1618" spans="9:18">
      <c r="I1618" s="4">
        <v>1603</v>
      </c>
      <c r="J1618" s="5">
        <v>12452.764985867625</v>
      </c>
      <c r="K1618" s="5">
        <v>16674.541027260992</v>
      </c>
      <c r="L1618" s="5">
        <v>17578.712723867691</v>
      </c>
      <c r="M1618" s="5">
        <v>11860.862376247747</v>
      </c>
      <c r="N1618" s="5">
        <v>12297.015342318469</v>
      </c>
      <c r="O1618" s="5">
        <v>35286.662852302201</v>
      </c>
      <c r="P1618" s="5">
        <v>35213.322626437533</v>
      </c>
      <c r="Q1618" s="5">
        <v>9645.8788061228515</v>
      </c>
      <c r="R1618" s="5">
        <v>16039.216896723072</v>
      </c>
    </row>
    <row r="1619" spans="9:18">
      <c r="I1619" s="4">
        <v>1604</v>
      </c>
      <c r="J1619" s="5">
        <v>33627.941293959229</v>
      </c>
      <c r="K1619" s="5">
        <v>16132.555399908759</v>
      </c>
      <c r="L1619" s="5">
        <v>17578.712723867691</v>
      </c>
      <c r="M1619" s="5">
        <v>32497.510405113037</v>
      </c>
      <c r="N1619" s="5">
        <v>32184.535272543482</v>
      </c>
      <c r="O1619" s="5">
        <v>55264.438774006347</v>
      </c>
      <c r="P1619" s="5">
        <v>8069.5385577067918</v>
      </c>
      <c r="Q1619" s="5">
        <v>59964.86015574776</v>
      </c>
      <c r="R1619" s="5">
        <v>114016.93673542379</v>
      </c>
    </row>
    <row r="1620" spans="9:18">
      <c r="I1620" s="4">
        <v>1605</v>
      </c>
      <c r="J1620" s="5">
        <v>12452.764985867625</v>
      </c>
      <c r="K1620" s="5">
        <v>16934.093371663999</v>
      </c>
      <c r="L1620" s="5">
        <v>34748.877779456467</v>
      </c>
      <c r="M1620" s="5">
        <v>16500.222621933419</v>
      </c>
      <c r="N1620" s="5">
        <v>51261.622558090799</v>
      </c>
      <c r="O1620" s="5">
        <v>20721.57544042755</v>
      </c>
      <c r="P1620" s="5">
        <v>9811.9720599964548</v>
      </c>
      <c r="Q1620" s="5">
        <v>22895.455950885695</v>
      </c>
      <c r="R1620" s="5">
        <v>3311.4906988006405</v>
      </c>
    </row>
    <row r="1621" spans="9:18">
      <c r="I1621" s="4">
        <v>1606</v>
      </c>
      <c r="J1621" s="5">
        <v>21150.169973104224</v>
      </c>
      <c r="K1621" s="5">
        <v>56656.842992470461</v>
      </c>
      <c r="L1621" s="5">
        <v>18634.523182776735</v>
      </c>
      <c r="M1621" s="5">
        <v>15346.383801976139</v>
      </c>
      <c r="N1621" s="5">
        <v>20558.672182394013</v>
      </c>
      <c r="O1621" s="5">
        <v>59207.798737851255</v>
      </c>
      <c r="P1621" s="5">
        <v>27373.102585108634</v>
      </c>
      <c r="Q1621" s="5">
        <v>31019.493883163672</v>
      </c>
      <c r="R1621" s="5">
        <v>90296.353221228885</v>
      </c>
    </row>
    <row r="1622" spans="9:18">
      <c r="I1622" s="4">
        <v>1607</v>
      </c>
      <c r="J1622" s="5">
        <v>11854.381651026555</v>
      </c>
      <c r="K1622" s="5">
        <v>13331.01856102917</v>
      </c>
      <c r="L1622" s="5">
        <v>15922.087958863045</v>
      </c>
      <c r="M1622" s="5">
        <v>14217.48832834715</v>
      </c>
      <c r="N1622" s="5">
        <v>46248.895746171031</v>
      </c>
      <c r="O1622" s="5">
        <v>27062.73412298776</v>
      </c>
      <c r="P1622" s="5">
        <v>33500.490132682797</v>
      </c>
      <c r="Q1622" s="5">
        <v>8474.2603471579441</v>
      </c>
      <c r="R1622" s="5">
        <v>31715.273557891396</v>
      </c>
    </row>
    <row r="1623" spans="9:18">
      <c r="I1623" s="4">
        <v>1608</v>
      </c>
      <c r="J1623" s="5">
        <v>8580.4413740966302</v>
      </c>
      <c r="K1623" s="5">
        <v>21527.93129974293</v>
      </c>
      <c r="L1623" s="5">
        <v>16955.349467865559</v>
      </c>
      <c r="M1623" s="5">
        <v>12735.841453044006</v>
      </c>
      <c r="N1623" s="5">
        <v>20583.564383988036</v>
      </c>
      <c r="O1623" s="5">
        <v>19430.912633256889</v>
      </c>
      <c r="P1623" s="5">
        <v>44646.134934589521</v>
      </c>
      <c r="Q1623" s="5">
        <v>4631.7430487757983</v>
      </c>
      <c r="R1623" s="5">
        <v>10885.018205103002</v>
      </c>
    </row>
    <row r="1624" spans="9:18">
      <c r="I1624" s="4">
        <v>1609</v>
      </c>
      <c r="J1624" s="5">
        <v>19048.674633640545</v>
      </c>
      <c r="K1624" s="5">
        <v>11206.053243692098</v>
      </c>
      <c r="L1624" s="5">
        <v>18475.258050488967</v>
      </c>
      <c r="M1624" s="5">
        <v>18691.941789825862</v>
      </c>
      <c r="N1624" s="5">
        <v>15658.063692994532</v>
      </c>
      <c r="O1624" s="5">
        <v>32474.063027682765</v>
      </c>
      <c r="P1624" s="5">
        <v>9482.0186426688688</v>
      </c>
      <c r="Q1624" s="5">
        <v>14064.158297039334</v>
      </c>
      <c r="R1624" s="5">
        <v>55012.315589742022</v>
      </c>
    </row>
    <row r="1625" spans="9:18">
      <c r="I1625" s="4">
        <v>1610</v>
      </c>
      <c r="J1625" s="5">
        <v>15554.996700302558</v>
      </c>
      <c r="K1625" s="5">
        <v>8124.7965732661823</v>
      </c>
      <c r="L1625" s="5">
        <v>20698.842353987733</v>
      </c>
      <c r="M1625" s="5">
        <v>22326.253555179093</v>
      </c>
      <c r="N1625" s="5">
        <v>21933.097106966918</v>
      </c>
      <c r="O1625" s="5">
        <v>9869.5889207969612</v>
      </c>
      <c r="P1625" s="5">
        <v>35213.322626437533</v>
      </c>
      <c r="Q1625" s="5">
        <v>68168.482468129529</v>
      </c>
      <c r="R1625" s="5">
        <v>9913.4206865238284</v>
      </c>
    </row>
    <row r="1626" spans="9:18">
      <c r="I1626" s="4">
        <v>1611</v>
      </c>
      <c r="J1626" s="5">
        <v>16544.73779470181</v>
      </c>
      <c r="K1626" s="5">
        <v>23934.551191616061</v>
      </c>
      <c r="L1626" s="5">
        <v>20698.842353987733</v>
      </c>
      <c r="M1626" s="5">
        <v>32497.510405113037</v>
      </c>
      <c r="N1626" s="5">
        <v>36962.805083900916</v>
      </c>
      <c r="O1626" s="5">
        <v>20489.622805425737</v>
      </c>
      <c r="P1626" s="5">
        <v>48123.003747643132</v>
      </c>
      <c r="Q1626" s="5">
        <v>20987.925664394581</v>
      </c>
      <c r="R1626" s="5">
        <v>14079.827908007112</v>
      </c>
    </row>
    <row r="1627" spans="9:18">
      <c r="I1627" s="4">
        <v>1612</v>
      </c>
      <c r="J1627" s="5">
        <v>16156.372629961115</v>
      </c>
      <c r="K1627" s="5">
        <v>16665.1498926479</v>
      </c>
      <c r="L1627" s="5">
        <v>17311.244744664215</v>
      </c>
      <c r="M1627" s="5">
        <v>13642.678686731051</v>
      </c>
      <c r="N1627" s="5">
        <v>46248.895746171031</v>
      </c>
      <c r="O1627" s="5">
        <v>25604.597681740845</v>
      </c>
      <c r="P1627" s="5">
        <v>55152.110177667731</v>
      </c>
      <c r="Q1627" s="5">
        <v>8880.8074399558282</v>
      </c>
      <c r="R1627" s="5">
        <v>87776.138236389699</v>
      </c>
    </row>
    <row r="1628" spans="9:18">
      <c r="I1628" s="4">
        <v>1613</v>
      </c>
      <c r="J1628" s="5">
        <v>15130.594750069789</v>
      </c>
      <c r="K1628" s="5">
        <v>14611.618478071941</v>
      </c>
      <c r="L1628" s="5">
        <v>15225.811035017256</v>
      </c>
      <c r="M1628" s="5">
        <v>22815.60259636537</v>
      </c>
      <c r="N1628" s="5">
        <v>11604.12831603515</v>
      </c>
      <c r="O1628" s="5">
        <v>16826.763259351828</v>
      </c>
      <c r="P1628" s="5">
        <v>41657.50350099193</v>
      </c>
      <c r="Q1628" s="5">
        <v>31902.904306425251</v>
      </c>
      <c r="R1628" s="5">
        <v>39788.288251916689</v>
      </c>
    </row>
    <row r="1629" spans="9:18">
      <c r="I1629" s="4">
        <v>1614</v>
      </c>
      <c r="J1629" s="5">
        <v>17592.832480262863</v>
      </c>
      <c r="K1629" s="5">
        <v>15631.937142257386</v>
      </c>
      <c r="L1629" s="5">
        <v>17243.440968229323</v>
      </c>
      <c r="M1629" s="5">
        <v>10111.451009425113</v>
      </c>
      <c r="N1629" s="5">
        <v>29468.83360104046</v>
      </c>
      <c r="O1629" s="5">
        <v>62082.6862081785</v>
      </c>
      <c r="P1629" s="5">
        <v>32167.874670939738</v>
      </c>
      <c r="Q1629" s="5">
        <v>35525.432376048877</v>
      </c>
      <c r="R1629" s="5">
        <v>18230.645544621442</v>
      </c>
    </row>
    <row r="1630" spans="9:18">
      <c r="I1630" s="4">
        <v>1615</v>
      </c>
      <c r="J1630" s="5">
        <v>11854.381651026555</v>
      </c>
      <c r="K1630" s="5">
        <v>16199.334613834633</v>
      </c>
      <c r="L1630" s="5">
        <v>23561.450544884348</v>
      </c>
      <c r="M1630" s="5">
        <v>15346.383801976139</v>
      </c>
      <c r="N1630" s="5">
        <v>26152.705108198839</v>
      </c>
      <c r="O1630" s="5">
        <v>10369.402667058452</v>
      </c>
      <c r="P1630" s="5">
        <v>16574.429708560569</v>
      </c>
      <c r="Q1630" s="5">
        <v>17234.335939857254</v>
      </c>
      <c r="R1630" s="5">
        <v>55106.806585409526</v>
      </c>
    </row>
    <row r="1631" spans="9:18">
      <c r="I1631" s="4">
        <v>1616</v>
      </c>
      <c r="J1631" s="5">
        <v>27392.038553726634</v>
      </c>
      <c r="K1631" s="5">
        <v>21958.925144875713</v>
      </c>
      <c r="L1631" s="5">
        <v>14042.41908879921</v>
      </c>
      <c r="M1631" s="5">
        <v>31472.019071027709</v>
      </c>
      <c r="N1631" s="5">
        <v>10882.757905166785</v>
      </c>
      <c r="O1631" s="5">
        <v>19430.912633256889</v>
      </c>
      <c r="P1631" s="5">
        <v>40377.463755170742</v>
      </c>
      <c r="Q1631" s="5">
        <v>16591.881190929333</v>
      </c>
      <c r="R1631" s="5">
        <v>1535.701520095213</v>
      </c>
    </row>
    <row r="1632" spans="9:18">
      <c r="I1632" s="4">
        <v>1617</v>
      </c>
      <c r="J1632" s="5">
        <v>16166.107684907736</v>
      </c>
      <c r="K1632" s="5">
        <v>22732.797143159998</v>
      </c>
      <c r="L1632" s="5">
        <v>16451.333928028147</v>
      </c>
      <c r="M1632" s="5">
        <v>13022.686998540772</v>
      </c>
      <c r="N1632" s="5">
        <v>15804.474686449519</v>
      </c>
      <c r="O1632" s="5">
        <v>13966.178986479143</v>
      </c>
      <c r="P1632" s="5">
        <v>12639.596794453437</v>
      </c>
      <c r="Q1632" s="5">
        <v>2356.8990887111336</v>
      </c>
      <c r="R1632" s="5">
        <v>18349.337771428582</v>
      </c>
    </row>
    <row r="1633" spans="9:18">
      <c r="I1633" s="4">
        <v>1618</v>
      </c>
      <c r="J1633" s="5">
        <v>15554.996700302558</v>
      </c>
      <c r="K1633" s="5">
        <v>56656.842992470461</v>
      </c>
      <c r="L1633" s="5">
        <v>15832.5469007027</v>
      </c>
      <c r="M1633" s="5">
        <v>19433.64679949253</v>
      </c>
      <c r="N1633" s="5">
        <v>4770.4216775830728</v>
      </c>
      <c r="O1633" s="5">
        <v>51330.340277512776</v>
      </c>
      <c r="P1633" s="5">
        <v>40377.463755170742</v>
      </c>
      <c r="Q1633" s="5">
        <v>68168.482468129529</v>
      </c>
      <c r="R1633" s="5">
        <v>44707.053087992797</v>
      </c>
    </row>
    <row r="1634" spans="9:18">
      <c r="I1634" s="4">
        <v>1619</v>
      </c>
      <c r="J1634" s="5">
        <v>17005.744061105343</v>
      </c>
      <c r="K1634" s="5">
        <v>11206.053243692098</v>
      </c>
      <c r="L1634" s="5">
        <v>22162.138529251199</v>
      </c>
      <c r="M1634" s="5">
        <v>13139.022167648376</v>
      </c>
      <c r="N1634" s="5">
        <v>51261.622558090799</v>
      </c>
      <c r="O1634" s="5">
        <v>26268.613803794757</v>
      </c>
      <c r="P1634" s="5">
        <v>25258.981945036445</v>
      </c>
      <c r="Q1634" s="5">
        <v>28078.365156847896</v>
      </c>
      <c r="R1634" s="5">
        <v>55012.315589742022</v>
      </c>
    </row>
    <row r="1635" spans="9:18">
      <c r="I1635" s="4">
        <v>1620</v>
      </c>
      <c r="J1635" s="5">
        <v>13841.207384998772</v>
      </c>
      <c r="K1635" s="5">
        <v>15782.544184844044</v>
      </c>
      <c r="L1635" s="5">
        <v>16071.478531535273</v>
      </c>
      <c r="M1635" s="5">
        <v>14432.283063351901</v>
      </c>
      <c r="N1635" s="5">
        <v>51261.622558090799</v>
      </c>
      <c r="O1635" s="5">
        <v>13840.304699955392</v>
      </c>
      <c r="P1635" s="5">
        <v>31127.87225845682</v>
      </c>
      <c r="Q1635" s="5">
        <v>31974.553851773013</v>
      </c>
      <c r="R1635" s="5">
        <v>54594.567438884274</v>
      </c>
    </row>
    <row r="1636" spans="9:18">
      <c r="I1636" s="4">
        <v>1621</v>
      </c>
      <c r="J1636" s="5">
        <v>16733.020222212988</v>
      </c>
      <c r="K1636" s="5">
        <v>23543.914024953676</v>
      </c>
      <c r="L1636" s="5">
        <v>17845.207337527903</v>
      </c>
      <c r="M1636" s="5">
        <v>30830.81083227017</v>
      </c>
      <c r="N1636" s="5">
        <v>11251.634703629026</v>
      </c>
      <c r="O1636" s="5">
        <v>25644.588869829797</v>
      </c>
      <c r="P1636" s="5">
        <v>5735.6883097179207</v>
      </c>
      <c r="Q1636" s="5">
        <v>8832.660767995616</v>
      </c>
      <c r="R1636" s="5">
        <v>3311.4906988006405</v>
      </c>
    </row>
    <row r="1637" spans="9:18">
      <c r="I1637" s="4">
        <v>1622</v>
      </c>
      <c r="J1637" s="5">
        <v>29760.443016608337</v>
      </c>
      <c r="K1637" s="5">
        <v>15347.101709242541</v>
      </c>
      <c r="L1637" s="5">
        <v>17716.90539191998</v>
      </c>
      <c r="M1637" s="5">
        <v>6367.5407465007311</v>
      </c>
      <c r="N1637" s="5">
        <v>41563.89847100406</v>
      </c>
      <c r="O1637" s="5">
        <v>36759.655306288936</v>
      </c>
      <c r="P1637" s="5">
        <v>20391.123772341358</v>
      </c>
      <c r="Q1637" s="5">
        <v>19315.033835554255</v>
      </c>
      <c r="R1637" s="5">
        <v>39727.513802035661</v>
      </c>
    </row>
    <row r="1638" spans="9:18">
      <c r="I1638" s="4">
        <v>1623</v>
      </c>
      <c r="J1638" s="5">
        <v>14344.692898101612</v>
      </c>
      <c r="K1638" s="5">
        <v>24728.095385476983</v>
      </c>
      <c r="L1638" s="5">
        <v>13867.07093008449</v>
      </c>
      <c r="M1638" s="5">
        <v>23515.935489506261</v>
      </c>
      <c r="N1638" s="5">
        <v>13909.728487455486</v>
      </c>
      <c r="O1638" s="5">
        <v>40581.847217937895</v>
      </c>
      <c r="P1638" s="5">
        <v>9482.0186426688688</v>
      </c>
      <c r="Q1638" s="5">
        <v>19541.409060825732</v>
      </c>
      <c r="R1638" s="5">
        <v>7952.6989268572033</v>
      </c>
    </row>
    <row r="1639" spans="9:18">
      <c r="I1639" s="4">
        <v>1624</v>
      </c>
      <c r="J1639" s="5">
        <v>17679.321624063952</v>
      </c>
      <c r="K1639" s="5">
        <v>11403.533194020869</v>
      </c>
      <c r="L1639" s="5">
        <v>10896.494237357269</v>
      </c>
      <c r="M1639" s="5">
        <v>31460.745851561904</v>
      </c>
      <c r="N1639" s="5">
        <v>19125.360074567652</v>
      </c>
      <c r="O1639" s="5">
        <v>26268.613803794757</v>
      </c>
      <c r="P1639" s="5">
        <v>10180.109839011631</v>
      </c>
      <c r="Q1639" s="5">
        <v>37101.531383212743</v>
      </c>
      <c r="R1639" s="5">
        <v>6360.7905155660001</v>
      </c>
    </row>
    <row r="1640" spans="9:18">
      <c r="I1640" s="4">
        <v>1625</v>
      </c>
      <c r="J1640" s="5">
        <v>73074.062486361407</v>
      </c>
      <c r="K1640" s="5">
        <v>29672.680843304515</v>
      </c>
      <c r="L1640" s="5">
        <v>29265.217478369766</v>
      </c>
      <c r="M1640" s="5">
        <v>16881.579299055</v>
      </c>
      <c r="N1640" s="5">
        <v>18410.937863650517</v>
      </c>
      <c r="O1640" s="5">
        <v>24258.192244316608</v>
      </c>
      <c r="P1640" s="5">
        <v>8662.4232458952465</v>
      </c>
      <c r="Q1640" s="5">
        <v>37497.234505125656</v>
      </c>
      <c r="R1640" s="5">
        <v>51358.6267760993</v>
      </c>
    </row>
    <row r="1641" spans="9:18">
      <c r="I1641" s="4">
        <v>1626</v>
      </c>
      <c r="J1641" s="5">
        <v>11854.381651026555</v>
      </c>
      <c r="K1641" s="5">
        <v>53937.689698015136</v>
      </c>
      <c r="L1641" s="5">
        <v>17693.864646288712</v>
      </c>
      <c r="M1641" s="5">
        <v>36301.422888051464</v>
      </c>
      <c r="N1641" s="5">
        <v>24020.875410266352</v>
      </c>
      <c r="O1641" s="5">
        <v>30656.031716467984</v>
      </c>
      <c r="P1641" s="5">
        <v>10966.822219855034</v>
      </c>
      <c r="Q1641" s="5">
        <v>10151.908492905288</v>
      </c>
      <c r="R1641" s="5">
        <v>18720.450716365784</v>
      </c>
    </row>
    <row r="1642" spans="9:18">
      <c r="I1642" s="4">
        <v>1627</v>
      </c>
      <c r="J1642" s="5">
        <v>14671.176405938595</v>
      </c>
      <c r="K1642" s="5">
        <v>11507.182177474708</v>
      </c>
      <c r="L1642" s="5">
        <v>15359.132481533357</v>
      </c>
      <c r="M1642" s="5">
        <v>19042.78605337895</v>
      </c>
      <c r="N1642" s="5">
        <v>14240.123545764454</v>
      </c>
      <c r="O1642" s="5">
        <v>24369.28567093279</v>
      </c>
      <c r="P1642" s="5">
        <v>8069.5385577067918</v>
      </c>
      <c r="Q1642" s="5">
        <v>10151.908492905288</v>
      </c>
      <c r="R1642" s="5">
        <v>17991.870496434763</v>
      </c>
    </row>
    <row r="1643" spans="9:18">
      <c r="I1643" s="4">
        <v>1628</v>
      </c>
      <c r="J1643" s="5">
        <v>16511.332839561353</v>
      </c>
      <c r="K1643" s="5">
        <v>16952.949313901812</v>
      </c>
      <c r="L1643" s="5">
        <v>17128.574519497746</v>
      </c>
      <c r="M1643" s="5">
        <v>36301.422888051464</v>
      </c>
      <c r="N1643" s="5">
        <v>46248.895746171031</v>
      </c>
      <c r="O1643" s="5">
        <v>18637.945795127704</v>
      </c>
      <c r="P1643" s="5">
        <v>20403.656304140692</v>
      </c>
      <c r="Q1643" s="5">
        <v>56069.347629295014</v>
      </c>
      <c r="R1643" s="5">
        <v>20236.767651156802</v>
      </c>
    </row>
    <row r="1644" spans="9:18">
      <c r="I1644" s="4">
        <v>1629</v>
      </c>
      <c r="J1644" s="5">
        <v>16156.372629961115</v>
      </c>
      <c r="K1644" s="5">
        <v>12423.491400404893</v>
      </c>
      <c r="L1644" s="5">
        <v>16616.161224349555</v>
      </c>
      <c r="M1644" s="5">
        <v>18879.640760542785</v>
      </c>
      <c r="N1644" s="5">
        <v>18410.937863650517</v>
      </c>
      <c r="O1644" s="5">
        <v>35286.662852302201</v>
      </c>
      <c r="P1644" s="5">
        <v>74840.036182179319</v>
      </c>
      <c r="Q1644" s="5">
        <v>9652.8114206999071</v>
      </c>
      <c r="R1644" s="5">
        <v>12130.167062525341</v>
      </c>
    </row>
    <row r="1645" spans="9:18">
      <c r="I1645" s="4">
        <v>1630</v>
      </c>
      <c r="J1645" s="5">
        <v>14960.076233580705</v>
      </c>
      <c r="K1645" s="5">
        <v>16199.334613834633</v>
      </c>
      <c r="L1645" s="5">
        <v>14175.160754078657</v>
      </c>
      <c r="M1645" s="5">
        <v>17349.963215818931</v>
      </c>
      <c r="N1645" s="5">
        <v>24314.043643333731</v>
      </c>
      <c r="O1645" s="5">
        <v>13117.417685535194</v>
      </c>
      <c r="P1645" s="5">
        <v>5735.6883097179207</v>
      </c>
      <c r="Q1645" s="5">
        <v>25156.033327562815</v>
      </c>
      <c r="R1645" s="5">
        <v>8105.1944146993656</v>
      </c>
    </row>
    <row r="1646" spans="9:18">
      <c r="I1646" s="4">
        <v>1631</v>
      </c>
      <c r="J1646" s="5">
        <v>31559.699247539775</v>
      </c>
      <c r="K1646" s="5">
        <v>17903.387243834499</v>
      </c>
      <c r="L1646" s="5">
        <v>14649.721476864312</v>
      </c>
      <c r="M1646" s="5">
        <v>13616.35938654862</v>
      </c>
      <c r="N1646" s="5">
        <v>17811.114014514766</v>
      </c>
      <c r="O1646" s="5">
        <v>53504.725169095313</v>
      </c>
      <c r="P1646" s="5">
        <v>9047.5556949992188</v>
      </c>
      <c r="Q1646" s="5">
        <v>31019.493883163672</v>
      </c>
      <c r="R1646" s="5">
        <v>24722.972470599001</v>
      </c>
    </row>
    <row r="1647" spans="9:18">
      <c r="I1647" s="4">
        <v>1632</v>
      </c>
      <c r="J1647" s="5">
        <v>14671.176405938595</v>
      </c>
      <c r="K1647" s="5">
        <v>23543.914024953676</v>
      </c>
      <c r="L1647" s="5">
        <v>17683.765335572589</v>
      </c>
      <c r="M1647" s="5">
        <v>20229.919588372999</v>
      </c>
      <c r="N1647" s="5">
        <v>37309.151967087455</v>
      </c>
      <c r="O1647" s="5">
        <v>27068.054847826614</v>
      </c>
      <c r="P1647" s="5">
        <v>29283.825979394511</v>
      </c>
      <c r="Q1647" s="5">
        <v>16803.875627203233</v>
      </c>
      <c r="R1647" s="5">
        <v>17687.533637716911</v>
      </c>
    </row>
    <row r="1648" spans="9:18">
      <c r="I1648" s="4">
        <v>1633</v>
      </c>
      <c r="J1648" s="5">
        <v>15873.12561080002</v>
      </c>
      <c r="K1648" s="5">
        <v>14854.898507619706</v>
      </c>
      <c r="L1648" s="5">
        <v>15471.738323660695</v>
      </c>
      <c r="M1648" s="5">
        <v>13642.678686731051</v>
      </c>
      <c r="N1648" s="5">
        <v>9563.1256545330361</v>
      </c>
      <c r="O1648" s="5">
        <v>5444.7598502623823</v>
      </c>
      <c r="P1648" s="5">
        <v>25258.981945036445</v>
      </c>
      <c r="Q1648" s="5">
        <v>42044.890065817184</v>
      </c>
      <c r="R1648" s="5">
        <v>302760.11878714536</v>
      </c>
    </row>
    <row r="1649" spans="9:18">
      <c r="I1649" s="4">
        <v>1634</v>
      </c>
      <c r="J1649" s="5">
        <v>29760.443016608337</v>
      </c>
      <c r="K1649" s="5">
        <v>14351.415257675473</v>
      </c>
      <c r="L1649" s="5">
        <v>17920.486090689363</v>
      </c>
      <c r="M1649" s="5">
        <v>30785.663999045999</v>
      </c>
      <c r="N1649" s="5">
        <v>12297.015342318469</v>
      </c>
      <c r="O1649" s="5">
        <v>18637.945795127704</v>
      </c>
      <c r="P1649" s="5">
        <v>14376.883105731285</v>
      </c>
      <c r="Q1649" s="5">
        <v>48756.323642664109</v>
      </c>
      <c r="R1649" s="5">
        <v>17304.847214362417</v>
      </c>
    </row>
    <row r="1650" spans="9:18">
      <c r="I1650" s="4">
        <v>1635</v>
      </c>
      <c r="J1650" s="5">
        <v>19048.674633640545</v>
      </c>
      <c r="K1650" s="5">
        <v>15768.312122029349</v>
      </c>
      <c r="L1650" s="5">
        <v>18810.091753970282</v>
      </c>
      <c r="M1650" s="5">
        <v>21833.004790208965</v>
      </c>
      <c r="N1650" s="5">
        <v>23998.040874392525</v>
      </c>
      <c r="O1650" s="5">
        <v>53007.660727727191</v>
      </c>
      <c r="P1650" s="5">
        <v>20403.656304140692</v>
      </c>
      <c r="Q1650" s="5">
        <v>54060.5331097772</v>
      </c>
      <c r="R1650" s="5">
        <v>89167.415757270224</v>
      </c>
    </row>
    <row r="1651" spans="9:18">
      <c r="I1651" s="4">
        <v>1636</v>
      </c>
      <c r="J1651" s="5">
        <v>31053.540961463306</v>
      </c>
      <c r="K1651" s="5">
        <v>12026.500118162745</v>
      </c>
      <c r="L1651" s="5">
        <v>16472.138192556791</v>
      </c>
      <c r="M1651" s="5">
        <v>10142.860128720422</v>
      </c>
      <c r="N1651" s="5">
        <v>22868.569282757788</v>
      </c>
      <c r="O1651" s="5">
        <v>51330.340277512776</v>
      </c>
      <c r="P1651" s="5">
        <v>32167.874670939738</v>
      </c>
      <c r="Q1651" s="5">
        <v>9138.5169630896526</v>
      </c>
      <c r="R1651" s="5">
        <v>33290.909836056817</v>
      </c>
    </row>
    <row r="1652" spans="9:18">
      <c r="I1652" s="4">
        <v>1637</v>
      </c>
      <c r="J1652" s="5">
        <v>20002.201347927807</v>
      </c>
      <c r="K1652" s="5">
        <v>14017.262946034314</v>
      </c>
      <c r="L1652" s="5">
        <v>14316.474075738101</v>
      </c>
      <c r="M1652" s="5">
        <v>19262.243095117232</v>
      </c>
      <c r="N1652" s="5">
        <v>17891.96347244953</v>
      </c>
      <c r="O1652" s="5">
        <v>30876.675913171162</v>
      </c>
      <c r="P1652" s="5">
        <v>83536.241167211992</v>
      </c>
      <c r="Q1652" s="5">
        <v>37497.234505125656</v>
      </c>
      <c r="R1652" s="5">
        <v>27349.63499959607</v>
      </c>
    </row>
    <row r="1653" spans="9:18">
      <c r="I1653" s="4">
        <v>1638</v>
      </c>
      <c r="J1653" s="5">
        <v>43272.831879770602</v>
      </c>
      <c r="K1653" s="5">
        <v>15391.837334808681</v>
      </c>
      <c r="L1653" s="5">
        <v>15923.549351835489</v>
      </c>
      <c r="M1653" s="5">
        <v>11860.862376247747</v>
      </c>
      <c r="N1653" s="5">
        <v>57711.498171893618</v>
      </c>
      <c r="O1653" s="5">
        <v>26565.882515615398</v>
      </c>
      <c r="P1653" s="5">
        <v>26541.896041444568</v>
      </c>
      <c r="Q1653" s="5">
        <v>9138.5169630896526</v>
      </c>
      <c r="R1653" s="5">
        <v>93933.045103013996</v>
      </c>
    </row>
    <row r="1654" spans="9:18">
      <c r="I1654" s="4">
        <v>1639</v>
      </c>
      <c r="J1654" s="5">
        <v>14076.209333698853</v>
      </c>
      <c r="K1654" s="5">
        <v>9769.3659785458403</v>
      </c>
      <c r="L1654" s="5">
        <v>13358.459356674217</v>
      </c>
      <c r="M1654" s="5">
        <v>13011.820191946215</v>
      </c>
      <c r="N1654" s="5">
        <v>18367.429489032103</v>
      </c>
      <c r="O1654" s="5">
        <v>35286.662852302201</v>
      </c>
      <c r="P1654" s="5">
        <v>44816.412248582856</v>
      </c>
      <c r="Q1654" s="5">
        <v>8474.2603471579441</v>
      </c>
      <c r="R1654" s="5">
        <v>65420.116221752483</v>
      </c>
    </row>
    <row r="1655" spans="9:18">
      <c r="I1655" s="4">
        <v>1640</v>
      </c>
      <c r="J1655" s="5">
        <v>11116.191595722205</v>
      </c>
      <c r="K1655" s="5">
        <v>16132.555399908759</v>
      </c>
      <c r="L1655" s="5">
        <v>15300.182042823812</v>
      </c>
      <c r="M1655" s="5">
        <v>17370.588707072598</v>
      </c>
      <c r="N1655" s="5">
        <v>18367.429489032103</v>
      </c>
      <c r="O1655" s="5">
        <v>13613.378495715853</v>
      </c>
      <c r="P1655" s="5">
        <v>16072.735485912413</v>
      </c>
      <c r="Q1655" s="5">
        <v>53055.59182561023</v>
      </c>
      <c r="R1655" s="5">
        <v>33290.909836056817</v>
      </c>
    </row>
    <row r="1656" spans="9:18">
      <c r="I1656" s="4">
        <v>1641</v>
      </c>
      <c r="J1656" s="5">
        <v>21717.214093683677</v>
      </c>
      <c r="K1656" s="5">
        <v>95171.967522309933</v>
      </c>
      <c r="L1656" s="5">
        <v>27289.607394458035</v>
      </c>
      <c r="M1656" s="5">
        <v>18816.787977140237</v>
      </c>
      <c r="N1656" s="5">
        <v>11751.639947035985</v>
      </c>
      <c r="O1656" s="5">
        <v>16505.600261180331</v>
      </c>
      <c r="P1656" s="5">
        <v>21039.927746191301</v>
      </c>
      <c r="Q1656" s="5">
        <v>22145.301831504508</v>
      </c>
      <c r="R1656" s="5">
        <v>18349.337771428582</v>
      </c>
    </row>
    <row r="1657" spans="9:18">
      <c r="I1657" s="4">
        <v>1642</v>
      </c>
      <c r="J1657" s="5">
        <v>14538.277247583976</v>
      </c>
      <c r="K1657" s="5">
        <v>17495.743706488822</v>
      </c>
      <c r="L1657" s="5">
        <v>19359.475411188432</v>
      </c>
      <c r="M1657" s="5">
        <v>37411.178129764201</v>
      </c>
      <c r="N1657" s="5">
        <v>27833.630848857778</v>
      </c>
      <c r="O1657" s="5">
        <v>13840.304699955392</v>
      </c>
      <c r="P1657" s="5">
        <v>45161.732159568586</v>
      </c>
      <c r="Q1657" s="5">
        <v>8502.450657922871</v>
      </c>
      <c r="R1657" s="5">
        <v>3433.6677391851467</v>
      </c>
    </row>
    <row r="1658" spans="9:18">
      <c r="I1658" s="4">
        <v>1643</v>
      </c>
      <c r="J1658" s="5">
        <v>17005.744061105343</v>
      </c>
      <c r="K1658" s="5">
        <v>13559.080695844099</v>
      </c>
      <c r="L1658" s="5">
        <v>27289.607394458035</v>
      </c>
      <c r="M1658" s="5">
        <v>14217.48832834715</v>
      </c>
      <c r="N1658" s="5">
        <v>15130.853682762778</v>
      </c>
      <c r="O1658" s="5">
        <v>26268.613803794757</v>
      </c>
      <c r="P1658" s="5">
        <v>49519.098753410741</v>
      </c>
      <c r="Q1658" s="5">
        <v>96632.959478514502</v>
      </c>
      <c r="R1658" s="5">
        <v>93933.045103013996</v>
      </c>
    </row>
    <row r="1659" spans="9:18">
      <c r="I1659" s="4">
        <v>1644</v>
      </c>
      <c r="J1659" s="5">
        <v>14076.209333698853</v>
      </c>
      <c r="K1659" s="5">
        <v>32073.547537933715</v>
      </c>
      <c r="L1659" s="5">
        <v>13023.361770761438</v>
      </c>
      <c r="M1659" s="5">
        <v>11860.862376247747</v>
      </c>
      <c r="N1659" s="5">
        <v>21931.347680292267</v>
      </c>
      <c r="O1659" s="5">
        <v>24422.445067017139</v>
      </c>
      <c r="P1659" s="5">
        <v>26126.807131356076</v>
      </c>
      <c r="Q1659" s="5">
        <v>28776.080424849053</v>
      </c>
      <c r="R1659" s="5">
        <v>182942.88598316166</v>
      </c>
    </row>
    <row r="1660" spans="9:18">
      <c r="I1660" s="4">
        <v>1645</v>
      </c>
      <c r="J1660" s="5">
        <v>14017.326487344162</v>
      </c>
      <c r="K1660" s="5">
        <v>15391.837334808681</v>
      </c>
      <c r="L1660" s="5">
        <v>16014.071850041886</v>
      </c>
      <c r="M1660" s="5">
        <v>23515.935489506261</v>
      </c>
      <c r="N1660" s="5">
        <v>28426.778914975595</v>
      </c>
      <c r="O1660" s="5">
        <v>13519.384207850644</v>
      </c>
      <c r="P1660" s="5">
        <v>14327.191387816954</v>
      </c>
      <c r="Q1660" s="5">
        <v>8502.450657922871</v>
      </c>
      <c r="R1660" s="5">
        <v>54594.567438884274</v>
      </c>
    </row>
    <row r="1661" spans="9:18">
      <c r="I1661" s="4">
        <v>1646</v>
      </c>
      <c r="J1661" s="5">
        <v>13663.281817546009</v>
      </c>
      <c r="K1661" s="5">
        <v>13652.224205833634</v>
      </c>
      <c r="L1661" s="5">
        <v>17578.712723867691</v>
      </c>
      <c r="M1661" s="5">
        <v>12934.591863415189</v>
      </c>
      <c r="N1661" s="5">
        <v>11684.605182472778</v>
      </c>
      <c r="O1661" s="5">
        <v>16462.170789592048</v>
      </c>
      <c r="P1661" s="5">
        <v>46514.467673254068</v>
      </c>
      <c r="Q1661" s="5">
        <v>7349.2234634219121</v>
      </c>
      <c r="R1661" s="5">
        <v>12130.167062525341</v>
      </c>
    </row>
    <row r="1662" spans="9:18">
      <c r="I1662" s="4">
        <v>1647</v>
      </c>
      <c r="J1662" s="5">
        <v>15786.811016780619</v>
      </c>
      <c r="K1662" s="5">
        <v>53937.689698015136</v>
      </c>
      <c r="L1662" s="5">
        <v>16777.996633299583</v>
      </c>
      <c r="M1662" s="5">
        <v>9623.0342442006167</v>
      </c>
      <c r="N1662" s="5">
        <v>45581.602064432409</v>
      </c>
      <c r="O1662" s="5">
        <v>21930.527973988665</v>
      </c>
      <c r="P1662" s="5">
        <v>10532.667493814919</v>
      </c>
      <c r="Q1662" s="5">
        <v>30266.563414010914</v>
      </c>
      <c r="R1662" s="5">
        <v>33290.909836056817</v>
      </c>
    </row>
    <row r="1663" spans="9:18">
      <c r="I1663" s="4">
        <v>1648</v>
      </c>
      <c r="J1663" s="5">
        <v>16733.020222212988</v>
      </c>
      <c r="K1663" s="5">
        <v>37822.375317881044</v>
      </c>
      <c r="L1663" s="5">
        <v>17716.90539191998</v>
      </c>
      <c r="M1663" s="5">
        <v>16500.222621933419</v>
      </c>
      <c r="N1663" s="5">
        <v>59876.136849941562</v>
      </c>
      <c r="O1663" s="5">
        <v>20991.103410982985</v>
      </c>
      <c r="P1663" s="5">
        <v>13793.886507202402</v>
      </c>
      <c r="Q1663" s="5">
        <v>52421.574537857021</v>
      </c>
      <c r="R1663" s="5">
        <v>2071.5141323269809</v>
      </c>
    </row>
    <row r="1664" spans="9:18">
      <c r="I1664" s="4">
        <v>1649</v>
      </c>
      <c r="J1664" s="5">
        <v>16416.142496463777</v>
      </c>
      <c r="K1664" s="5">
        <v>14878.52734402675</v>
      </c>
      <c r="L1664" s="5">
        <v>17716.90539191998</v>
      </c>
      <c r="M1664" s="5">
        <v>9623.0342442006167</v>
      </c>
      <c r="N1664" s="5">
        <v>36962.805083900916</v>
      </c>
      <c r="O1664" s="5">
        <v>27508.313315384185</v>
      </c>
      <c r="P1664" s="5">
        <v>46514.467673254068</v>
      </c>
      <c r="Q1664" s="5">
        <v>47365.380972950254</v>
      </c>
      <c r="R1664" s="5">
        <v>123773.40402252052</v>
      </c>
    </row>
    <row r="1665" spans="9:18">
      <c r="I1665" s="4">
        <v>1650</v>
      </c>
      <c r="J1665" s="5">
        <v>14017.326487344162</v>
      </c>
      <c r="K1665" s="5">
        <v>37822.375317881044</v>
      </c>
      <c r="L1665" s="5">
        <v>16014.071850041886</v>
      </c>
      <c r="M1665" s="5">
        <v>10451.914120098167</v>
      </c>
      <c r="N1665" s="5">
        <v>23746.795665493762</v>
      </c>
      <c r="O1665" s="5">
        <v>27195.510785031525</v>
      </c>
      <c r="P1665" s="5">
        <v>32155.527541400057</v>
      </c>
      <c r="Q1665" s="5">
        <v>37802.358878968138</v>
      </c>
      <c r="R1665" s="5">
        <v>30571.564004538617</v>
      </c>
    </row>
    <row r="1666" spans="9:18">
      <c r="I1666" s="4">
        <v>1651</v>
      </c>
      <c r="J1666" s="5">
        <v>29760.443016608337</v>
      </c>
      <c r="K1666" s="5">
        <v>15768.312122029349</v>
      </c>
      <c r="L1666" s="5">
        <v>13037.115556745504</v>
      </c>
      <c r="M1666" s="5">
        <v>18879.640760542785</v>
      </c>
      <c r="N1666" s="5">
        <v>10882.757905166785</v>
      </c>
      <c r="O1666" s="5">
        <v>28431.436490368542</v>
      </c>
      <c r="P1666" s="5">
        <v>41657.50350099193</v>
      </c>
      <c r="Q1666" s="5">
        <v>37277.391668005912</v>
      </c>
      <c r="R1666" s="5">
        <v>3311.4906988006405</v>
      </c>
    </row>
    <row r="1667" spans="9:18">
      <c r="I1667" s="4">
        <v>1652</v>
      </c>
      <c r="J1667" s="5">
        <v>14671.176405938595</v>
      </c>
      <c r="K1667" s="5">
        <v>9769.3659785458403</v>
      </c>
      <c r="L1667" s="5">
        <v>21725.131459372977</v>
      </c>
      <c r="M1667" s="5">
        <v>25580.243606220469</v>
      </c>
      <c r="N1667" s="5">
        <v>26152.705108198839</v>
      </c>
      <c r="O1667" s="5">
        <v>40304.23053285561</v>
      </c>
      <c r="P1667" s="5">
        <v>16650.229067545235</v>
      </c>
      <c r="Q1667" s="5">
        <v>19315.033835554255</v>
      </c>
      <c r="R1667" s="5">
        <v>123773.40402252052</v>
      </c>
    </row>
    <row r="1668" spans="9:18">
      <c r="I1668" s="4">
        <v>1653</v>
      </c>
      <c r="J1668" s="5">
        <v>15417.870921574262</v>
      </c>
      <c r="K1668" s="5">
        <v>14021.934268028277</v>
      </c>
      <c r="L1668" s="5">
        <v>15923.549351835489</v>
      </c>
      <c r="M1668" s="5">
        <v>23908.621352410395</v>
      </c>
      <c r="N1668" s="5">
        <v>63974.903847153939</v>
      </c>
      <c r="O1668" s="5">
        <v>10738.305003664611</v>
      </c>
      <c r="P1668" s="5">
        <v>54923.423457863879</v>
      </c>
      <c r="Q1668" s="5">
        <v>19541.409060825732</v>
      </c>
      <c r="R1668" s="5">
        <v>7879.038918914337</v>
      </c>
    </row>
    <row r="1669" spans="9:18">
      <c r="I1669" s="4">
        <v>1654</v>
      </c>
      <c r="J1669" s="5">
        <v>13841.207384998772</v>
      </c>
      <c r="K1669" s="5">
        <v>16665.1498926479</v>
      </c>
      <c r="L1669" s="5">
        <v>21428.663623484812</v>
      </c>
      <c r="M1669" s="5">
        <v>19795.661011456152</v>
      </c>
      <c r="N1669" s="5">
        <v>11751.639947035985</v>
      </c>
      <c r="O1669" s="5">
        <v>27508.313315384185</v>
      </c>
      <c r="P1669" s="5">
        <v>9965.8330787532959</v>
      </c>
      <c r="Q1669" s="5">
        <v>54060.5331097772</v>
      </c>
      <c r="R1669" s="5">
        <v>41056.152565483346</v>
      </c>
    </row>
    <row r="1670" spans="9:18">
      <c r="I1670" s="4">
        <v>1655</v>
      </c>
      <c r="J1670" s="5">
        <v>15554.996700302558</v>
      </c>
      <c r="K1670" s="5">
        <v>16199.334613834633</v>
      </c>
      <c r="L1670" s="5">
        <v>21428.663623484812</v>
      </c>
      <c r="M1670" s="5">
        <v>17116.951435661951</v>
      </c>
      <c r="N1670" s="5">
        <v>20583.564383988036</v>
      </c>
      <c r="O1670" s="5">
        <v>79848.944504816522</v>
      </c>
      <c r="P1670" s="5">
        <v>26541.896041444568</v>
      </c>
      <c r="Q1670" s="5">
        <v>64585.328088516922</v>
      </c>
      <c r="R1670" s="5">
        <v>3989.7956692889929</v>
      </c>
    </row>
    <row r="1671" spans="9:18">
      <c r="I1671" s="4">
        <v>1656</v>
      </c>
      <c r="J1671" s="5">
        <v>12035.382213755307</v>
      </c>
      <c r="K1671" s="5">
        <v>23543.914024953676</v>
      </c>
      <c r="L1671" s="5">
        <v>21725.131459372977</v>
      </c>
      <c r="M1671" s="5">
        <v>30785.663999045999</v>
      </c>
      <c r="N1671" s="5">
        <v>17214.078970533748</v>
      </c>
      <c r="O1671" s="5">
        <v>19430.912633256889</v>
      </c>
      <c r="P1671" s="5">
        <v>16072.735485912413</v>
      </c>
      <c r="Q1671" s="5">
        <v>31974.553851773013</v>
      </c>
      <c r="R1671" s="5">
        <v>84289.422255274636</v>
      </c>
    </row>
    <row r="1672" spans="9:18">
      <c r="I1672" s="4">
        <v>1657</v>
      </c>
      <c r="J1672" s="5">
        <v>14749.343145806102</v>
      </c>
      <c r="K1672" s="5">
        <v>6949.5708823216592</v>
      </c>
      <c r="L1672" s="5">
        <v>22412.045018675239</v>
      </c>
      <c r="M1672" s="5">
        <v>21072.983263501868</v>
      </c>
      <c r="N1672" s="5">
        <v>24853.247795632611</v>
      </c>
      <c r="O1672" s="5">
        <v>25604.597681740845</v>
      </c>
      <c r="P1672" s="5">
        <v>35569.894390728325</v>
      </c>
      <c r="Q1672" s="5">
        <v>44911.749632594299</v>
      </c>
      <c r="R1672" s="5">
        <v>35232.418639121184</v>
      </c>
    </row>
    <row r="1673" spans="9:18">
      <c r="I1673" s="4">
        <v>1658</v>
      </c>
      <c r="J1673" s="5">
        <v>43272.831879770602</v>
      </c>
      <c r="K1673" s="5">
        <v>16952.949313901812</v>
      </c>
      <c r="L1673" s="5">
        <v>17128.574519497746</v>
      </c>
      <c r="M1673" s="5">
        <v>23515.935489506261</v>
      </c>
      <c r="N1673" s="5">
        <v>13909.728487455486</v>
      </c>
      <c r="O1673" s="5">
        <v>20827.029306810669</v>
      </c>
      <c r="P1673" s="5">
        <v>9826.8369575407578</v>
      </c>
      <c r="Q1673" s="5">
        <v>52421.574537857021</v>
      </c>
      <c r="R1673" s="5">
        <v>72640.340924600489</v>
      </c>
    </row>
    <row r="1674" spans="9:18">
      <c r="I1674" s="4">
        <v>1659</v>
      </c>
      <c r="J1674" s="5">
        <v>15352.465904292809</v>
      </c>
      <c r="K1674" s="5">
        <v>16934.093371663999</v>
      </c>
      <c r="L1674" s="5">
        <v>13417.453622029931</v>
      </c>
      <c r="M1674" s="5">
        <v>23449.501569180404</v>
      </c>
      <c r="N1674" s="5">
        <v>42744.618431291936</v>
      </c>
      <c r="O1674" s="5">
        <v>10369.402667058452</v>
      </c>
      <c r="P1674" s="5">
        <v>27452.975716953504</v>
      </c>
      <c r="Q1674" s="5">
        <v>10151.908492905288</v>
      </c>
      <c r="R1674" s="5">
        <v>16039.216896723072</v>
      </c>
    </row>
    <row r="1675" spans="9:18">
      <c r="I1675" s="4">
        <v>1660</v>
      </c>
      <c r="J1675" s="5">
        <v>19121.054099180623</v>
      </c>
      <c r="K1675" s="5">
        <v>32073.547537933715</v>
      </c>
      <c r="L1675" s="5">
        <v>17845.207337527903</v>
      </c>
      <c r="M1675" s="5">
        <v>29834.240613550006</v>
      </c>
      <c r="N1675" s="5">
        <v>10882.757905166785</v>
      </c>
      <c r="O1675" s="5">
        <v>27195.510785031525</v>
      </c>
      <c r="P1675" s="5">
        <v>46514.467673254068</v>
      </c>
      <c r="Q1675" s="5">
        <v>44911.749632594299</v>
      </c>
      <c r="R1675" s="5">
        <v>6681.1887184356683</v>
      </c>
    </row>
    <row r="1676" spans="9:18">
      <c r="I1676" s="4">
        <v>1661</v>
      </c>
      <c r="J1676" s="5">
        <v>16788.081681455456</v>
      </c>
      <c r="K1676" s="5">
        <v>14579.232378315752</v>
      </c>
      <c r="L1676" s="5">
        <v>18379.634651549037</v>
      </c>
      <c r="M1676" s="5">
        <v>20550.782384061673</v>
      </c>
      <c r="N1676" s="5">
        <v>15804.474686449519</v>
      </c>
      <c r="O1676" s="5">
        <v>27084.483614751469</v>
      </c>
      <c r="P1676" s="5">
        <v>55119.366528283317</v>
      </c>
      <c r="Q1676" s="5">
        <v>22895.455950885695</v>
      </c>
      <c r="R1676" s="5">
        <v>8720.6503563381029</v>
      </c>
    </row>
    <row r="1677" spans="9:18">
      <c r="I1677" s="4">
        <v>1662</v>
      </c>
      <c r="J1677" s="5">
        <v>14017.326487344162</v>
      </c>
      <c r="K1677" s="5">
        <v>14579.232378315752</v>
      </c>
      <c r="L1677" s="5">
        <v>14691.846656953887</v>
      </c>
      <c r="M1677" s="5">
        <v>11860.862376247747</v>
      </c>
      <c r="N1677" s="5">
        <v>22735.120948269971</v>
      </c>
      <c r="O1677" s="5">
        <v>30608.431994348266</v>
      </c>
      <c r="P1677" s="5">
        <v>24349.301972630979</v>
      </c>
      <c r="Q1677" s="5">
        <v>59964.86015574776</v>
      </c>
      <c r="R1677" s="5">
        <v>38898.713625068609</v>
      </c>
    </row>
    <row r="1678" spans="9:18">
      <c r="I1678" s="4">
        <v>1663</v>
      </c>
      <c r="J1678" s="5">
        <v>49463.324094345015</v>
      </c>
      <c r="K1678" s="5">
        <v>17128.860847126922</v>
      </c>
      <c r="L1678" s="5">
        <v>16955.349467865559</v>
      </c>
      <c r="M1678" s="5">
        <v>12735.841453044006</v>
      </c>
      <c r="N1678" s="5">
        <v>41563.89847100406</v>
      </c>
      <c r="O1678" s="5">
        <v>28431.436490368542</v>
      </c>
      <c r="P1678" s="5">
        <v>35569.894390728325</v>
      </c>
      <c r="Q1678" s="5">
        <v>3909.239690544402</v>
      </c>
      <c r="R1678" s="5">
        <v>17991.870496434763</v>
      </c>
    </row>
    <row r="1679" spans="9:18">
      <c r="I1679" s="4">
        <v>1664</v>
      </c>
      <c r="J1679" s="5">
        <v>21888.821432026474</v>
      </c>
      <c r="K1679" s="5">
        <v>21527.93129974293</v>
      </c>
      <c r="L1679" s="5">
        <v>14264.23790876064</v>
      </c>
      <c r="M1679" s="5">
        <v>42282.977640783138</v>
      </c>
      <c r="N1679" s="5">
        <v>13511.694619545402</v>
      </c>
      <c r="O1679" s="5">
        <v>9320.7026593487881</v>
      </c>
      <c r="P1679" s="5">
        <v>83536.241167211992</v>
      </c>
      <c r="Q1679" s="5">
        <v>116445.46783345108</v>
      </c>
      <c r="R1679" s="5">
        <v>9913.4206865238284</v>
      </c>
    </row>
    <row r="1680" spans="9:18">
      <c r="I1680" s="4">
        <v>1665</v>
      </c>
      <c r="J1680" s="5">
        <v>13841.207384998772</v>
      </c>
      <c r="K1680" s="5">
        <v>16199.334613834633</v>
      </c>
      <c r="L1680" s="5">
        <v>17482.478480142941</v>
      </c>
      <c r="M1680" s="5">
        <v>17349.963215818931</v>
      </c>
      <c r="N1680" s="5">
        <v>13909.728487455486</v>
      </c>
      <c r="O1680" s="5">
        <v>42492.261063288854</v>
      </c>
      <c r="P1680" s="5">
        <v>40377.463755170742</v>
      </c>
      <c r="Q1680" s="5">
        <v>52421.574537857021</v>
      </c>
      <c r="R1680" s="5">
        <v>18349.337771428582</v>
      </c>
    </row>
    <row r="1681" spans="9:18">
      <c r="I1681" s="4">
        <v>1666</v>
      </c>
      <c r="J1681" s="5">
        <v>28214.771032351968</v>
      </c>
      <c r="K1681" s="5">
        <v>13719.930466819731</v>
      </c>
      <c r="L1681" s="5">
        <v>17243.440968229323</v>
      </c>
      <c r="M1681" s="5">
        <v>23913.435663027711</v>
      </c>
      <c r="N1681" s="5">
        <v>11788.341482962171</v>
      </c>
      <c r="O1681" s="5">
        <v>20827.029306810669</v>
      </c>
      <c r="P1681" s="5">
        <v>16574.429708560569</v>
      </c>
      <c r="Q1681" s="5">
        <v>9454.5906023793759</v>
      </c>
      <c r="R1681" s="5">
        <v>65420.116221752483</v>
      </c>
    </row>
    <row r="1682" spans="9:18">
      <c r="I1682" s="4">
        <v>1667</v>
      </c>
      <c r="J1682" s="5">
        <v>15081.728672246438</v>
      </c>
      <c r="K1682" s="5">
        <v>11857.447519815871</v>
      </c>
      <c r="L1682" s="5">
        <v>16014.071850041886</v>
      </c>
      <c r="M1682" s="5">
        <v>16881.579299055</v>
      </c>
      <c r="N1682" s="5">
        <v>23583.581287126868</v>
      </c>
      <c r="O1682" s="5">
        <v>26565.882515615398</v>
      </c>
      <c r="P1682" s="5">
        <v>26541.896041444568</v>
      </c>
      <c r="Q1682" s="5">
        <v>6386.5227360487288</v>
      </c>
      <c r="R1682" s="5">
        <v>181970.23111012415</v>
      </c>
    </row>
    <row r="1683" spans="9:18">
      <c r="I1683" s="4">
        <v>1668</v>
      </c>
      <c r="J1683" s="5">
        <v>16788.081681455456</v>
      </c>
      <c r="K1683" s="5">
        <v>34058.671324159091</v>
      </c>
      <c r="L1683" s="5">
        <v>14649.721476864312</v>
      </c>
      <c r="M1683" s="5">
        <v>41403.687663920646</v>
      </c>
      <c r="N1683" s="5">
        <v>45581.602064432409</v>
      </c>
      <c r="O1683" s="5">
        <v>36759.655306288936</v>
      </c>
      <c r="P1683" s="5">
        <v>34814.458119125498</v>
      </c>
      <c r="Q1683" s="5">
        <v>64585.328088516922</v>
      </c>
      <c r="R1683" s="5">
        <v>24831.679362998926</v>
      </c>
    </row>
    <row r="1684" spans="9:18">
      <c r="I1684" s="4">
        <v>1669</v>
      </c>
      <c r="J1684" s="5">
        <v>43272.831879770602</v>
      </c>
      <c r="K1684" s="5">
        <v>14579.232378315752</v>
      </c>
      <c r="L1684" s="5">
        <v>10896.494237357269</v>
      </c>
      <c r="M1684" s="5">
        <v>23454.775510296178</v>
      </c>
      <c r="N1684" s="5">
        <v>48565.498233359976</v>
      </c>
      <c r="O1684" s="5">
        <v>32474.063027682765</v>
      </c>
      <c r="P1684" s="5">
        <v>10532.667493814919</v>
      </c>
      <c r="Q1684" s="5">
        <v>68168.482468129529</v>
      </c>
      <c r="R1684" s="5">
        <v>39788.288251916689</v>
      </c>
    </row>
    <row r="1685" spans="9:18">
      <c r="I1685" s="4">
        <v>1670</v>
      </c>
      <c r="J1685" s="5">
        <v>13391.049101507895</v>
      </c>
      <c r="K1685" s="5">
        <v>17495.743706488822</v>
      </c>
      <c r="L1685" s="5">
        <v>24256.352541181568</v>
      </c>
      <c r="M1685" s="5">
        <v>16881.579299055</v>
      </c>
      <c r="N1685" s="5">
        <v>23283.854578052265</v>
      </c>
      <c r="O1685" s="5">
        <v>10270.120415297655</v>
      </c>
      <c r="P1685" s="5">
        <v>9965.8330787532959</v>
      </c>
      <c r="Q1685" s="5">
        <v>4631.7430487757983</v>
      </c>
      <c r="R1685" s="5">
        <v>2071.5141323269809</v>
      </c>
    </row>
    <row r="1686" spans="9:18">
      <c r="I1686" s="4">
        <v>1671</v>
      </c>
      <c r="J1686" s="5">
        <v>14671.176405938595</v>
      </c>
      <c r="K1686" s="5">
        <v>24728.095385476983</v>
      </c>
      <c r="L1686" s="5">
        <v>16071.260291253868</v>
      </c>
      <c r="M1686" s="5">
        <v>18879.640760542785</v>
      </c>
      <c r="N1686" s="5">
        <v>35826.921212852278</v>
      </c>
      <c r="O1686" s="5">
        <v>36759.655306288936</v>
      </c>
      <c r="P1686" s="5">
        <v>26126.807131356076</v>
      </c>
      <c r="Q1686" s="5">
        <v>48756.323642664109</v>
      </c>
      <c r="R1686" s="5">
        <v>2071.5141323269809</v>
      </c>
    </row>
    <row r="1687" spans="9:18">
      <c r="I1687" s="4">
        <v>1672</v>
      </c>
      <c r="J1687" s="5">
        <v>9405.362381917912</v>
      </c>
      <c r="K1687" s="5">
        <v>32073.547537933715</v>
      </c>
      <c r="L1687" s="5">
        <v>13358.459356674217</v>
      </c>
      <c r="M1687" s="5">
        <v>12987.517521908694</v>
      </c>
      <c r="N1687" s="5">
        <v>22511.351424689696</v>
      </c>
      <c r="O1687" s="5">
        <v>16524.769946939996</v>
      </c>
      <c r="P1687" s="5">
        <v>12639.596794453437</v>
      </c>
      <c r="Q1687" s="5">
        <v>28776.080424849053</v>
      </c>
      <c r="R1687" s="5">
        <v>39727.513802035661</v>
      </c>
    </row>
    <row r="1688" spans="9:18">
      <c r="I1688" s="4">
        <v>1673</v>
      </c>
      <c r="J1688" s="5">
        <v>29760.443016608337</v>
      </c>
      <c r="K1688" s="5">
        <v>12777.667398488715</v>
      </c>
      <c r="L1688" s="5">
        <v>15471.738323660695</v>
      </c>
      <c r="M1688" s="5">
        <v>19795.661011456152</v>
      </c>
      <c r="N1688" s="5">
        <v>24853.247795632611</v>
      </c>
      <c r="O1688" s="5">
        <v>14371.728352806511</v>
      </c>
      <c r="P1688" s="5">
        <v>33715.790977629549</v>
      </c>
      <c r="Q1688" s="5">
        <v>13865.641566869812</v>
      </c>
      <c r="R1688" s="5">
        <v>55106.806585409526</v>
      </c>
    </row>
    <row r="1689" spans="9:18">
      <c r="I1689" s="4">
        <v>1674</v>
      </c>
      <c r="J1689" s="5">
        <v>14749.343145806102</v>
      </c>
      <c r="K1689" s="5">
        <v>21527.93129974293</v>
      </c>
      <c r="L1689" s="5">
        <v>17243.440968229323</v>
      </c>
      <c r="M1689" s="5">
        <v>31554.722481137964</v>
      </c>
      <c r="N1689" s="5">
        <v>11251.634703629026</v>
      </c>
      <c r="O1689" s="5">
        <v>20489.622805425737</v>
      </c>
      <c r="P1689" s="5">
        <v>54292.749740228588</v>
      </c>
      <c r="Q1689" s="5">
        <v>54060.5331097772</v>
      </c>
      <c r="R1689" s="5">
        <v>30571.564004538617</v>
      </c>
    </row>
    <row r="1690" spans="9:18">
      <c r="I1690" s="4">
        <v>1675</v>
      </c>
      <c r="J1690" s="5">
        <v>16788.081681455456</v>
      </c>
      <c r="K1690" s="5">
        <v>23934.551191616061</v>
      </c>
      <c r="L1690" s="5">
        <v>17128.574519497746</v>
      </c>
      <c r="M1690" s="5">
        <v>19042.78605337895</v>
      </c>
      <c r="N1690" s="5">
        <v>48565.498233359976</v>
      </c>
      <c r="O1690" s="5">
        <v>24247.516962783076</v>
      </c>
      <c r="P1690" s="5">
        <v>9633.1652908310007</v>
      </c>
      <c r="Q1690" s="5">
        <v>48756.323642664109</v>
      </c>
      <c r="R1690" s="5">
        <v>81423.874800517297</v>
      </c>
    </row>
    <row r="1691" spans="9:18">
      <c r="I1691" s="4">
        <v>1676</v>
      </c>
      <c r="J1691" s="5">
        <v>31559.699247539775</v>
      </c>
      <c r="K1691" s="5">
        <v>18086.448513145526</v>
      </c>
      <c r="L1691" s="5">
        <v>16577.562442697115</v>
      </c>
      <c r="M1691" s="5">
        <v>13065.820809359835</v>
      </c>
      <c r="N1691" s="5">
        <v>13511.694619545402</v>
      </c>
      <c r="O1691" s="5">
        <v>55264.438774006347</v>
      </c>
      <c r="P1691" s="5">
        <v>21039.927746191301</v>
      </c>
      <c r="Q1691" s="5">
        <v>48866.209623168346</v>
      </c>
      <c r="R1691" s="5">
        <v>122304.95880137496</v>
      </c>
    </row>
    <row r="1692" spans="9:18">
      <c r="I1692" s="4">
        <v>1677</v>
      </c>
      <c r="J1692" s="5">
        <v>22812.564910649318</v>
      </c>
      <c r="K1692" s="5">
        <v>61827.107730316675</v>
      </c>
      <c r="L1692" s="5">
        <v>17578.712723867691</v>
      </c>
      <c r="M1692" s="5">
        <v>21332.072353846772</v>
      </c>
      <c r="N1692" s="5">
        <v>23746.795665493762</v>
      </c>
      <c r="O1692" s="5">
        <v>41653.890350944224</v>
      </c>
      <c r="P1692" s="5">
        <v>106091.28270624072</v>
      </c>
      <c r="Q1692" s="5">
        <v>54060.5331097772</v>
      </c>
      <c r="R1692" s="5">
        <v>51141.799458534304</v>
      </c>
    </row>
    <row r="1693" spans="9:18">
      <c r="I1693" s="4">
        <v>1678</v>
      </c>
      <c r="J1693" s="5">
        <v>16416.142496463777</v>
      </c>
      <c r="K1693" s="5">
        <v>21527.93129974293</v>
      </c>
      <c r="L1693" s="5">
        <v>16955.349467865559</v>
      </c>
      <c r="M1693" s="5">
        <v>37411.178129764201</v>
      </c>
      <c r="N1693" s="5">
        <v>23746.795665493762</v>
      </c>
      <c r="O1693" s="5">
        <v>16524.769946939996</v>
      </c>
      <c r="P1693" s="5">
        <v>8662.4232458952465</v>
      </c>
      <c r="Q1693" s="5">
        <v>28776.080424849053</v>
      </c>
      <c r="R1693" s="5">
        <v>54594.567438884274</v>
      </c>
    </row>
    <row r="1694" spans="9:18">
      <c r="I1694" s="4">
        <v>1679</v>
      </c>
      <c r="J1694" s="5">
        <v>22812.564910649318</v>
      </c>
      <c r="K1694" s="5">
        <v>32073.547537933715</v>
      </c>
      <c r="L1694" s="5">
        <v>15225.811035017256</v>
      </c>
      <c r="M1694" s="5">
        <v>12735.841453044006</v>
      </c>
      <c r="N1694" s="5">
        <v>45581.602064432409</v>
      </c>
      <c r="O1694" s="5">
        <v>13966.178986479143</v>
      </c>
      <c r="P1694" s="5">
        <v>10532.667493814919</v>
      </c>
      <c r="Q1694" s="5">
        <v>8474.2603471579441</v>
      </c>
      <c r="R1694" s="5">
        <v>55106.806585409526</v>
      </c>
    </row>
    <row r="1695" spans="9:18">
      <c r="I1695" s="4">
        <v>1680</v>
      </c>
      <c r="J1695" s="5">
        <v>17005.744061105343</v>
      </c>
      <c r="K1695" s="5">
        <v>11403.533194020869</v>
      </c>
      <c r="L1695" s="5">
        <v>14796.875457021113</v>
      </c>
      <c r="M1695" s="5">
        <v>14432.283063351901</v>
      </c>
      <c r="N1695" s="5">
        <v>20292.069765667391</v>
      </c>
      <c r="O1695" s="5">
        <v>9869.5889207969612</v>
      </c>
      <c r="P1695" s="5">
        <v>35569.894390728325</v>
      </c>
      <c r="Q1695" s="5">
        <v>52545.991451361173</v>
      </c>
      <c r="R1695" s="5">
        <v>1535.701520095213</v>
      </c>
    </row>
    <row r="1696" spans="9:18">
      <c r="I1696" s="4">
        <v>1681</v>
      </c>
      <c r="J1696" s="5">
        <v>34933.039312618188</v>
      </c>
      <c r="K1696" s="5">
        <v>34164.842952759042</v>
      </c>
      <c r="L1696" s="5">
        <v>14815.394001212817</v>
      </c>
      <c r="M1696" s="5">
        <v>7334.8610818348589</v>
      </c>
      <c r="N1696" s="5">
        <v>18367.429489032103</v>
      </c>
      <c r="O1696" s="5">
        <v>16524.769946939996</v>
      </c>
      <c r="P1696" s="5">
        <v>9965.8330787532959</v>
      </c>
      <c r="Q1696" s="5">
        <v>19315.033835554255</v>
      </c>
      <c r="R1696" s="5">
        <v>302760.11878714536</v>
      </c>
    </row>
    <row r="1697" spans="9:18">
      <c r="I1697" s="4">
        <v>1682</v>
      </c>
      <c r="J1697" s="5">
        <v>11936.262457073821</v>
      </c>
      <c r="K1697" s="5">
        <v>35705.595198125673</v>
      </c>
      <c r="L1697" s="5">
        <v>20698.842353987733</v>
      </c>
      <c r="M1697" s="5">
        <v>37411.178129764201</v>
      </c>
      <c r="N1697" s="5">
        <v>11251.634703629026</v>
      </c>
      <c r="O1697" s="5">
        <v>13966.178986479143</v>
      </c>
      <c r="P1697" s="5">
        <v>21933.779100635442</v>
      </c>
      <c r="Q1697" s="5">
        <v>100789.83462564547</v>
      </c>
      <c r="R1697" s="5">
        <v>31715.273557891396</v>
      </c>
    </row>
    <row r="1698" spans="9:18">
      <c r="I1698" s="4">
        <v>1683</v>
      </c>
      <c r="J1698" s="5">
        <v>33627.941293959229</v>
      </c>
      <c r="K1698" s="5">
        <v>95171.967522309933</v>
      </c>
      <c r="L1698" s="5">
        <v>10752.183901283248</v>
      </c>
      <c r="M1698" s="5">
        <v>20229.919588372999</v>
      </c>
      <c r="N1698" s="5">
        <v>9209.4418830788036</v>
      </c>
      <c r="O1698" s="5">
        <v>25802.481365323994</v>
      </c>
      <c r="P1698" s="5">
        <v>74840.036182179319</v>
      </c>
      <c r="Q1698" s="5">
        <v>27789.973552634947</v>
      </c>
      <c r="R1698" s="5">
        <v>2180.6148629084787</v>
      </c>
    </row>
    <row r="1699" spans="9:18">
      <c r="I1699" s="4">
        <v>1684</v>
      </c>
      <c r="J1699" s="5">
        <v>14017.326487344162</v>
      </c>
      <c r="K1699" s="5">
        <v>14587.813833513306</v>
      </c>
      <c r="L1699" s="5">
        <v>16017.890956041876</v>
      </c>
      <c r="M1699" s="5">
        <v>14217.48832834715</v>
      </c>
      <c r="N1699" s="5">
        <v>21617.945168312468</v>
      </c>
      <c r="O1699" s="5">
        <v>10676.618215263648</v>
      </c>
      <c r="P1699" s="5">
        <v>21813.848941464526</v>
      </c>
      <c r="Q1699" s="5">
        <v>28078.365156847896</v>
      </c>
      <c r="R1699" s="5">
        <v>62674.060343500474</v>
      </c>
    </row>
    <row r="1700" spans="9:18">
      <c r="I1700" s="4">
        <v>1685</v>
      </c>
      <c r="J1700" s="5">
        <v>16459.003095225507</v>
      </c>
      <c r="K1700" s="5">
        <v>21527.93129974293</v>
      </c>
      <c r="L1700" s="5">
        <v>27289.607394458035</v>
      </c>
      <c r="M1700" s="5">
        <v>19430.369425783585</v>
      </c>
      <c r="N1700" s="5">
        <v>23583.581287126868</v>
      </c>
      <c r="O1700" s="5">
        <v>25604.597681740845</v>
      </c>
      <c r="P1700" s="5">
        <v>6275.8915673055426</v>
      </c>
      <c r="Q1700" s="5">
        <v>25156.033327562815</v>
      </c>
      <c r="R1700" s="5">
        <v>3311.4906988006405</v>
      </c>
    </row>
    <row r="1701" spans="9:18">
      <c r="I1701" s="4">
        <v>1686</v>
      </c>
      <c r="J1701" s="5">
        <v>11036.461796239426</v>
      </c>
      <c r="K1701" s="5">
        <v>22732.797143159998</v>
      </c>
      <c r="L1701" s="5">
        <v>22412.045018675239</v>
      </c>
      <c r="M1701" s="5">
        <v>37411.178129764201</v>
      </c>
      <c r="N1701" s="5">
        <v>23008.246229813707</v>
      </c>
      <c r="O1701" s="5">
        <v>9708.4497800977806</v>
      </c>
      <c r="P1701" s="5">
        <v>25258.981945036445</v>
      </c>
      <c r="Q1701" s="5">
        <v>37073.980790337926</v>
      </c>
      <c r="R1701" s="5">
        <v>9913.4206865238284</v>
      </c>
    </row>
    <row r="1702" spans="9:18">
      <c r="I1702" s="4">
        <v>1687</v>
      </c>
      <c r="J1702" s="5">
        <v>21888.821432026474</v>
      </c>
      <c r="K1702" s="5">
        <v>15698.764831033119</v>
      </c>
      <c r="L1702" s="5">
        <v>17693.864646288712</v>
      </c>
      <c r="M1702" s="5">
        <v>16510.442870615672</v>
      </c>
      <c r="N1702" s="5">
        <v>13511.694619545402</v>
      </c>
      <c r="O1702" s="5">
        <v>16462.170789592048</v>
      </c>
      <c r="P1702" s="5">
        <v>33715.790977629549</v>
      </c>
      <c r="Q1702" s="5">
        <v>3909.239690544402</v>
      </c>
      <c r="R1702" s="5">
        <v>89167.415757270224</v>
      </c>
    </row>
    <row r="1703" spans="9:18">
      <c r="I1703" s="4">
        <v>1688</v>
      </c>
      <c r="J1703" s="5">
        <v>8580.4413740966302</v>
      </c>
      <c r="K1703" s="5">
        <v>15698.764831033119</v>
      </c>
      <c r="L1703" s="5">
        <v>15759.954187048656</v>
      </c>
      <c r="M1703" s="5">
        <v>30785.663999045999</v>
      </c>
      <c r="N1703" s="5">
        <v>14921.795973817481</v>
      </c>
      <c r="O1703" s="5">
        <v>35865.625349531729</v>
      </c>
      <c r="P1703" s="5">
        <v>5836.7810663002319</v>
      </c>
      <c r="Q1703" s="5">
        <v>13214.632802255031</v>
      </c>
      <c r="R1703" s="5">
        <v>65420.116221752483</v>
      </c>
    </row>
    <row r="1704" spans="9:18">
      <c r="I1704" s="4">
        <v>1689</v>
      </c>
      <c r="J1704" s="5">
        <v>16088.430030489333</v>
      </c>
      <c r="K1704" s="5">
        <v>8124.7965732661823</v>
      </c>
      <c r="L1704" s="5">
        <v>14175.160754078657</v>
      </c>
      <c r="M1704" s="5">
        <v>10111.451009425113</v>
      </c>
      <c r="N1704" s="5">
        <v>40377.252444397986</v>
      </c>
      <c r="O1704" s="5">
        <v>26268.613803794757</v>
      </c>
      <c r="P1704" s="5">
        <v>20391.123772341358</v>
      </c>
      <c r="Q1704" s="5">
        <v>70295.978314632754</v>
      </c>
      <c r="R1704" s="5">
        <v>44707.053087992797</v>
      </c>
    </row>
    <row r="1705" spans="9:18">
      <c r="I1705" s="4">
        <v>1690</v>
      </c>
      <c r="J1705" s="5">
        <v>16544.73779470181</v>
      </c>
      <c r="K1705" s="5">
        <v>15768.312122029349</v>
      </c>
      <c r="L1705" s="5">
        <v>34748.877779456467</v>
      </c>
      <c r="M1705" s="5">
        <v>12619.198742021435</v>
      </c>
      <c r="N1705" s="5">
        <v>16418.492928415813</v>
      </c>
      <c r="O1705" s="5">
        <v>13550.031670770122</v>
      </c>
      <c r="P1705" s="5">
        <v>44816.412248582856</v>
      </c>
      <c r="Q1705" s="5">
        <v>68168.482468129529</v>
      </c>
      <c r="R1705" s="5">
        <v>26783.439354489365</v>
      </c>
    </row>
    <row r="1706" spans="9:18">
      <c r="I1706" s="4">
        <v>1691</v>
      </c>
      <c r="J1706" s="5">
        <v>13045.114546182727</v>
      </c>
      <c r="K1706" s="5">
        <v>16273.14570113692</v>
      </c>
      <c r="L1706" s="5">
        <v>27144.958215276103</v>
      </c>
      <c r="M1706" s="5">
        <v>16500.222621933419</v>
      </c>
      <c r="N1706" s="5">
        <v>17214.078970533748</v>
      </c>
      <c r="O1706" s="5">
        <v>15124.35050053727</v>
      </c>
      <c r="P1706" s="5">
        <v>10733.318076105543</v>
      </c>
      <c r="Q1706" s="5">
        <v>21421.044775857536</v>
      </c>
      <c r="R1706" s="5">
        <v>302760.11878714536</v>
      </c>
    </row>
    <row r="1707" spans="9:18">
      <c r="I1707" s="4">
        <v>1692</v>
      </c>
      <c r="J1707" s="5">
        <v>49463.324094345015</v>
      </c>
      <c r="K1707" s="5">
        <v>14095.75230105142</v>
      </c>
      <c r="L1707" s="5">
        <v>15225.811035017256</v>
      </c>
      <c r="M1707" s="5">
        <v>13642.678686731051</v>
      </c>
      <c r="N1707" s="5">
        <v>21933.097106966918</v>
      </c>
      <c r="O1707" s="5">
        <v>59207.798737851255</v>
      </c>
      <c r="P1707" s="5">
        <v>12992.105410393709</v>
      </c>
      <c r="Q1707" s="5">
        <v>9454.5906023793759</v>
      </c>
      <c r="R1707" s="5">
        <v>302760.11878714536</v>
      </c>
    </row>
    <row r="1708" spans="9:18">
      <c r="I1708" s="4">
        <v>1693</v>
      </c>
      <c r="J1708" s="5">
        <v>33627.941293959229</v>
      </c>
      <c r="K1708" s="5">
        <v>13331.01856102917</v>
      </c>
      <c r="L1708" s="5">
        <v>14175.160754078657</v>
      </c>
      <c r="M1708" s="5">
        <v>11680.747299075838</v>
      </c>
      <c r="N1708" s="5">
        <v>23043.345403059295</v>
      </c>
      <c r="O1708" s="5">
        <v>15124.35050053727</v>
      </c>
      <c r="P1708" s="5">
        <v>26541.896041444568</v>
      </c>
      <c r="Q1708" s="5">
        <v>44911.749632594299</v>
      </c>
      <c r="R1708" s="5">
        <v>35232.418639121184</v>
      </c>
    </row>
    <row r="1709" spans="9:18">
      <c r="I1709" s="4">
        <v>1694</v>
      </c>
      <c r="J1709" s="5">
        <v>15352.465904292809</v>
      </c>
      <c r="K1709" s="5">
        <v>14611.618478071941</v>
      </c>
      <c r="L1709" s="5">
        <v>18602.881797624486</v>
      </c>
      <c r="M1709" s="5">
        <v>9623.0342442006167</v>
      </c>
      <c r="N1709" s="5">
        <v>17811.114014514766</v>
      </c>
      <c r="O1709" s="5">
        <v>13966.178986479143</v>
      </c>
      <c r="P1709" s="5">
        <v>48123.003747643132</v>
      </c>
      <c r="Q1709" s="5">
        <v>47365.380972950254</v>
      </c>
      <c r="R1709" s="5">
        <v>7394.6358885760465</v>
      </c>
    </row>
    <row r="1710" spans="9:18">
      <c r="I1710" s="4">
        <v>1695</v>
      </c>
      <c r="J1710" s="5">
        <v>26634.853073396614</v>
      </c>
      <c r="K1710" s="5">
        <v>13520.836427679104</v>
      </c>
      <c r="L1710" s="5">
        <v>18634.523182776735</v>
      </c>
      <c r="M1710" s="5">
        <v>23454.775510296178</v>
      </c>
      <c r="N1710" s="5">
        <v>32184.535272543482</v>
      </c>
      <c r="O1710" s="5">
        <v>16572.483389649329</v>
      </c>
      <c r="P1710" s="5">
        <v>39054.462981000084</v>
      </c>
      <c r="Q1710" s="5">
        <v>13099.063525342741</v>
      </c>
      <c r="R1710" s="5">
        <v>31715.273557891396</v>
      </c>
    </row>
    <row r="1711" spans="9:18">
      <c r="I1711" s="4">
        <v>1696</v>
      </c>
      <c r="J1711" s="5">
        <v>16156.372629961115</v>
      </c>
      <c r="K1711" s="5">
        <v>15782.544184844044</v>
      </c>
      <c r="L1711" s="5">
        <v>13358.459356674217</v>
      </c>
      <c r="M1711" s="5">
        <v>17349.963215818931</v>
      </c>
      <c r="N1711" s="5">
        <v>57711.498171893618</v>
      </c>
      <c r="O1711" s="5">
        <v>79848.944504816522</v>
      </c>
      <c r="P1711" s="5">
        <v>8662.4232458952465</v>
      </c>
      <c r="Q1711" s="5">
        <v>21421.044775857536</v>
      </c>
      <c r="R1711" s="5">
        <v>9913.4206865238284</v>
      </c>
    </row>
    <row r="1712" spans="9:18">
      <c r="I1712" s="4">
        <v>1697</v>
      </c>
      <c r="J1712" s="5">
        <v>13045.114546182727</v>
      </c>
      <c r="K1712" s="5">
        <v>11149.572204897504</v>
      </c>
      <c r="L1712" s="5">
        <v>16577.562442697115</v>
      </c>
      <c r="M1712" s="5">
        <v>13414.385151739983</v>
      </c>
      <c r="N1712" s="5">
        <v>19225.139878706803</v>
      </c>
      <c r="O1712" s="5">
        <v>36759.655306288936</v>
      </c>
      <c r="P1712" s="5">
        <v>10966.822219855034</v>
      </c>
      <c r="Q1712" s="5">
        <v>12253.299944531094</v>
      </c>
      <c r="R1712" s="5">
        <v>89167.415757270224</v>
      </c>
    </row>
    <row r="1713" spans="9:18">
      <c r="I1713" s="4">
        <v>1698</v>
      </c>
      <c r="J1713" s="5">
        <v>19121.054099180623</v>
      </c>
      <c r="K1713" s="5">
        <v>34058.671324159091</v>
      </c>
      <c r="L1713" s="5">
        <v>15126.980926457318</v>
      </c>
      <c r="M1713" s="5">
        <v>20041.623430301417</v>
      </c>
      <c r="N1713" s="5">
        <v>17891.96347244953</v>
      </c>
      <c r="O1713" s="5">
        <v>20930.098352661731</v>
      </c>
      <c r="P1713" s="5">
        <v>77603.711720266961</v>
      </c>
      <c r="Q1713" s="5">
        <v>71213.172792303565</v>
      </c>
      <c r="R1713" s="5">
        <v>41056.152565483346</v>
      </c>
    </row>
    <row r="1714" spans="9:18">
      <c r="I1714" s="4">
        <v>1699</v>
      </c>
      <c r="J1714" s="5">
        <v>14680.308400328413</v>
      </c>
      <c r="K1714" s="5">
        <v>11558.357574452555</v>
      </c>
      <c r="L1714" s="5">
        <v>18810.091753970282</v>
      </c>
      <c r="M1714" s="5">
        <v>21833.004790208965</v>
      </c>
      <c r="N1714" s="5">
        <v>9563.1256545330361</v>
      </c>
      <c r="O1714" s="5">
        <v>62082.6862081785</v>
      </c>
      <c r="P1714" s="5">
        <v>12639.596794453437</v>
      </c>
      <c r="Q1714" s="5">
        <v>28567.61306643406</v>
      </c>
      <c r="R1714" s="5">
        <v>46004.399892616471</v>
      </c>
    </row>
    <row r="1715" spans="9:18">
      <c r="I1715" s="4">
        <v>1700</v>
      </c>
      <c r="J1715" s="5">
        <v>16145.071869702888</v>
      </c>
      <c r="K1715" s="5">
        <v>15487.124352801369</v>
      </c>
      <c r="L1715" s="5">
        <v>13023.361770761438</v>
      </c>
      <c r="M1715" s="5">
        <v>23908.621352410395</v>
      </c>
      <c r="N1715" s="5">
        <v>27841.916587595573</v>
      </c>
      <c r="O1715" s="5">
        <v>13117.417685535194</v>
      </c>
      <c r="P1715" s="5">
        <v>27708.613526855763</v>
      </c>
      <c r="Q1715" s="5">
        <v>13214.632802255031</v>
      </c>
      <c r="R1715" s="5">
        <v>31715.273557891396</v>
      </c>
    </row>
    <row r="1716" spans="9:18">
      <c r="I1716" s="4">
        <v>1701</v>
      </c>
      <c r="J1716" s="5">
        <v>12452.764985867625</v>
      </c>
      <c r="K1716" s="5">
        <v>16605.655749562578</v>
      </c>
      <c r="L1716" s="5">
        <v>14344.859750762502</v>
      </c>
      <c r="M1716" s="5">
        <v>18691.941789825862</v>
      </c>
      <c r="N1716" s="5">
        <v>21617.945168312468</v>
      </c>
      <c r="O1716" s="5">
        <v>42492.261063288854</v>
      </c>
      <c r="P1716" s="5">
        <v>38771.994792132391</v>
      </c>
      <c r="Q1716" s="5">
        <v>17234.335939857254</v>
      </c>
      <c r="R1716" s="5">
        <v>24831.679362998926</v>
      </c>
    </row>
    <row r="1717" spans="9:18">
      <c r="I1717" s="4">
        <v>1702</v>
      </c>
      <c r="J1717" s="5">
        <v>13045.114546182727</v>
      </c>
      <c r="K1717" s="5">
        <v>17128.860847126922</v>
      </c>
      <c r="L1717" s="5">
        <v>14344.859750762502</v>
      </c>
      <c r="M1717" s="5">
        <v>10142.860128720422</v>
      </c>
      <c r="N1717" s="5">
        <v>21931.347680292267</v>
      </c>
      <c r="O1717" s="5">
        <v>27508.313315384185</v>
      </c>
      <c r="P1717" s="5">
        <v>16574.429708560569</v>
      </c>
      <c r="Q1717" s="5">
        <v>53055.59182561023</v>
      </c>
      <c r="R1717" s="5">
        <v>7118.1729476780347</v>
      </c>
    </row>
    <row r="1718" spans="9:18">
      <c r="I1718" s="4">
        <v>1703</v>
      </c>
      <c r="J1718" s="5">
        <v>16459.003095225507</v>
      </c>
      <c r="K1718" s="5">
        <v>21218.439146892688</v>
      </c>
      <c r="L1718" s="5">
        <v>13023.361770761438</v>
      </c>
      <c r="M1718" s="5">
        <v>29834.240613550006</v>
      </c>
      <c r="N1718" s="5">
        <v>12523.573732460784</v>
      </c>
      <c r="O1718" s="5">
        <v>18637.945795127704</v>
      </c>
      <c r="P1718" s="5">
        <v>29283.825979394511</v>
      </c>
      <c r="Q1718" s="5">
        <v>27789.973552634947</v>
      </c>
      <c r="R1718" s="5">
        <v>55106.806585409526</v>
      </c>
    </row>
    <row r="1719" spans="9:18">
      <c r="I1719" s="4">
        <v>1704</v>
      </c>
      <c r="J1719" s="5">
        <v>13918.242013140338</v>
      </c>
      <c r="K1719" s="5">
        <v>14021.934268028277</v>
      </c>
      <c r="L1719" s="5">
        <v>17073.17760523731</v>
      </c>
      <c r="M1719" s="5">
        <v>13011.820191946215</v>
      </c>
      <c r="N1719" s="5">
        <v>11635.644856128632</v>
      </c>
      <c r="O1719" s="5">
        <v>49114.195066822271</v>
      </c>
      <c r="P1719" s="5">
        <v>3930.0915591834291</v>
      </c>
      <c r="Q1719" s="5">
        <v>9796.0979856104404</v>
      </c>
      <c r="R1719" s="5">
        <v>17304.847214362417</v>
      </c>
    </row>
    <row r="1720" spans="9:18">
      <c r="I1720" s="4">
        <v>1705</v>
      </c>
      <c r="J1720" s="5">
        <v>17679.321624063952</v>
      </c>
      <c r="K1720" s="5">
        <v>14351.415257675473</v>
      </c>
      <c r="L1720" s="5">
        <v>16451.333928028147</v>
      </c>
      <c r="M1720" s="5">
        <v>21272.00214469912</v>
      </c>
      <c r="N1720" s="5">
        <v>16418.492928415813</v>
      </c>
      <c r="O1720" s="5">
        <v>19430.912633256889</v>
      </c>
      <c r="P1720" s="5">
        <v>74840.036182179319</v>
      </c>
      <c r="Q1720" s="5">
        <v>13214.632802255031</v>
      </c>
      <c r="R1720" s="5">
        <v>3989.7956692889929</v>
      </c>
    </row>
    <row r="1721" spans="9:18">
      <c r="I1721" s="4">
        <v>1706</v>
      </c>
      <c r="J1721" s="5">
        <v>28214.771032351968</v>
      </c>
      <c r="K1721" s="5">
        <v>35488.449387009874</v>
      </c>
      <c r="L1721" s="5">
        <v>15300.182042823812</v>
      </c>
      <c r="M1721" s="5">
        <v>17116.951435661951</v>
      </c>
      <c r="N1721" s="5">
        <v>15658.063692994532</v>
      </c>
      <c r="O1721" s="5">
        <v>24247.516962783076</v>
      </c>
      <c r="P1721" s="5">
        <v>54100.778483493887</v>
      </c>
      <c r="Q1721" s="5">
        <v>4631.7430487757983</v>
      </c>
      <c r="R1721" s="5">
        <v>8130.5639219412278</v>
      </c>
    </row>
    <row r="1722" spans="9:18">
      <c r="I1722" s="4">
        <v>1707</v>
      </c>
      <c r="J1722" s="5">
        <v>22812.564910649318</v>
      </c>
      <c r="K1722" s="5">
        <v>15051.330276415061</v>
      </c>
      <c r="L1722" s="5">
        <v>16955.349467865559</v>
      </c>
      <c r="M1722" s="5">
        <v>11860.862376247747</v>
      </c>
      <c r="N1722" s="5">
        <v>39672.376281023731</v>
      </c>
      <c r="O1722" s="5">
        <v>40942.522561879181</v>
      </c>
      <c r="P1722" s="5">
        <v>24349.301972630979</v>
      </c>
      <c r="Q1722" s="5">
        <v>27789.973552634947</v>
      </c>
      <c r="R1722" s="5">
        <v>182942.88598316166</v>
      </c>
    </row>
    <row r="1723" spans="9:18">
      <c r="I1723" s="4">
        <v>1708</v>
      </c>
      <c r="J1723" s="5">
        <v>15081.728672246438</v>
      </c>
      <c r="K1723" s="5">
        <v>35705.595198125673</v>
      </c>
      <c r="L1723" s="5">
        <v>22162.138529251199</v>
      </c>
      <c r="M1723" s="5">
        <v>19097.39635881727</v>
      </c>
      <c r="N1723" s="5">
        <v>51261.622558090799</v>
      </c>
      <c r="O1723" s="5">
        <v>28431.436490368542</v>
      </c>
      <c r="P1723" s="5">
        <v>21039.927746191301</v>
      </c>
      <c r="Q1723" s="5">
        <v>27018.509959127641</v>
      </c>
      <c r="R1723" s="5">
        <v>55106.806585409526</v>
      </c>
    </row>
    <row r="1724" spans="9:18">
      <c r="I1724" s="4">
        <v>1709</v>
      </c>
      <c r="J1724" s="5">
        <v>26634.853073396614</v>
      </c>
      <c r="K1724" s="5">
        <v>16199.334613834633</v>
      </c>
      <c r="L1724" s="5">
        <v>14815.394001212817</v>
      </c>
      <c r="M1724" s="5">
        <v>13065.820809359835</v>
      </c>
      <c r="N1724" s="5">
        <v>15130.853682762778</v>
      </c>
      <c r="O1724" s="5">
        <v>27503.656957929088</v>
      </c>
      <c r="P1724" s="5">
        <v>77603.711720266961</v>
      </c>
      <c r="Q1724" s="5">
        <v>35525.432376048877</v>
      </c>
      <c r="R1724" s="5">
        <v>18349.337771428582</v>
      </c>
    </row>
    <row r="1725" spans="9:18">
      <c r="I1725" s="4">
        <v>1710</v>
      </c>
      <c r="J1725" s="5">
        <v>16166.107684907736</v>
      </c>
      <c r="K1725" s="5">
        <v>15347.101709242541</v>
      </c>
      <c r="L1725" s="5">
        <v>16451.333928028147</v>
      </c>
      <c r="M1725" s="5">
        <v>19151.339770278159</v>
      </c>
      <c r="N1725" s="5">
        <v>12523.573732460784</v>
      </c>
      <c r="O1725" s="5">
        <v>10746.295275180995</v>
      </c>
      <c r="P1725" s="5">
        <v>106091.28270624072</v>
      </c>
      <c r="Q1725" s="5">
        <v>9138.5169630896526</v>
      </c>
      <c r="R1725" s="5">
        <v>20236.767651156802</v>
      </c>
    </row>
    <row r="1726" spans="9:18">
      <c r="I1726" s="4">
        <v>1711</v>
      </c>
      <c r="J1726" s="5">
        <v>19048.674633640545</v>
      </c>
      <c r="K1726" s="5">
        <v>34058.671324159091</v>
      </c>
      <c r="L1726" s="5">
        <v>17482.478480142941</v>
      </c>
      <c r="M1726" s="5">
        <v>16881.579299055</v>
      </c>
      <c r="N1726" s="5">
        <v>24853.247795632611</v>
      </c>
      <c r="O1726" s="5">
        <v>41653.890350944224</v>
      </c>
      <c r="P1726" s="5">
        <v>44816.412248582856</v>
      </c>
      <c r="Q1726" s="5">
        <v>100789.83462564547</v>
      </c>
      <c r="R1726" s="5">
        <v>17991.870496434763</v>
      </c>
    </row>
    <row r="1727" spans="9:18">
      <c r="I1727" s="4">
        <v>1712</v>
      </c>
      <c r="J1727" s="5">
        <v>17592.832480262863</v>
      </c>
      <c r="K1727" s="5">
        <v>15391.837334808681</v>
      </c>
      <c r="L1727" s="5">
        <v>17578.712723867691</v>
      </c>
      <c r="M1727" s="5">
        <v>31472.019071027709</v>
      </c>
      <c r="N1727" s="5">
        <v>12523.573732460784</v>
      </c>
      <c r="O1727" s="5">
        <v>20489.622805425737</v>
      </c>
      <c r="P1727" s="5">
        <v>10532.667493814919</v>
      </c>
      <c r="Q1727" s="5">
        <v>12253.299944531094</v>
      </c>
      <c r="R1727" s="5">
        <v>65420.116221752483</v>
      </c>
    </row>
    <row r="1728" spans="9:18">
      <c r="I1728" s="4">
        <v>1713</v>
      </c>
      <c r="J1728" s="5">
        <v>28590.354879265724</v>
      </c>
      <c r="K1728" s="5">
        <v>16952.949313901812</v>
      </c>
      <c r="L1728" s="5">
        <v>21428.663623484812</v>
      </c>
      <c r="M1728" s="5">
        <v>17542.15972125496</v>
      </c>
      <c r="N1728" s="5">
        <v>14921.795973817481</v>
      </c>
      <c r="O1728" s="5">
        <v>62082.6862081785</v>
      </c>
      <c r="P1728" s="5">
        <v>74840.036182179319</v>
      </c>
      <c r="Q1728" s="5">
        <v>44911.749632594299</v>
      </c>
      <c r="R1728" s="5">
        <v>18349.337771428582</v>
      </c>
    </row>
    <row r="1729" spans="9:18">
      <c r="I1729" s="4">
        <v>1714</v>
      </c>
      <c r="J1729" s="5">
        <v>28214.771032351968</v>
      </c>
      <c r="K1729" s="5">
        <v>8223.1266007477425</v>
      </c>
      <c r="L1729" s="5">
        <v>13358.459356674217</v>
      </c>
      <c r="M1729" s="5">
        <v>19042.78605337895</v>
      </c>
      <c r="N1729" s="5">
        <v>16418.492928415813</v>
      </c>
      <c r="O1729" s="5">
        <v>16462.170789592048</v>
      </c>
      <c r="P1729" s="5">
        <v>35569.894390728325</v>
      </c>
      <c r="Q1729" s="5">
        <v>28078.365156847896</v>
      </c>
      <c r="R1729" s="5">
        <v>46004.399892616471</v>
      </c>
    </row>
    <row r="1730" spans="9:18">
      <c r="I1730" s="4">
        <v>1715</v>
      </c>
      <c r="J1730" s="5">
        <v>22188.291830993156</v>
      </c>
      <c r="K1730" s="5">
        <v>8124.7965732661823</v>
      </c>
      <c r="L1730" s="5">
        <v>17683.765335572589</v>
      </c>
      <c r="M1730" s="5">
        <v>19262.243095117232</v>
      </c>
      <c r="N1730" s="5">
        <v>45581.602064432409</v>
      </c>
      <c r="O1730" s="5">
        <v>15124.35050053727</v>
      </c>
      <c r="P1730" s="5">
        <v>17974.179326980211</v>
      </c>
      <c r="Q1730" s="5">
        <v>27789.973552634947</v>
      </c>
      <c r="R1730" s="5">
        <v>14706.681111065362</v>
      </c>
    </row>
    <row r="1731" spans="9:18">
      <c r="I1731" s="4">
        <v>1716</v>
      </c>
      <c r="J1731" s="5">
        <v>14741.240040396578</v>
      </c>
      <c r="K1731" s="5">
        <v>23934.551191616061</v>
      </c>
      <c r="L1731" s="5">
        <v>17128.574519497746</v>
      </c>
      <c r="M1731" s="5">
        <v>30785.663999045999</v>
      </c>
      <c r="N1731" s="5">
        <v>16148.901635865295</v>
      </c>
      <c r="O1731" s="5">
        <v>49114.195066822271</v>
      </c>
      <c r="P1731" s="5">
        <v>21039.927746191301</v>
      </c>
      <c r="Q1731" s="5">
        <v>37101.531383212743</v>
      </c>
      <c r="R1731" s="5">
        <v>16039.216896723072</v>
      </c>
    </row>
    <row r="1732" spans="9:18">
      <c r="I1732" s="4">
        <v>1717</v>
      </c>
      <c r="J1732" s="5">
        <v>15081.728672246438</v>
      </c>
      <c r="K1732" s="5">
        <v>13331.01856102917</v>
      </c>
      <c r="L1732" s="5">
        <v>15300.182042823812</v>
      </c>
      <c r="M1732" s="5">
        <v>12619.198742021435</v>
      </c>
      <c r="N1732" s="5">
        <v>15786.177386596903</v>
      </c>
      <c r="O1732" s="5">
        <v>10676.618215263648</v>
      </c>
      <c r="P1732" s="5">
        <v>83536.241167211992</v>
      </c>
      <c r="Q1732" s="5">
        <v>20883.852062640355</v>
      </c>
      <c r="R1732" s="5">
        <v>30571.564004538617</v>
      </c>
    </row>
    <row r="1733" spans="9:18">
      <c r="I1733" s="4">
        <v>1718</v>
      </c>
      <c r="J1733" s="5">
        <v>15130.594750069789</v>
      </c>
      <c r="K1733" s="5">
        <v>14497.035717129334</v>
      </c>
      <c r="L1733" s="5">
        <v>19078.910217042379</v>
      </c>
      <c r="M1733" s="5">
        <v>23449.501569180404</v>
      </c>
      <c r="N1733" s="5">
        <v>57711.498171893618</v>
      </c>
      <c r="O1733" s="5">
        <v>25604.597681740845</v>
      </c>
      <c r="P1733" s="5">
        <v>106091.28270624072</v>
      </c>
      <c r="Q1733" s="5">
        <v>15663.43865741136</v>
      </c>
      <c r="R1733" s="5">
        <v>7784.2246210242874</v>
      </c>
    </row>
    <row r="1734" spans="9:18">
      <c r="I1734" s="4">
        <v>1719</v>
      </c>
      <c r="J1734" s="5">
        <v>15786.811016780619</v>
      </c>
      <c r="K1734" s="5">
        <v>16873.752266014431</v>
      </c>
      <c r="L1734" s="5">
        <v>16293.265064857471</v>
      </c>
      <c r="M1734" s="5">
        <v>15346.383801976139</v>
      </c>
      <c r="N1734" s="5">
        <v>9563.1256545330361</v>
      </c>
      <c r="O1734" s="5">
        <v>94068.324736096256</v>
      </c>
      <c r="P1734" s="5">
        <v>25258.981945036445</v>
      </c>
      <c r="Q1734" s="5">
        <v>17153.530968450712</v>
      </c>
      <c r="R1734" s="5">
        <v>41418.225609677866</v>
      </c>
    </row>
    <row r="1735" spans="9:18">
      <c r="I1735" s="4">
        <v>1720</v>
      </c>
      <c r="J1735" s="5">
        <v>18650.249281571734</v>
      </c>
      <c r="K1735" s="5">
        <v>16934.093371663999</v>
      </c>
      <c r="L1735" s="5">
        <v>17683.765335572589</v>
      </c>
      <c r="M1735" s="5">
        <v>32751.734100446065</v>
      </c>
      <c r="N1735" s="5">
        <v>15251.140047572881</v>
      </c>
      <c r="O1735" s="5">
        <v>5444.7598502623823</v>
      </c>
      <c r="P1735" s="5">
        <v>106091.28270624072</v>
      </c>
      <c r="Q1735" s="5">
        <v>17153.530968450712</v>
      </c>
      <c r="R1735" s="5">
        <v>181970.23111012415</v>
      </c>
    </row>
    <row r="1736" spans="9:18">
      <c r="I1736" s="4">
        <v>1721</v>
      </c>
      <c r="J1736" s="5">
        <v>15786.811016780619</v>
      </c>
      <c r="K1736" s="5">
        <v>17128.860847126922</v>
      </c>
      <c r="L1736" s="5">
        <v>16014.071850041886</v>
      </c>
      <c r="M1736" s="5">
        <v>30830.81083227017</v>
      </c>
      <c r="N1736" s="5">
        <v>16581.915858379376</v>
      </c>
      <c r="O1736" s="5">
        <v>4231.3144655921506</v>
      </c>
      <c r="P1736" s="5">
        <v>74840.036182179319</v>
      </c>
      <c r="Q1736" s="5">
        <v>20883.852062640355</v>
      </c>
      <c r="R1736" s="5">
        <v>89167.415757270224</v>
      </c>
    </row>
    <row r="1737" spans="9:18">
      <c r="I1737" s="4">
        <v>1722</v>
      </c>
      <c r="J1737" s="5">
        <v>11936.262457073821</v>
      </c>
      <c r="K1737" s="5">
        <v>20887.307279900142</v>
      </c>
      <c r="L1737" s="5">
        <v>13867.07093008449</v>
      </c>
      <c r="M1737" s="5">
        <v>31472.019071027709</v>
      </c>
      <c r="N1737" s="5">
        <v>37309.151967087455</v>
      </c>
      <c r="O1737" s="5">
        <v>24258.192244316608</v>
      </c>
      <c r="P1737" s="5">
        <v>44816.412248582856</v>
      </c>
      <c r="Q1737" s="5">
        <v>28567.61306643406</v>
      </c>
      <c r="R1737" s="5">
        <v>51141.799458534304</v>
      </c>
    </row>
    <row r="1738" spans="9:18">
      <c r="I1738" s="4">
        <v>1723</v>
      </c>
      <c r="J1738" s="5">
        <v>15873.12561080002</v>
      </c>
      <c r="K1738" s="5">
        <v>32073.547537933715</v>
      </c>
      <c r="L1738" s="5">
        <v>13023.361770761438</v>
      </c>
      <c r="M1738" s="5">
        <v>21833.004790208965</v>
      </c>
      <c r="N1738" s="5">
        <v>11952.903761138405</v>
      </c>
      <c r="O1738" s="5">
        <v>24369.28567093279</v>
      </c>
      <c r="P1738" s="5">
        <v>33500.490132682797</v>
      </c>
      <c r="Q1738" s="5">
        <v>43417.41805414496</v>
      </c>
      <c r="R1738" s="5">
        <v>302760.11878714536</v>
      </c>
    </row>
    <row r="1739" spans="9:18">
      <c r="I1739" s="4">
        <v>1724</v>
      </c>
      <c r="J1739" s="5">
        <v>34933.039312618188</v>
      </c>
      <c r="K1739" s="5">
        <v>16665.1498926479</v>
      </c>
      <c r="L1739" s="5">
        <v>29265.217478369766</v>
      </c>
      <c r="M1739" s="5">
        <v>16500.222621933419</v>
      </c>
      <c r="N1739" s="5">
        <v>23283.854578052265</v>
      </c>
      <c r="O1739" s="5">
        <v>21930.527973988665</v>
      </c>
      <c r="P1739" s="5">
        <v>25258.981945036445</v>
      </c>
      <c r="Q1739" s="5">
        <v>11173.074396969254</v>
      </c>
      <c r="R1739" s="5">
        <v>7201.7586694681067</v>
      </c>
    </row>
    <row r="1740" spans="9:18">
      <c r="I1740" s="4">
        <v>1725</v>
      </c>
      <c r="J1740" s="5">
        <v>27392.038553726634</v>
      </c>
      <c r="K1740" s="5">
        <v>31910.762633549082</v>
      </c>
      <c r="L1740" s="5">
        <v>19359.475411188432</v>
      </c>
      <c r="M1740" s="5">
        <v>7334.8610818348589</v>
      </c>
      <c r="N1740" s="5">
        <v>15804.474686449519</v>
      </c>
      <c r="O1740" s="5">
        <v>59207.798737851255</v>
      </c>
      <c r="P1740" s="5">
        <v>12790.85158217316</v>
      </c>
      <c r="Q1740" s="5">
        <v>8880.8074399558282</v>
      </c>
      <c r="R1740" s="5">
        <v>24831.679362998926</v>
      </c>
    </row>
    <row r="1741" spans="9:18">
      <c r="I1741" s="4">
        <v>1726</v>
      </c>
      <c r="J1741" s="5">
        <v>16710.807721801892</v>
      </c>
      <c r="K1741" s="5">
        <v>17128.860847126922</v>
      </c>
      <c r="L1741" s="5">
        <v>14815.394001212817</v>
      </c>
      <c r="M1741" s="5">
        <v>10111.451009425113</v>
      </c>
      <c r="N1741" s="5">
        <v>25549.748582175915</v>
      </c>
      <c r="O1741" s="5">
        <v>62082.6862081785</v>
      </c>
      <c r="P1741" s="5">
        <v>10966.822219855034</v>
      </c>
      <c r="Q1741" s="5">
        <v>28078.365156847896</v>
      </c>
      <c r="R1741" s="5">
        <v>6681.1887184356683</v>
      </c>
    </row>
    <row r="1742" spans="9:18">
      <c r="I1742" s="4">
        <v>1727</v>
      </c>
      <c r="J1742" s="5">
        <v>16305.770155972396</v>
      </c>
      <c r="K1742" s="5">
        <v>17128.860847126922</v>
      </c>
      <c r="L1742" s="5">
        <v>21428.663623484812</v>
      </c>
      <c r="M1742" s="5">
        <v>32751.734100446065</v>
      </c>
      <c r="N1742" s="5">
        <v>25424.029865101274</v>
      </c>
      <c r="O1742" s="5">
        <v>14371.728352806511</v>
      </c>
      <c r="P1742" s="5">
        <v>10733.318076105543</v>
      </c>
      <c r="Q1742" s="5">
        <v>59964.86015574776</v>
      </c>
      <c r="R1742" s="5">
        <v>6360.7905155660001</v>
      </c>
    </row>
    <row r="1743" spans="9:18">
      <c r="I1743" s="4">
        <v>1728</v>
      </c>
      <c r="J1743" s="5">
        <v>16016.491239086423</v>
      </c>
      <c r="K1743" s="5">
        <v>17128.860847126922</v>
      </c>
      <c r="L1743" s="5">
        <v>16451.333928028147</v>
      </c>
      <c r="M1743" s="5">
        <v>12619.198742021435</v>
      </c>
      <c r="N1743" s="5">
        <v>39406.658185292261</v>
      </c>
      <c r="O1743" s="5">
        <v>16572.483389649329</v>
      </c>
      <c r="P1743" s="5">
        <v>13793.886507202402</v>
      </c>
      <c r="Q1743" s="5">
        <v>92068.726035424203</v>
      </c>
      <c r="R1743" s="5">
        <v>182942.88598316166</v>
      </c>
    </row>
    <row r="1744" spans="9:18">
      <c r="I1744" s="4">
        <v>1729</v>
      </c>
      <c r="J1744" s="5">
        <v>12035.382213755307</v>
      </c>
      <c r="K1744" s="5">
        <v>31910.762633549082</v>
      </c>
      <c r="L1744" s="5">
        <v>23760.785349782636</v>
      </c>
      <c r="M1744" s="5">
        <v>21332.072353846772</v>
      </c>
      <c r="N1744" s="5">
        <v>32184.535272543482</v>
      </c>
      <c r="O1744" s="5">
        <v>16524.769946939996</v>
      </c>
      <c r="P1744" s="5">
        <v>20391.123772341358</v>
      </c>
      <c r="Q1744" s="5">
        <v>13214.632802255031</v>
      </c>
      <c r="R1744" s="5">
        <v>18349.337771428582</v>
      </c>
    </row>
    <row r="1745" spans="9:18">
      <c r="I1745" s="4">
        <v>1730</v>
      </c>
      <c r="J1745" s="5">
        <v>21888.821432026474</v>
      </c>
      <c r="K1745" s="5">
        <v>15631.937142257386</v>
      </c>
      <c r="L1745" s="5">
        <v>27144.958215276103</v>
      </c>
      <c r="M1745" s="5">
        <v>22326.253555179093</v>
      </c>
      <c r="N1745" s="5">
        <v>12523.573732460784</v>
      </c>
      <c r="O1745" s="5">
        <v>59207.798737851255</v>
      </c>
      <c r="P1745" s="5">
        <v>17643.087208586294</v>
      </c>
      <c r="Q1745" s="5">
        <v>64585.328088516922</v>
      </c>
      <c r="R1745" s="5">
        <v>20303.08745527079</v>
      </c>
    </row>
    <row r="1746" spans="9:18">
      <c r="I1746" s="4">
        <v>1731</v>
      </c>
      <c r="J1746" s="5">
        <v>20768.286261788198</v>
      </c>
      <c r="K1746" s="5">
        <v>15391.837334808681</v>
      </c>
      <c r="L1746" s="5">
        <v>14796.875457021113</v>
      </c>
      <c r="M1746" s="5">
        <v>24981.974172352908</v>
      </c>
      <c r="N1746" s="5">
        <v>26152.705108198839</v>
      </c>
      <c r="O1746" s="5">
        <v>25644.588869829797</v>
      </c>
      <c r="P1746" s="5">
        <v>26541.896041444568</v>
      </c>
      <c r="Q1746" s="5">
        <v>8474.2603471579441</v>
      </c>
      <c r="R1746" s="5">
        <v>123773.40402252052</v>
      </c>
    </row>
    <row r="1747" spans="9:18">
      <c r="I1747" s="4">
        <v>1732</v>
      </c>
      <c r="J1747" s="5">
        <v>16459.003095225507</v>
      </c>
      <c r="K1747" s="5">
        <v>10931.803935361211</v>
      </c>
      <c r="L1747" s="5">
        <v>25007.552172398639</v>
      </c>
      <c r="M1747" s="5">
        <v>15202.972920708273</v>
      </c>
      <c r="N1747" s="5">
        <v>24314.043643333731</v>
      </c>
      <c r="O1747" s="5">
        <v>3171.3006415671193</v>
      </c>
      <c r="P1747" s="5">
        <v>66904.018529955298</v>
      </c>
      <c r="Q1747" s="5">
        <v>27789.973552634947</v>
      </c>
      <c r="R1747" s="5">
        <v>46004.399892616471</v>
      </c>
    </row>
    <row r="1748" spans="9:18">
      <c r="I1748" s="4">
        <v>1733</v>
      </c>
      <c r="J1748" s="5">
        <v>27392.038553726634</v>
      </c>
      <c r="K1748" s="5">
        <v>31910.762633549082</v>
      </c>
      <c r="L1748" s="5">
        <v>17920.486090689363</v>
      </c>
      <c r="M1748" s="5">
        <v>31460.745851561904</v>
      </c>
      <c r="N1748" s="5">
        <v>12523.573732460784</v>
      </c>
      <c r="O1748" s="5">
        <v>10369.402667058452</v>
      </c>
      <c r="P1748" s="5">
        <v>17643.087208586294</v>
      </c>
      <c r="Q1748" s="5">
        <v>3909.239690544402</v>
      </c>
      <c r="R1748" s="5">
        <v>12194.45251033065</v>
      </c>
    </row>
    <row r="1749" spans="9:18">
      <c r="I1749" s="4">
        <v>1734</v>
      </c>
      <c r="J1749" s="5">
        <v>11036.461796239426</v>
      </c>
      <c r="K1749" s="5">
        <v>43843.85059185313</v>
      </c>
      <c r="L1749" s="5">
        <v>14364.472927446199</v>
      </c>
      <c r="M1749" s="5">
        <v>16510.442870615672</v>
      </c>
      <c r="N1749" s="5">
        <v>15786.177386596903</v>
      </c>
      <c r="O1749" s="5">
        <v>35865.625349531729</v>
      </c>
      <c r="P1749" s="5">
        <v>49519.098753410741</v>
      </c>
      <c r="Q1749" s="5">
        <v>31019.493883163672</v>
      </c>
      <c r="R1749" s="5">
        <v>7201.7586694681067</v>
      </c>
    </row>
    <row r="1750" spans="9:18">
      <c r="I1750" s="4">
        <v>1735</v>
      </c>
      <c r="J1750" s="5">
        <v>18650.249281571734</v>
      </c>
      <c r="K1750" s="5">
        <v>14878.52734402675</v>
      </c>
      <c r="L1750" s="5">
        <v>16472.138192556791</v>
      </c>
      <c r="M1750" s="5">
        <v>19430.369425783585</v>
      </c>
      <c r="N1750" s="5">
        <v>21617.945168312468</v>
      </c>
      <c r="O1750" s="5">
        <v>16826.763259351828</v>
      </c>
      <c r="P1750" s="5">
        <v>22601.57564624758</v>
      </c>
      <c r="Q1750" s="5">
        <v>8502.450657922871</v>
      </c>
      <c r="R1750" s="5">
        <v>55012.315589742022</v>
      </c>
    </row>
    <row r="1751" spans="9:18">
      <c r="I1751" s="4">
        <v>1736</v>
      </c>
      <c r="J1751" s="5">
        <v>15130.594750069789</v>
      </c>
      <c r="K1751" s="5">
        <v>14017.262946034314</v>
      </c>
      <c r="L1751" s="5">
        <v>14042.41908879921</v>
      </c>
      <c r="M1751" s="5">
        <v>19795.661011456152</v>
      </c>
      <c r="N1751" s="5">
        <v>16148.901635865295</v>
      </c>
      <c r="O1751" s="5">
        <v>18637.945795127704</v>
      </c>
      <c r="P1751" s="5">
        <v>8069.5385577067918</v>
      </c>
      <c r="Q1751" s="5">
        <v>8502.450657922871</v>
      </c>
      <c r="R1751" s="5">
        <v>18349.337771428582</v>
      </c>
    </row>
    <row r="1752" spans="9:18">
      <c r="I1752" s="4">
        <v>1737</v>
      </c>
      <c r="J1752" s="5">
        <v>49463.324094345015</v>
      </c>
      <c r="K1752" s="5">
        <v>11857.447519815871</v>
      </c>
      <c r="L1752" s="5">
        <v>17073.17760523731</v>
      </c>
      <c r="M1752" s="5">
        <v>21712.71007234112</v>
      </c>
      <c r="N1752" s="5">
        <v>10882.757905166785</v>
      </c>
      <c r="O1752" s="5">
        <v>9320.7026593487881</v>
      </c>
      <c r="P1752" s="5">
        <v>22601.57564624758</v>
      </c>
      <c r="Q1752" s="5">
        <v>53055.59182561023</v>
      </c>
      <c r="R1752" s="5">
        <v>7879.038918914337</v>
      </c>
    </row>
    <row r="1753" spans="9:18">
      <c r="I1753" s="4">
        <v>1738</v>
      </c>
      <c r="J1753" s="5">
        <v>13391.049101507895</v>
      </c>
      <c r="K1753" s="5">
        <v>9769.3659785458403</v>
      </c>
      <c r="L1753" s="5">
        <v>18634.523182776735</v>
      </c>
      <c r="M1753" s="5">
        <v>19262.243095117232</v>
      </c>
      <c r="N1753" s="5">
        <v>20718.434293991453</v>
      </c>
      <c r="O1753" s="5">
        <v>35286.662852302201</v>
      </c>
      <c r="P1753" s="5">
        <v>32167.874670939738</v>
      </c>
      <c r="Q1753" s="5">
        <v>7349.2234634219121</v>
      </c>
      <c r="R1753" s="5">
        <v>302760.11878714536</v>
      </c>
    </row>
    <row r="1754" spans="9:18">
      <c r="I1754" s="4">
        <v>1739</v>
      </c>
      <c r="J1754" s="5">
        <v>11854.381651026555</v>
      </c>
      <c r="K1754" s="5">
        <v>23327.217259521742</v>
      </c>
      <c r="L1754" s="5">
        <v>18602.881797624486</v>
      </c>
      <c r="M1754" s="5">
        <v>31554.722481137964</v>
      </c>
      <c r="N1754" s="5">
        <v>23746.795665493762</v>
      </c>
      <c r="O1754" s="5">
        <v>21930.527973988665</v>
      </c>
      <c r="P1754" s="5">
        <v>3930.0915591834291</v>
      </c>
      <c r="Q1754" s="5">
        <v>43417.41805414496</v>
      </c>
      <c r="R1754" s="5">
        <v>31715.273557891396</v>
      </c>
    </row>
    <row r="1755" spans="9:18">
      <c r="I1755" s="4">
        <v>1740</v>
      </c>
      <c r="J1755" s="5">
        <v>13841.207384998772</v>
      </c>
      <c r="K1755" s="5">
        <v>14854.898507619706</v>
      </c>
      <c r="L1755" s="5">
        <v>23760.785349782636</v>
      </c>
      <c r="M1755" s="5">
        <v>15586.009710351766</v>
      </c>
      <c r="N1755" s="5">
        <v>20292.069765667391</v>
      </c>
      <c r="O1755" s="5">
        <v>83458.030763693328</v>
      </c>
      <c r="P1755" s="5">
        <v>32167.874670939738</v>
      </c>
      <c r="Q1755" s="5">
        <v>42044.890065817184</v>
      </c>
      <c r="R1755" s="5">
        <v>8046.7106309763258</v>
      </c>
    </row>
    <row r="1756" spans="9:18">
      <c r="I1756" s="4">
        <v>1741</v>
      </c>
      <c r="J1756" s="5">
        <v>15873.12561080002</v>
      </c>
      <c r="K1756" s="5">
        <v>8223.1266007477425</v>
      </c>
      <c r="L1756" s="5">
        <v>15225.811035017256</v>
      </c>
      <c r="M1756" s="5">
        <v>23913.435663027711</v>
      </c>
      <c r="N1756" s="5">
        <v>15804.474686449519</v>
      </c>
      <c r="O1756" s="5">
        <v>8801.3667015774663</v>
      </c>
      <c r="P1756" s="5">
        <v>17974.179326980211</v>
      </c>
      <c r="Q1756" s="5">
        <v>28776.080424849053</v>
      </c>
      <c r="R1756" s="5">
        <v>17304.847214362417</v>
      </c>
    </row>
    <row r="1757" spans="9:18">
      <c r="I1757" s="4">
        <v>1742</v>
      </c>
      <c r="J1757" s="5">
        <v>16156.372629961115</v>
      </c>
      <c r="K1757" s="5">
        <v>16665.1498926479</v>
      </c>
      <c r="L1757" s="5">
        <v>14691.846656953887</v>
      </c>
      <c r="M1757" s="5">
        <v>16500.222621933419</v>
      </c>
      <c r="N1757" s="5">
        <v>34295.124147811541</v>
      </c>
      <c r="O1757" s="5">
        <v>21930.527973988665</v>
      </c>
      <c r="P1757" s="5">
        <v>10966.822219855034</v>
      </c>
      <c r="Q1757" s="5">
        <v>54060.5331097772</v>
      </c>
      <c r="R1757" s="5">
        <v>3311.4906988006405</v>
      </c>
    </row>
    <row r="1758" spans="9:18">
      <c r="I1758" s="4">
        <v>1743</v>
      </c>
      <c r="J1758" s="5">
        <v>14960.076233580705</v>
      </c>
      <c r="K1758" s="5">
        <v>21958.925144875713</v>
      </c>
      <c r="L1758" s="5">
        <v>15664.99858445921</v>
      </c>
      <c r="M1758" s="5">
        <v>11680.747299075838</v>
      </c>
      <c r="N1758" s="5">
        <v>21009.255892677338</v>
      </c>
      <c r="O1758" s="5">
        <v>42492.261063288854</v>
      </c>
      <c r="P1758" s="5">
        <v>35569.894390728325</v>
      </c>
      <c r="Q1758" s="5">
        <v>35525.432376048877</v>
      </c>
      <c r="R1758" s="5">
        <v>8130.5639219412278</v>
      </c>
    </row>
    <row r="1759" spans="9:18">
      <c r="I1759" s="4">
        <v>1744</v>
      </c>
      <c r="J1759" s="5">
        <v>49463.324094345015</v>
      </c>
      <c r="K1759" s="5">
        <v>12777.667398488715</v>
      </c>
      <c r="L1759" s="5">
        <v>10896.494237357269</v>
      </c>
      <c r="M1759" s="5">
        <v>13022.686998540772</v>
      </c>
      <c r="N1759" s="5">
        <v>34295.124147811541</v>
      </c>
      <c r="O1759" s="5">
        <v>51330.340277512776</v>
      </c>
      <c r="P1759" s="5">
        <v>8877.9712092977989</v>
      </c>
      <c r="Q1759" s="5">
        <v>116445.46783345108</v>
      </c>
      <c r="R1759" s="5">
        <v>14051.647494499957</v>
      </c>
    </row>
    <row r="1760" spans="9:18">
      <c r="I1760" s="4">
        <v>1745</v>
      </c>
      <c r="J1760" s="5">
        <v>31559.699247539775</v>
      </c>
      <c r="K1760" s="5">
        <v>15782.544184844044</v>
      </c>
      <c r="L1760" s="5">
        <v>22162.138529251199</v>
      </c>
      <c r="M1760" s="5">
        <v>17370.588707072598</v>
      </c>
      <c r="N1760" s="5">
        <v>13511.694619545402</v>
      </c>
      <c r="O1760" s="5">
        <v>20827.029306810669</v>
      </c>
      <c r="P1760" s="5">
        <v>3831.1492650071077</v>
      </c>
      <c r="Q1760" s="5">
        <v>52421.574537857021</v>
      </c>
      <c r="R1760" s="5">
        <v>114016.93673542379</v>
      </c>
    </row>
    <row r="1761" spans="9:18">
      <c r="I1761" s="4">
        <v>1746</v>
      </c>
      <c r="J1761" s="5">
        <v>16544.73779470181</v>
      </c>
      <c r="K1761" s="5">
        <v>13331.01856102917</v>
      </c>
      <c r="L1761" s="5">
        <v>19189.275558866306</v>
      </c>
      <c r="M1761" s="5">
        <v>21712.71007234112</v>
      </c>
      <c r="N1761" s="5">
        <v>4770.4216775830728</v>
      </c>
      <c r="O1761" s="5">
        <v>31172.963108652857</v>
      </c>
      <c r="P1761" s="5">
        <v>16574.429708560569</v>
      </c>
      <c r="Q1761" s="5">
        <v>31618.396253255491</v>
      </c>
      <c r="R1761" s="5">
        <v>114016.93673542379</v>
      </c>
    </row>
    <row r="1762" spans="9:18">
      <c r="I1762" s="4">
        <v>1747</v>
      </c>
      <c r="J1762" s="5">
        <v>27392.038553726634</v>
      </c>
      <c r="K1762" s="5">
        <v>18218.584572172625</v>
      </c>
      <c r="L1762" s="5">
        <v>15664.99858445921</v>
      </c>
      <c r="M1762" s="5">
        <v>10451.914120098167</v>
      </c>
      <c r="N1762" s="5">
        <v>39672.376281023731</v>
      </c>
      <c r="O1762" s="5">
        <v>4231.3144655921506</v>
      </c>
      <c r="P1762" s="5">
        <v>17737.38315098183</v>
      </c>
      <c r="Q1762" s="5">
        <v>31974.553851773013</v>
      </c>
      <c r="R1762" s="5">
        <v>7118.1729476780347</v>
      </c>
    </row>
    <row r="1763" spans="9:18">
      <c r="I1763" s="4">
        <v>1748</v>
      </c>
      <c r="J1763" s="5">
        <v>31559.699247539775</v>
      </c>
      <c r="K1763" s="5">
        <v>18086.448513145526</v>
      </c>
      <c r="L1763" s="5">
        <v>15225.811035017256</v>
      </c>
      <c r="M1763" s="5">
        <v>23449.501569180404</v>
      </c>
      <c r="N1763" s="5">
        <v>19125.360074567652</v>
      </c>
      <c r="O1763" s="5">
        <v>10676.618215263648</v>
      </c>
      <c r="P1763" s="5">
        <v>16650.229067545235</v>
      </c>
      <c r="Q1763" s="5">
        <v>30495.121067047665</v>
      </c>
      <c r="R1763" s="5">
        <v>6681.1887184356683</v>
      </c>
    </row>
    <row r="1764" spans="9:18">
      <c r="I1764" s="4">
        <v>1749</v>
      </c>
      <c r="J1764" s="5">
        <v>9368.8270679249108</v>
      </c>
      <c r="K1764" s="5">
        <v>9769.3659785458403</v>
      </c>
      <c r="L1764" s="5">
        <v>22162.138529251199</v>
      </c>
      <c r="M1764" s="5">
        <v>21072.983263501868</v>
      </c>
      <c r="N1764" s="5">
        <v>22735.120948269971</v>
      </c>
      <c r="O1764" s="5">
        <v>27084.483614751469</v>
      </c>
      <c r="P1764" s="5">
        <v>77603.711720266961</v>
      </c>
      <c r="Q1764" s="5">
        <v>11173.074396969254</v>
      </c>
      <c r="R1764" s="5">
        <v>18720.450716365784</v>
      </c>
    </row>
    <row r="1765" spans="9:18">
      <c r="I1765" s="4">
        <v>1750</v>
      </c>
      <c r="J1765" s="5">
        <v>14750.660273177687</v>
      </c>
      <c r="K1765" s="5">
        <v>16952.949313901812</v>
      </c>
      <c r="L1765" s="5">
        <v>16777.996633299583</v>
      </c>
      <c r="M1765" s="5">
        <v>41403.687663920646</v>
      </c>
      <c r="N1765" s="5">
        <v>11635.644856128632</v>
      </c>
      <c r="O1765" s="5">
        <v>9869.5889207969612</v>
      </c>
      <c r="P1765" s="5">
        <v>14316.965520592317</v>
      </c>
      <c r="Q1765" s="5">
        <v>22145.301831504508</v>
      </c>
      <c r="R1765" s="5">
        <v>30571.564004538617</v>
      </c>
    </row>
    <row r="1766" spans="9:18">
      <c r="I1766" s="4">
        <v>1751</v>
      </c>
      <c r="J1766" s="5">
        <v>14750.660273177687</v>
      </c>
      <c r="K1766" s="5">
        <v>14579.232378315752</v>
      </c>
      <c r="L1766" s="5">
        <v>14344.859750762502</v>
      </c>
      <c r="M1766" s="5">
        <v>12735.841453044006</v>
      </c>
      <c r="N1766" s="5">
        <v>27833.630848857778</v>
      </c>
      <c r="O1766" s="5">
        <v>51330.340277512776</v>
      </c>
      <c r="P1766" s="5">
        <v>17996.895987204196</v>
      </c>
      <c r="Q1766" s="5">
        <v>9454.5906023793759</v>
      </c>
      <c r="R1766" s="5">
        <v>55012.315589742022</v>
      </c>
    </row>
    <row r="1767" spans="9:18">
      <c r="I1767" s="4">
        <v>1752</v>
      </c>
      <c r="J1767" s="5">
        <v>19121.054099180623</v>
      </c>
      <c r="K1767" s="5">
        <v>11206.053243692098</v>
      </c>
      <c r="L1767" s="5">
        <v>15651.346103181355</v>
      </c>
      <c r="M1767" s="5">
        <v>10142.860128720422</v>
      </c>
      <c r="N1767" s="5">
        <v>20718.434293991453</v>
      </c>
      <c r="O1767" s="5">
        <v>53028.643350899503</v>
      </c>
      <c r="P1767" s="5">
        <v>35569.894390728325</v>
      </c>
      <c r="Q1767" s="5">
        <v>37497.234505125656</v>
      </c>
      <c r="R1767" s="5">
        <v>13258.538726001538</v>
      </c>
    </row>
    <row r="1768" spans="9:18">
      <c r="I1768" s="4">
        <v>1753</v>
      </c>
      <c r="J1768" s="5">
        <v>28214.771032351968</v>
      </c>
      <c r="K1768" s="5">
        <v>11507.182177474708</v>
      </c>
      <c r="L1768" s="5">
        <v>21954.536591034263</v>
      </c>
      <c r="M1768" s="5">
        <v>14432.283063351901</v>
      </c>
      <c r="N1768" s="5">
        <v>48565.498233359976</v>
      </c>
      <c r="O1768" s="5">
        <v>62082.6862081785</v>
      </c>
      <c r="P1768" s="5">
        <v>32167.874670939738</v>
      </c>
      <c r="Q1768" s="5">
        <v>15623.622662102793</v>
      </c>
      <c r="R1768" s="5">
        <v>7784.2246210242874</v>
      </c>
    </row>
    <row r="1769" spans="9:18">
      <c r="I1769" s="4">
        <v>1754</v>
      </c>
      <c r="J1769" s="5">
        <v>14017.326487344162</v>
      </c>
      <c r="K1769" s="5">
        <v>8124.7965732661823</v>
      </c>
      <c r="L1769" s="5">
        <v>14610.165745300763</v>
      </c>
      <c r="M1769" s="5">
        <v>29041.83725675238</v>
      </c>
      <c r="N1769" s="5">
        <v>23998.040874392525</v>
      </c>
      <c r="O1769" s="5">
        <v>16505.600261180331</v>
      </c>
      <c r="P1769" s="5">
        <v>40377.463755170742</v>
      </c>
      <c r="Q1769" s="5">
        <v>42044.890065817184</v>
      </c>
      <c r="R1769" s="5">
        <v>51358.6267760993</v>
      </c>
    </row>
    <row r="1770" spans="9:18">
      <c r="I1770" s="4">
        <v>1755</v>
      </c>
      <c r="J1770" s="5">
        <v>8580.4413740966302</v>
      </c>
      <c r="K1770" s="5">
        <v>14611.618478071941</v>
      </c>
      <c r="L1770" s="5">
        <v>22162.138529251199</v>
      </c>
      <c r="M1770" s="5">
        <v>19433.64679949253</v>
      </c>
      <c r="N1770" s="5">
        <v>51261.622558090799</v>
      </c>
      <c r="O1770" s="5">
        <v>9869.5889207969612</v>
      </c>
      <c r="P1770" s="5">
        <v>5836.7810663002319</v>
      </c>
      <c r="Q1770" s="5">
        <v>17234.335939857254</v>
      </c>
      <c r="R1770" s="5">
        <v>7201.7586694681067</v>
      </c>
    </row>
    <row r="1771" spans="9:18">
      <c r="I1771" s="4">
        <v>1756</v>
      </c>
      <c r="J1771" s="5">
        <v>16088.430030489333</v>
      </c>
      <c r="K1771" s="5">
        <v>34164.842952759042</v>
      </c>
      <c r="L1771" s="5">
        <v>15746.942257105531</v>
      </c>
      <c r="M1771" s="5">
        <v>23515.935489506261</v>
      </c>
      <c r="N1771" s="5">
        <v>36962.805083900916</v>
      </c>
      <c r="O1771" s="5">
        <v>35865.625349531729</v>
      </c>
      <c r="P1771" s="5">
        <v>35213.322626437533</v>
      </c>
      <c r="Q1771" s="5">
        <v>42044.890065817184</v>
      </c>
      <c r="R1771" s="5">
        <v>39263.770877572199</v>
      </c>
    </row>
    <row r="1772" spans="9:18">
      <c r="I1772" s="4">
        <v>1757</v>
      </c>
      <c r="J1772" s="5">
        <v>22188.291830993156</v>
      </c>
      <c r="K1772" s="5">
        <v>31910.762633549082</v>
      </c>
      <c r="L1772" s="5">
        <v>16071.478531535273</v>
      </c>
      <c r="M1772" s="5">
        <v>24981.974172352908</v>
      </c>
      <c r="N1772" s="5">
        <v>24314.043643333731</v>
      </c>
      <c r="O1772" s="5">
        <v>20827.029306810669</v>
      </c>
      <c r="P1772" s="5">
        <v>12790.85158217316</v>
      </c>
      <c r="Q1772" s="5">
        <v>27018.509959127641</v>
      </c>
      <c r="R1772" s="5">
        <v>8720.6503563381029</v>
      </c>
    </row>
    <row r="1773" spans="9:18">
      <c r="I1773" s="4">
        <v>1758</v>
      </c>
      <c r="J1773" s="5">
        <v>16088.430030489333</v>
      </c>
      <c r="K1773" s="5">
        <v>35705.595198125673</v>
      </c>
      <c r="L1773" s="5">
        <v>23561.450544884348</v>
      </c>
      <c r="M1773" s="5">
        <v>21272.00214469912</v>
      </c>
      <c r="N1773" s="5">
        <v>28426.778914975595</v>
      </c>
      <c r="O1773" s="5">
        <v>16462.170789592048</v>
      </c>
      <c r="P1773" s="5">
        <v>17643.087208586294</v>
      </c>
      <c r="Q1773" s="5">
        <v>10151.908492905288</v>
      </c>
      <c r="R1773" s="5">
        <v>72640.340924600489</v>
      </c>
    </row>
    <row r="1774" spans="9:18">
      <c r="I1774" s="4">
        <v>1759</v>
      </c>
      <c r="J1774" s="5">
        <v>22188.291830993156</v>
      </c>
      <c r="K1774" s="5">
        <v>16605.655749562578</v>
      </c>
      <c r="L1774" s="5">
        <v>15923.549351835489</v>
      </c>
      <c r="M1774" s="5">
        <v>10451.914120098167</v>
      </c>
      <c r="N1774" s="5">
        <v>13909.728487455486</v>
      </c>
      <c r="O1774" s="5">
        <v>35286.662852302201</v>
      </c>
      <c r="P1774" s="5">
        <v>83536.241167211992</v>
      </c>
      <c r="Q1774" s="5">
        <v>9796.0979856104404</v>
      </c>
      <c r="R1774" s="5">
        <v>216919.53009911609</v>
      </c>
    </row>
    <row r="1775" spans="9:18">
      <c r="I1775" s="4">
        <v>1760</v>
      </c>
      <c r="J1775" s="5">
        <v>21717.214093683677</v>
      </c>
      <c r="K1775" s="5">
        <v>11206.053243692098</v>
      </c>
      <c r="L1775" s="5">
        <v>16472.138192556791</v>
      </c>
      <c r="M1775" s="5">
        <v>11680.747299075838</v>
      </c>
      <c r="N1775" s="5">
        <v>12592.300437162297</v>
      </c>
      <c r="O1775" s="5">
        <v>26268.613803794757</v>
      </c>
      <c r="P1775" s="5">
        <v>17737.38315098183</v>
      </c>
      <c r="Q1775" s="5">
        <v>59964.86015574776</v>
      </c>
      <c r="R1775" s="5">
        <v>1535.701520095213</v>
      </c>
    </row>
    <row r="1776" spans="9:18">
      <c r="I1776" s="4">
        <v>1761</v>
      </c>
      <c r="J1776" s="5">
        <v>31053.540961463306</v>
      </c>
      <c r="K1776" s="5">
        <v>13719.930466819731</v>
      </c>
      <c r="L1776" s="5">
        <v>17311.244744664215</v>
      </c>
      <c r="M1776" s="5">
        <v>18816.787977140237</v>
      </c>
      <c r="N1776" s="5">
        <v>20718.434293991453</v>
      </c>
      <c r="O1776" s="5">
        <v>16524.769946939996</v>
      </c>
      <c r="P1776" s="5">
        <v>40377.463755170742</v>
      </c>
      <c r="Q1776" s="5">
        <v>16803.875627203233</v>
      </c>
      <c r="R1776" s="5">
        <v>6681.1887184356683</v>
      </c>
    </row>
    <row r="1777" spans="9:18">
      <c r="I1777" s="4">
        <v>1762</v>
      </c>
      <c r="J1777" s="5">
        <v>16016.491239086423</v>
      </c>
      <c r="K1777" s="5">
        <v>15631.937142257386</v>
      </c>
      <c r="L1777" s="5">
        <v>20698.842353987733</v>
      </c>
      <c r="M1777" s="5">
        <v>25580.243606220469</v>
      </c>
      <c r="N1777" s="5">
        <v>12592.300437162297</v>
      </c>
      <c r="O1777" s="5">
        <v>27503.656957929088</v>
      </c>
      <c r="P1777" s="5">
        <v>27708.613526855763</v>
      </c>
      <c r="Q1777" s="5">
        <v>2356.8990887111336</v>
      </c>
      <c r="R1777" s="5">
        <v>6360.7905155660001</v>
      </c>
    </row>
    <row r="1778" spans="9:18">
      <c r="I1778" s="4">
        <v>1763</v>
      </c>
      <c r="J1778" s="5">
        <v>15130.594750069789</v>
      </c>
      <c r="K1778" s="5">
        <v>13719.930466819731</v>
      </c>
      <c r="L1778" s="5">
        <v>17482.478480142941</v>
      </c>
      <c r="M1778" s="5">
        <v>23913.435663027711</v>
      </c>
      <c r="N1778" s="5">
        <v>10882.757905166785</v>
      </c>
      <c r="O1778" s="5">
        <v>10746.295275180995</v>
      </c>
      <c r="P1778" s="5">
        <v>35569.894390728325</v>
      </c>
      <c r="Q1778" s="5">
        <v>30266.563414010914</v>
      </c>
      <c r="R1778" s="5">
        <v>62674.060343500474</v>
      </c>
    </row>
    <row r="1779" spans="9:18">
      <c r="I1779" s="4">
        <v>1764</v>
      </c>
      <c r="J1779" s="5">
        <v>14741.240040396578</v>
      </c>
      <c r="K1779" s="5">
        <v>16605.655749562578</v>
      </c>
      <c r="L1779" s="5">
        <v>17482.478480142941</v>
      </c>
      <c r="M1779" s="5">
        <v>15346.383801976139</v>
      </c>
      <c r="N1779" s="5">
        <v>63974.903847153939</v>
      </c>
      <c r="O1779" s="5">
        <v>66253.993323243907</v>
      </c>
      <c r="P1779" s="5">
        <v>26541.896041444568</v>
      </c>
      <c r="Q1779" s="5">
        <v>8832.660767995616</v>
      </c>
      <c r="R1779" s="5">
        <v>8130.5639219412278</v>
      </c>
    </row>
    <row r="1780" spans="9:18">
      <c r="I1780" s="4">
        <v>1765</v>
      </c>
      <c r="J1780" s="5">
        <v>29760.443016608337</v>
      </c>
      <c r="K1780" s="5">
        <v>11507.182177474708</v>
      </c>
      <c r="L1780" s="5">
        <v>23561.450544884348</v>
      </c>
      <c r="M1780" s="5">
        <v>21072.983263501868</v>
      </c>
      <c r="N1780" s="5">
        <v>15658.063692994532</v>
      </c>
      <c r="O1780" s="5">
        <v>40942.522561879181</v>
      </c>
      <c r="P1780" s="5">
        <v>22601.57564624758</v>
      </c>
      <c r="Q1780" s="5">
        <v>53055.59182561023</v>
      </c>
      <c r="R1780" s="5">
        <v>62674.060343500474</v>
      </c>
    </row>
    <row r="1781" spans="9:18">
      <c r="I1781" s="4">
        <v>1766</v>
      </c>
      <c r="J1781" s="5">
        <v>13841.207384998772</v>
      </c>
      <c r="K1781" s="5">
        <v>17003.901855709089</v>
      </c>
      <c r="L1781" s="5">
        <v>15161.007794371622</v>
      </c>
      <c r="M1781" s="5">
        <v>21272.00214469912</v>
      </c>
      <c r="N1781" s="5">
        <v>15130.853682762778</v>
      </c>
      <c r="O1781" s="5">
        <v>20991.103410982985</v>
      </c>
      <c r="P1781" s="5">
        <v>35213.322626437533</v>
      </c>
      <c r="Q1781" s="5">
        <v>30495.121067047665</v>
      </c>
      <c r="R1781" s="5">
        <v>33863.04333215439</v>
      </c>
    </row>
    <row r="1782" spans="9:18">
      <c r="I1782" s="4">
        <v>1767</v>
      </c>
      <c r="J1782" s="5">
        <v>21150.169973104224</v>
      </c>
      <c r="K1782" s="5">
        <v>13520.836427679104</v>
      </c>
      <c r="L1782" s="5">
        <v>17073.17760523731</v>
      </c>
      <c r="M1782" s="5">
        <v>17542.15972125496</v>
      </c>
      <c r="N1782" s="5">
        <v>13745.376566850549</v>
      </c>
      <c r="O1782" s="5">
        <v>30656.031716467984</v>
      </c>
      <c r="P1782" s="5">
        <v>9633.1652908310007</v>
      </c>
      <c r="Q1782" s="5">
        <v>29432.473148002948</v>
      </c>
      <c r="R1782" s="5">
        <v>14706.681111065362</v>
      </c>
    </row>
    <row r="1783" spans="9:18">
      <c r="I1783" s="4">
        <v>1768</v>
      </c>
      <c r="J1783" s="5">
        <v>16788.081681455456</v>
      </c>
      <c r="K1783" s="5">
        <v>37822.375317881044</v>
      </c>
      <c r="L1783" s="5">
        <v>14042.41908879921</v>
      </c>
      <c r="M1783" s="5">
        <v>13414.385151739983</v>
      </c>
      <c r="N1783" s="5">
        <v>18410.937863650517</v>
      </c>
      <c r="O1783" s="5">
        <v>27084.483614751469</v>
      </c>
      <c r="P1783" s="5">
        <v>9811.9720599964548</v>
      </c>
      <c r="Q1783" s="5">
        <v>48756.323642664109</v>
      </c>
      <c r="R1783" s="5">
        <v>8046.7106309763258</v>
      </c>
    </row>
    <row r="1784" spans="9:18">
      <c r="I1784" s="4">
        <v>1769</v>
      </c>
      <c r="J1784" s="5">
        <v>16156.372629961115</v>
      </c>
      <c r="K1784" s="5">
        <v>21958.925144875713</v>
      </c>
      <c r="L1784" s="5">
        <v>17845.207337527903</v>
      </c>
      <c r="M1784" s="5">
        <v>23515.935489506261</v>
      </c>
      <c r="N1784" s="5">
        <v>11788.341482962171</v>
      </c>
      <c r="O1784" s="5">
        <v>24247.516962783076</v>
      </c>
      <c r="P1784" s="5">
        <v>21933.779100635442</v>
      </c>
      <c r="Q1784" s="5">
        <v>68168.482468129529</v>
      </c>
      <c r="R1784" s="5">
        <v>3433.6677391851467</v>
      </c>
    </row>
    <row r="1785" spans="9:18">
      <c r="I1785" s="4">
        <v>1770</v>
      </c>
      <c r="J1785" s="5">
        <v>22812.564910649318</v>
      </c>
      <c r="K1785" s="5">
        <v>17003.901855709089</v>
      </c>
      <c r="L1785" s="5">
        <v>14042.41908879921</v>
      </c>
      <c r="M1785" s="5">
        <v>23067.94260629595</v>
      </c>
      <c r="N1785" s="5">
        <v>16418.492928415813</v>
      </c>
      <c r="O1785" s="5">
        <v>24258.192244316608</v>
      </c>
      <c r="P1785" s="5">
        <v>35569.894390728325</v>
      </c>
      <c r="Q1785" s="5">
        <v>56069.347629295014</v>
      </c>
      <c r="R1785" s="5">
        <v>2071.5141323269809</v>
      </c>
    </row>
    <row r="1786" spans="9:18">
      <c r="I1786" s="4">
        <v>1771</v>
      </c>
      <c r="J1786" s="5">
        <v>13595.404057849493</v>
      </c>
      <c r="K1786" s="5">
        <v>13559.080695844099</v>
      </c>
      <c r="L1786" s="5">
        <v>15060.431658965737</v>
      </c>
      <c r="M1786" s="5">
        <v>19042.78605337895</v>
      </c>
      <c r="N1786" s="5">
        <v>16581.915858379376</v>
      </c>
      <c r="O1786" s="5">
        <v>5444.7598502623823</v>
      </c>
      <c r="P1786" s="5">
        <v>27820.721938889761</v>
      </c>
      <c r="Q1786" s="5">
        <v>8880.8074399558282</v>
      </c>
      <c r="R1786" s="5">
        <v>96845.299789249824</v>
      </c>
    </row>
    <row r="1787" spans="9:18">
      <c r="I1787" s="4">
        <v>1772</v>
      </c>
      <c r="J1787" s="5">
        <v>12701.339251949787</v>
      </c>
      <c r="K1787" s="5">
        <v>10931.803935361211</v>
      </c>
      <c r="L1787" s="5">
        <v>19189.275558866306</v>
      </c>
      <c r="M1787" s="5">
        <v>12619.198742021435</v>
      </c>
      <c r="N1787" s="5">
        <v>15786.177386596903</v>
      </c>
      <c r="O1787" s="5">
        <v>53504.725169095313</v>
      </c>
      <c r="P1787" s="5">
        <v>3930.0915591834291</v>
      </c>
      <c r="Q1787" s="5">
        <v>20987.925664394581</v>
      </c>
      <c r="R1787" s="5">
        <v>20303.08745527079</v>
      </c>
    </row>
    <row r="1788" spans="9:18">
      <c r="I1788" s="4">
        <v>1773</v>
      </c>
      <c r="J1788" s="5">
        <v>9368.8270679249108</v>
      </c>
      <c r="K1788" s="5">
        <v>21958.925144875713</v>
      </c>
      <c r="L1788" s="5">
        <v>14610.165745300763</v>
      </c>
      <c r="M1788" s="5">
        <v>33862.836621974391</v>
      </c>
      <c r="N1788" s="5">
        <v>28426.778914975595</v>
      </c>
      <c r="O1788" s="5">
        <v>6199.3195463515376</v>
      </c>
      <c r="P1788" s="5">
        <v>33715.790977629549</v>
      </c>
      <c r="Q1788" s="5">
        <v>8880.8074399558282</v>
      </c>
      <c r="R1788" s="5">
        <v>8720.6503563381029</v>
      </c>
    </row>
    <row r="1789" spans="9:18">
      <c r="I1789" s="4">
        <v>1774</v>
      </c>
      <c r="J1789" s="5">
        <v>19467.17453557903</v>
      </c>
      <c r="K1789" s="5">
        <v>15051.330276415061</v>
      </c>
      <c r="L1789" s="5">
        <v>10896.494237357269</v>
      </c>
      <c r="M1789" s="5">
        <v>21272.00214469912</v>
      </c>
      <c r="N1789" s="5">
        <v>15658.063692994532</v>
      </c>
      <c r="O1789" s="5">
        <v>28431.436490368542</v>
      </c>
      <c r="P1789" s="5">
        <v>46514.467673254068</v>
      </c>
      <c r="Q1789" s="5">
        <v>12451.066014448154</v>
      </c>
      <c r="R1789" s="5">
        <v>39727.513802035661</v>
      </c>
    </row>
    <row r="1790" spans="9:18">
      <c r="I1790" s="4">
        <v>1775</v>
      </c>
      <c r="J1790" s="5">
        <v>13663.281817546009</v>
      </c>
      <c r="K1790" s="5">
        <v>21218.439146892688</v>
      </c>
      <c r="L1790" s="5">
        <v>13023.361770761438</v>
      </c>
      <c r="M1790" s="5">
        <v>14432.283063351901</v>
      </c>
      <c r="N1790" s="5">
        <v>13909.728487455486</v>
      </c>
      <c r="O1790" s="5">
        <v>13550.031670770122</v>
      </c>
      <c r="P1790" s="5">
        <v>5735.6883097179207</v>
      </c>
      <c r="Q1790" s="5">
        <v>31855.809428519857</v>
      </c>
      <c r="R1790" s="5">
        <v>96845.299789249824</v>
      </c>
    </row>
    <row r="1791" spans="9:18">
      <c r="I1791" s="4">
        <v>1776</v>
      </c>
      <c r="J1791" s="5">
        <v>14344.692898101612</v>
      </c>
      <c r="K1791" s="5">
        <v>19467.955014411935</v>
      </c>
      <c r="L1791" s="5">
        <v>22018.381599979773</v>
      </c>
      <c r="M1791" s="5">
        <v>18691.941789825862</v>
      </c>
      <c r="N1791" s="5">
        <v>20583.564383988036</v>
      </c>
      <c r="O1791" s="5">
        <v>13613.378495715853</v>
      </c>
      <c r="P1791" s="5">
        <v>45161.732159568586</v>
      </c>
      <c r="Q1791" s="5">
        <v>20883.852062640355</v>
      </c>
      <c r="R1791" s="5">
        <v>34970.397641695177</v>
      </c>
    </row>
    <row r="1792" spans="9:18">
      <c r="I1792" s="4">
        <v>1777</v>
      </c>
      <c r="J1792" s="5">
        <v>12701.339251949787</v>
      </c>
      <c r="K1792" s="5">
        <v>14351.415257675473</v>
      </c>
      <c r="L1792" s="5">
        <v>13417.453622029931</v>
      </c>
      <c r="M1792" s="5">
        <v>33862.836621974391</v>
      </c>
      <c r="N1792" s="5">
        <v>24769.339976495565</v>
      </c>
      <c r="O1792" s="5">
        <v>24369.28567093279</v>
      </c>
      <c r="P1792" s="5">
        <v>18963.234565965948</v>
      </c>
      <c r="Q1792" s="5">
        <v>44911.749632594299</v>
      </c>
      <c r="R1792" s="5">
        <v>17687.533637716911</v>
      </c>
    </row>
    <row r="1793" spans="9:18">
      <c r="I1793" s="4">
        <v>1778</v>
      </c>
      <c r="J1793" s="5">
        <v>14344.692898101612</v>
      </c>
      <c r="K1793" s="5">
        <v>15631.937142257386</v>
      </c>
      <c r="L1793" s="5">
        <v>15300.182042823812</v>
      </c>
      <c r="M1793" s="5">
        <v>14217.48832834715</v>
      </c>
      <c r="N1793" s="5">
        <v>11604.12831603515</v>
      </c>
      <c r="O1793" s="5">
        <v>10369.402667058452</v>
      </c>
      <c r="P1793" s="5">
        <v>20391.123772341358</v>
      </c>
      <c r="Q1793" s="5">
        <v>17234.335939857254</v>
      </c>
      <c r="R1793" s="5">
        <v>7952.6989268572033</v>
      </c>
    </row>
    <row r="1794" spans="9:18">
      <c r="I1794" s="4">
        <v>1779</v>
      </c>
      <c r="J1794" s="5">
        <v>16156.372629961115</v>
      </c>
      <c r="K1794" s="5">
        <v>16952.949313901812</v>
      </c>
      <c r="L1794" s="5">
        <v>14344.859750762502</v>
      </c>
      <c r="M1794" s="5">
        <v>18177.175180585615</v>
      </c>
      <c r="N1794" s="5">
        <v>27833.630848857778</v>
      </c>
      <c r="O1794" s="5">
        <v>10270.120415297655</v>
      </c>
      <c r="P1794" s="5">
        <v>39054.462981000084</v>
      </c>
      <c r="Q1794" s="5">
        <v>27018.509959127641</v>
      </c>
      <c r="R1794" s="5">
        <v>302760.11878714536</v>
      </c>
    </row>
    <row r="1795" spans="9:18">
      <c r="I1795" s="4">
        <v>1780</v>
      </c>
      <c r="J1795" s="5">
        <v>31053.540961463306</v>
      </c>
      <c r="K1795" s="5">
        <v>12423.491400404893</v>
      </c>
      <c r="L1795" s="5">
        <v>18634.523182776735</v>
      </c>
      <c r="M1795" s="5">
        <v>10451.914120098167</v>
      </c>
      <c r="N1795" s="5">
        <v>15130.853682762778</v>
      </c>
      <c r="O1795" s="5">
        <v>25604.597681740845</v>
      </c>
      <c r="P1795" s="5">
        <v>27452.975716953504</v>
      </c>
      <c r="Q1795" s="5">
        <v>3272.4685014937832</v>
      </c>
      <c r="R1795" s="5">
        <v>27349.63499959607</v>
      </c>
    </row>
    <row r="1796" spans="9:18">
      <c r="I1796" s="4">
        <v>1781</v>
      </c>
      <c r="J1796" s="5">
        <v>13391.049101507895</v>
      </c>
      <c r="K1796" s="5">
        <v>11403.533194020869</v>
      </c>
      <c r="L1796" s="5">
        <v>16014.071850041886</v>
      </c>
      <c r="M1796" s="5">
        <v>19151.339770278159</v>
      </c>
      <c r="N1796" s="5">
        <v>39672.376281023731</v>
      </c>
      <c r="O1796" s="5">
        <v>16572.483389649329</v>
      </c>
      <c r="P1796" s="5">
        <v>17996.895987204196</v>
      </c>
      <c r="Q1796" s="5">
        <v>30495.121067047665</v>
      </c>
      <c r="R1796" s="5">
        <v>10885.018205103002</v>
      </c>
    </row>
    <row r="1797" spans="9:18">
      <c r="I1797" s="4">
        <v>1782</v>
      </c>
      <c r="J1797" s="5">
        <v>14671.176405938595</v>
      </c>
      <c r="K1797" s="5">
        <v>13559.080695844099</v>
      </c>
      <c r="L1797" s="5">
        <v>19189.275558866306</v>
      </c>
      <c r="M1797" s="5">
        <v>18816.787977140237</v>
      </c>
      <c r="N1797" s="5">
        <v>20718.434293991453</v>
      </c>
      <c r="O1797" s="5">
        <v>20827.029306810669</v>
      </c>
      <c r="P1797" s="5">
        <v>5836.7810663002319</v>
      </c>
      <c r="Q1797" s="5">
        <v>116445.46783345108</v>
      </c>
      <c r="R1797" s="5">
        <v>182942.88598316166</v>
      </c>
    </row>
    <row r="1798" spans="9:18">
      <c r="I1798" s="4">
        <v>1783</v>
      </c>
      <c r="J1798" s="5">
        <v>15417.870921574262</v>
      </c>
      <c r="K1798" s="5">
        <v>14351.415257675473</v>
      </c>
      <c r="L1798" s="5">
        <v>13417.453622029931</v>
      </c>
      <c r="M1798" s="5">
        <v>23067.94260629595</v>
      </c>
      <c r="N1798" s="5">
        <v>17891.96347244953</v>
      </c>
      <c r="O1798" s="5">
        <v>8801.3667015774663</v>
      </c>
      <c r="P1798" s="5">
        <v>20391.123772341358</v>
      </c>
      <c r="Q1798" s="5">
        <v>9645.8788061228515</v>
      </c>
      <c r="R1798" s="5">
        <v>96845.299789249824</v>
      </c>
    </row>
    <row r="1799" spans="9:18">
      <c r="I1799" s="4">
        <v>1784</v>
      </c>
      <c r="J1799" s="5">
        <v>28169.050633834027</v>
      </c>
      <c r="K1799" s="5">
        <v>16952.949313901812</v>
      </c>
      <c r="L1799" s="5">
        <v>17311.244744664215</v>
      </c>
      <c r="M1799" s="5">
        <v>16510.442870615672</v>
      </c>
      <c r="N1799" s="5">
        <v>15130.853682762778</v>
      </c>
      <c r="O1799" s="5">
        <v>15124.35050053727</v>
      </c>
      <c r="P1799" s="5">
        <v>9633.1652908310007</v>
      </c>
      <c r="Q1799" s="5">
        <v>8474.2603471579441</v>
      </c>
      <c r="R1799" s="5">
        <v>9913.4206865238284</v>
      </c>
    </row>
    <row r="1800" spans="9:18">
      <c r="I1800" s="4">
        <v>1785</v>
      </c>
      <c r="J1800" s="5">
        <v>12701.339251949787</v>
      </c>
      <c r="K1800" s="5">
        <v>18821.113178054162</v>
      </c>
      <c r="L1800" s="5">
        <v>16293.265064857471</v>
      </c>
      <c r="M1800" s="5">
        <v>6367.5407465007311</v>
      </c>
      <c r="N1800" s="5">
        <v>22511.351424689696</v>
      </c>
      <c r="O1800" s="5">
        <v>66253.993323243907</v>
      </c>
      <c r="P1800" s="5">
        <v>74840.036182179319</v>
      </c>
      <c r="Q1800" s="5">
        <v>68168.482468129529</v>
      </c>
      <c r="R1800" s="5">
        <v>1535.701520095213</v>
      </c>
    </row>
    <row r="1801" spans="9:18">
      <c r="I1801" s="4">
        <v>1786</v>
      </c>
      <c r="J1801" s="5">
        <v>31559.699247539775</v>
      </c>
      <c r="K1801" s="5">
        <v>8124.7965732661823</v>
      </c>
      <c r="L1801" s="5">
        <v>15746.942257105531</v>
      </c>
      <c r="M1801" s="5">
        <v>22961.931350882205</v>
      </c>
      <c r="N1801" s="5">
        <v>23998.040874392525</v>
      </c>
      <c r="O1801" s="5">
        <v>16462.170789592048</v>
      </c>
      <c r="P1801" s="5">
        <v>38771.994792132391</v>
      </c>
      <c r="Q1801" s="5">
        <v>92068.726035424203</v>
      </c>
      <c r="R1801" s="5">
        <v>65420.116221752483</v>
      </c>
    </row>
    <row r="1802" spans="9:18">
      <c r="I1802" s="4">
        <v>1787</v>
      </c>
      <c r="J1802" s="5">
        <v>16156.372629961115</v>
      </c>
      <c r="K1802" s="5">
        <v>21187.174639714212</v>
      </c>
      <c r="L1802" s="5">
        <v>13037.115556745504</v>
      </c>
      <c r="M1802" s="5">
        <v>12735.841453044006</v>
      </c>
      <c r="N1802" s="5">
        <v>15658.063692994532</v>
      </c>
      <c r="O1802" s="5">
        <v>20827.029306810669</v>
      </c>
      <c r="P1802" s="5">
        <v>26126.807131356076</v>
      </c>
      <c r="Q1802" s="5">
        <v>25156.033327562815</v>
      </c>
      <c r="R1802" s="5">
        <v>16039.216896723072</v>
      </c>
    </row>
    <row r="1803" spans="9:18">
      <c r="I1803" s="4">
        <v>1788</v>
      </c>
      <c r="J1803" s="5">
        <v>22370.105711697011</v>
      </c>
      <c r="K1803" s="5">
        <v>16132.555399908759</v>
      </c>
      <c r="L1803" s="5">
        <v>15664.99858445921</v>
      </c>
      <c r="M1803" s="5">
        <v>20185.026038758231</v>
      </c>
      <c r="N1803" s="5">
        <v>24853.247795632611</v>
      </c>
      <c r="O1803" s="5">
        <v>36759.655306288936</v>
      </c>
      <c r="P1803" s="5">
        <v>8877.9712092977989</v>
      </c>
      <c r="Q1803" s="5">
        <v>11928.872068442162</v>
      </c>
      <c r="R1803" s="5">
        <v>181970.23111012415</v>
      </c>
    </row>
    <row r="1804" spans="9:18">
      <c r="I1804" s="4">
        <v>1789</v>
      </c>
      <c r="J1804" s="5">
        <v>19467.17453557903</v>
      </c>
      <c r="K1804" s="5">
        <v>15768.312122029349</v>
      </c>
      <c r="L1804" s="5">
        <v>15060.431658965737</v>
      </c>
      <c r="M1804" s="5">
        <v>29834.240613550006</v>
      </c>
      <c r="N1804" s="5">
        <v>6130.3882288404347</v>
      </c>
      <c r="O1804" s="5">
        <v>19430.912633256889</v>
      </c>
      <c r="P1804" s="5">
        <v>74840.036182179319</v>
      </c>
      <c r="Q1804" s="5">
        <v>47365.380972950254</v>
      </c>
      <c r="R1804" s="5">
        <v>14079.827908007112</v>
      </c>
    </row>
    <row r="1805" spans="9:18">
      <c r="I1805" s="4">
        <v>1790</v>
      </c>
      <c r="J1805" s="5">
        <v>19048.674633640545</v>
      </c>
      <c r="K1805" s="5">
        <v>15051.330276415061</v>
      </c>
      <c r="L1805" s="5">
        <v>34748.877779456467</v>
      </c>
      <c r="M1805" s="5">
        <v>17370.588707072598</v>
      </c>
      <c r="N1805" s="5">
        <v>9209.4418830788036</v>
      </c>
      <c r="O1805" s="5">
        <v>24247.516962783076</v>
      </c>
      <c r="P1805" s="5">
        <v>27820.721938889761</v>
      </c>
      <c r="Q1805" s="5">
        <v>48866.209623168346</v>
      </c>
      <c r="R1805" s="5">
        <v>65420.116221752483</v>
      </c>
    </row>
    <row r="1806" spans="9:18">
      <c r="I1806" s="4">
        <v>1791</v>
      </c>
      <c r="J1806" s="5">
        <v>28590.354879265724</v>
      </c>
      <c r="K1806" s="5">
        <v>12777.667398488715</v>
      </c>
      <c r="L1806" s="5">
        <v>24256.352541181568</v>
      </c>
      <c r="M1806" s="5">
        <v>32751.734100446065</v>
      </c>
      <c r="N1806" s="5">
        <v>23043.345403059295</v>
      </c>
      <c r="O1806" s="5">
        <v>18637.945795127704</v>
      </c>
      <c r="P1806" s="5">
        <v>3017.2887813579896</v>
      </c>
      <c r="Q1806" s="5">
        <v>16591.881190929333</v>
      </c>
      <c r="R1806" s="5">
        <v>84289.422255274636</v>
      </c>
    </row>
    <row r="1807" spans="9:18">
      <c r="I1807" s="4">
        <v>1792</v>
      </c>
      <c r="J1807" s="5">
        <v>14017.326487344162</v>
      </c>
      <c r="K1807" s="5">
        <v>16132.555399908759</v>
      </c>
      <c r="L1807" s="5">
        <v>22018.381599979773</v>
      </c>
      <c r="M1807" s="5">
        <v>11529.920007560097</v>
      </c>
      <c r="N1807" s="5">
        <v>13909.728487455486</v>
      </c>
      <c r="O1807" s="5">
        <v>13550.031670770122</v>
      </c>
      <c r="P1807" s="5">
        <v>66904.018529955298</v>
      </c>
      <c r="Q1807" s="5">
        <v>12451.066014448154</v>
      </c>
      <c r="R1807" s="5">
        <v>17991.870496434763</v>
      </c>
    </row>
    <row r="1808" spans="9:18">
      <c r="I1808" s="4">
        <v>1793</v>
      </c>
      <c r="J1808" s="5">
        <v>14344.692898101612</v>
      </c>
      <c r="K1808" s="5">
        <v>11403.533194020869</v>
      </c>
      <c r="L1808" s="5">
        <v>14146.191653372813</v>
      </c>
      <c r="M1808" s="5">
        <v>33862.836621974391</v>
      </c>
      <c r="N1808" s="5">
        <v>24769.339976495565</v>
      </c>
      <c r="O1808" s="5">
        <v>27062.73412298776</v>
      </c>
      <c r="P1808" s="5">
        <v>5735.6883097179207</v>
      </c>
      <c r="Q1808" s="5">
        <v>37497.234505125656</v>
      </c>
      <c r="R1808" s="5">
        <v>30571.564004538617</v>
      </c>
    </row>
    <row r="1809" spans="9:18">
      <c r="I1809" s="4">
        <v>1794</v>
      </c>
      <c r="J1809" s="5">
        <v>15648.665245032147</v>
      </c>
      <c r="K1809" s="5">
        <v>16081.362509465702</v>
      </c>
      <c r="L1809" s="5">
        <v>19359.475411188432</v>
      </c>
      <c r="M1809" s="5">
        <v>19097.39635881727</v>
      </c>
      <c r="N1809" s="5">
        <v>24314.043643333731</v>
      </c>
      <c r="O1809" s="5">
        <v>41800.463215706819</v>
      </c>
      <c r="P1809" s="5">
        <v>63015.124693769802</v>
      </c>
      <c r="Q1809" s="5">
        <v>9652.8114206999071</v>
      </c>
      <c r="R1809" s="5">
        <v>7118.1729476780347</v>
      </c>
    </row>
    <row r="1810" spans="9:18">
      <c r="I1810" s="4">
        <v>1795</v>
      </c>
      <c r="J1810" s="5">
        <v>28085.9245102444</v>
      </c>
      <c r="K1810" s="5">
        <v>16199.334613834633</v>
      </c>
      <c r="L1810" s="5">
        <v>27144.958215276103</v>
      </c>
      <c r="M1810" s="5">
        <v>7334.8610818348589</v>
      </c>
      <c r="N1810" s="5">
        <v>15804.474686449519</v>
      </c>
      <c r="O1810" s="5">
        <v>59207.798737851255</v>
      </c>
      <c r="P1810" s="5">
        <v>5836.7810663002319</v>
      </c>
      <c r="Q1810" s="5">
        <v>92068.726035424203</v>
      </c>
      <c r="R1810" s="5">
        <v>33863.04333215439</v>
      </c>
    </row>
    <row r="1811" spans="9:18">
      <c r="I1811" s="4">
        <v>1796</v>
      </c>
      <c r="J1811" s="5">
        <v>15081.728672246438</v>
      </c>
      <c r="K1811" s="5">
        <v>16199.334613834633</v>
      </c>
      <c r="L1811" s="5">
        <v>16451.333928028147</v>
      </c>
      <c r="M1811" s="5">
        <v>33862.836621974391</v>
      </c>
      <c r="N1811" s="5">
        <v>46248.895746171031</v>
      </c>
      <c r="O1811" s="5">
        <v>9320.7026593487881</v>
      </c>
      <c r="P1811" s="5">
        <v>35213.322626437533</v>
      </c>
      <c r="Q1811" s="5">
        <v>8474.2603471579441</v>
      </c>
      <c r="R1811" s="5">
        <v>40368.364083205248</v>
      </c>
    </row>
    <row r="1812" spans="9:18">
      <c r="I1812" s="4">
        <v>1797</v>
      </c>
      <c r="J1812" s="5">
        <v>27392.038553726634</v>
      </c>
      <c r="K1812" s="5">
        <v>16873.752266014431</v>
      </c>
      <c r="L1812" s="5">
        <v>17920.486090689363</v>
      </c>
      <c r="M1812" s="5">
        <v>12934.591863415189</v>
      </c>
      <c r="N1812" s="5">
        <v>21617.945168312468</v>
      </c>
      <c r="O1812" s="5">
        <v>27062.73412298776</v>
      </c>
      <c r="P1812" s="5">
        <v>9965.8330787532959</v>
      </c>
      <c r="Q1812" s="5">
        <v>56069.347629295014</v>
      </c>
      <c r="R1812" s="5">
        <v>3989.7956692889929</v>
      </c>
    </row>
    <row r="1813" spans="9:18">
      <c r="I1813" s="4">
        <v>1798</v>
      </c>
      <c r="J1813" s="5">
        <v>16416.142496463777</v>
      </c>
      <c r="K1813" s="5">
        <v>43843.85059185313</v>
      </c>
      <c r="L1813" s="5">
        <v>17311.244744664215</v>
      </c>
      <c r="M1813" s="5">
        <v>32497.510405113037</v>
      </c>
      <c r="N1813" s="5">
        <v>21909.120225822895</v>
      </c>
      <c r="O1813" s="5">
        <v>26268.613803794757</v>
      </c>
      <c r="P1813" s="5">
        <v>21039.927746191301</v>
      </c>
      <c r="Q1813" s="5">
        <v>10151.908492905288</v>
      </c>
      <c r="R1813" s="5">
        <v>17687.533637716911</v>
      </c>
    </row>
    <row r="1814" spans="9:18">
      <c r="I1814" s="4">
        <v>1799</v>
      </c>
      <c r="J1814" s="5">
        <v>19048.674633640545</v>
      </c>
      <c r="K1814" s="5">
        <v>37822.375317881044</v>
      </c>
      <c r="L1814" s="5">
        <v>17073.17760523731</v>
      </c>
      <c r="M1814" s="5">
        <v>25580.243606220469</v>
      </c>
      <c r="N1814" s="5">
        <v>19225.139878706803</v>
      </c>
      <c r="O1814" s="5">
        <v>20930.098352661731</v>
      </c>
      <c r="P1814" s="5">
        <v>16650.229067545235</v>
      </c>
      <c r="Q1814" s="5">
        <v>25156.033327562815</v>
      </c>
      <c r="R1814" s="5">
        <v>16039.216896723072</v>
      </c>
    </row>
    <row r="1815" spans="9:18">
      <c r="I1815" s="4">
        <v>1800</v>
      </c>
      <c r="J1815" s="5">
        <v>16788.081681455456</v>
      </c>
      <c r="K1815" s="5">
        <v>6949.5708823216592</v>
      </c>
      <c r="L1815" s="5">
        <v>21725.131459372977</v>
      </c>
      <c r="M1815" s="5">
        <v>16510.442870615672</v>
      </c>
      <c r="N1815" s="5">
        <v>23746.795665493762</v>
      </c>
      <c r="O1815" s="5">
        <v>40942.522561879181</v>
      </c>
      <c r="P1815" s="5">
        <v>21813.848941464526</v>
      </c>
      <c r="Q1815" s="5">
        <v>22145.301831504508</v>
      </c>
      <c r="R1815" s="5">
        <v>261393.32711858812</v>
      </c>
    </row>
    <row r="1816" spans="9:18">
      <c r="I1816" s="4">
        <v>1801</v>
      </c>
      <c r="J1816" s="5">
        <v>11854.381651026555</v>
      </c>
      <c r="K1816" s="5">
        <v>16605.655749562578</v>
      </c>
      <c r="L1816" s="5">
        <v>17311.244744664215</v>
      </c>
      <c r="M1816" s="5">
        <v>15346.383801976139</v>
      </c>
      <c r="N1816" s="5">
        <v>41563.89847100406</v>
      </c>
      <c r="O1816" s="5">
        <v>16505.600261180331</v>
      </c>
      <c r="P1816" s="5">
        <v>35569.894390728325</v>
      </c>
      <c r="Q1816" s="5">
        <v>4924.9171270300558</v>
      </c>
      <c r="R1816" s="5">
        <v>6360.7905155660001</v>
      </c>
    </row>
    <row r="1817" spans="9:18">
      <c r="I1817" s="4">
        <v>1802</v>
      </c>
      <c r="J1817" s="5">
        <v>14420.293087375476</v>
      </c>
      <c r="K1817" s="5">
        <v>17003.901855709089</v>
      </c>
      <c r="L1817" s="5">
        <v>23760.785349782636</v>
      </c>
      <c r="M1817" s="5">
        <v>16001.653036457456</v>
      </c>
      <c r="N1817" s="5">
        <v>23583.581287126868</v>
      </c>
      <c r="O1817" s="5">
        <v>20721.57544042755</v>
      </c>
      <c r="P1817" s="5">
        <v>49519.098753410741</v>
      </c>
      <c r="Q1817" s="5">
        <v>148345.62878828164</v>
      </c>
      <c r="R1817" s="5">
        <v>81423.874800517297</v>
      </c>
    </row>
    <row r="1818" spans="9:18">
      <c r="I1818" s="4">
        <v>1803</v>
      </c>
      <c r="J1818" s="5">
        <v>13391.049101507895</v>
      </c>
      <c r="K1818" s="5">
        <v>34058.671324159091</v>
      </c>
      <c r="L1818" s="5">
        <v>14815.394001212817</v>
      </c>
      <c r="M1818" s="5">
        <v>19430.369425783585</v>
      </c>
      <c r="N1818" s="5">
        <v>29468.83360104046</v>
      </c>
      <c r="O1818" s="5">
        <v>16826.763259351828</v>
      </c>
      <c r="P1818" s="5">
        <v>21933.779100635442</v>
      </c>
      <c r="Q1818" s="5">
        <v>100789.83462564547</v>
      </c>
      <c r="R1818" s="5">
        <v>41418.225609677866</v>
      </c>
    </row>
    <row r="1819" spans="9:18">
      <c r="I1819" s="4">
        <v>1804</v>
      </c>
      <c r="J1819" s="5">
        <v>13045.114546182727</v>
      </c>
      <c r="K1819" s="5">
        <v>14579.232378315752</v>
      </c>
      <c r="L1819" s="5">
        <v>16616.161224349555</v>
      </c>
      <c r="M1819" s="5">
        <v>20229.919588372999</v>
      </c>
      <c r="N1819" s="5">
        <v>22511.351424689696</v>
      </c>
      <c r="O1819" s="5">
        <v>9320.7026593487881</v>
      </c>
      <c r="P1819" s="5">
        <v>3017.2887813579896</v>
      </c>
      <c r="Q1819" s="5">
        <v>52545.991451361173</v>
      </c>
      <c r="R1819" s="5">
        <v>20303.08745527079</v>
      </c>
    </row>
    <row r="1820" spans="9:18">
      <c r="I1820" s="4">
        <v>1805</v>
      </c>
      <c r="J1820" s="5">
        <v>12701.339251949787</v>
      </c>
      <c r="K1820" s="5">
        <v>61827.107730316675</v>
      </c>
      <c r="L1820" s="5">
        <v>15832.5469007027</v>
      </c>
      <c r="M1820" s="5">
        <v>7334.8610818348589</v>
      </c>
      <c r="N1820" s="5">
        <v>21933.097106966918</v>
      </c>
      <c r="O1820" s="5">
        <v>55264.438774006347</v>
      </c>
      <c r="P1820" s="5">
        <v>35569.894390728325</v>
      </c>
      <c r="Q1820" s="5">
        <v>73941.636731325911</v>
      </c>
      <c r="R1820" s="5">
        <v>182942.88598316166</v>
      </c>
    </row>
    <row r="1821" spans="9:18">
      <c r="I1821" s="4">
        <v>1806</v>
      </c>
      <c r="J1821" s="5">
        <v>15554.996700302558</v>
      </c>
      <c r="K1821" s="5">
        <v>15782.544184844044</v>
      </c>
      <c r="L1821" s="5">
        <v>15764.107424863063</v>
      </c>
      <c r="M1821" s="5">
        <v>22815.60259636537</v>
      </c>
      <c r="N1821" s="5">
        <v>22868.569282757788</v>
      </c>
      <c r="O1821" s="5">
        <v>27503.656957929088</v>
      </c>
      <c r="P1821" s="5">
        <v>55119.366528283317</v>
      </c>
      <c r="Q1821" s="5">
        <v>9645.8788061228515</v>
      </c>
      <c r="R1821" s="5">
        <v>181970.23111012415</v>
      </c>
    </row>
    <row r="1822" spans="9:18">
      <c r="I1822" s="4">
        <v>1807</v>
      </c>
      <c r="J1822" s="5">
        <v>15623.733864199699</v>
      </c>
      <c r="K1822" s="5">
        <v>18218.584572172625</v>
      </c>
      <c r="L1822" s="5">
        <v>16014.071850041886</v>
      </c>
      <c r="M1822" s="5">
        <v>10451.914120098167</v>
      </c>
      <c r="N1822" s="5">
        <v>11684.605182472778</v>
      </c>
      <c r="O1822" s="5">
        <v>28431.436490368542</v>
      </c>
      <c r="P1822" s="5">
        <v>9633.1652908310007</v>
      </c>
      <c r="Q1822" s="5">
        <v>8880.8074399558282</v>
      </c>
      <c r="R1822" s="5">
        <v>65420.116221752483</v>
      </c>
    </row>
    <row r="1823" spans="9:18">
      <c r="I1823" s="4">
        <v>1808</v>
      </c>
      <c r="J1823" s="5">
        <v>13391.049101507895</v>
      </c>
      <c r="K1823" s="5">
        <v>14017.262946034314</v>
      </c>
      <c r="L1823" s="5">
        <v>14796.875457021113</v>
      </c>
      <c r="M1823" s="5">
        <v>13616.35938654862</v>
      </c>
      <c r="N1823" s="5">
        <v>21931.347680292267</v>
      </c>
      <c r="O1823" s="5">
        <v>24422.445067017139</v>
      </c>
      <c r="P1823" s="5">
        <v>21813.848941464526</v>
      </c>
      <c r="Q1823" s="5">
        <v>7349.2234634219121</v>
      </c>
      <c r="R1823" s="5">
        <v>72561.496699005787</v>
      </c>
    </row>
    <row r="1824" spans="9:18">
      <c r="I1824" s="4">
        <v>1809</v>
      </c>
      <c r="J1824" s="5">
        <v>17592.832480262863</v>
      </c>
      <c r="K1824" s="5">
        <v>15428.770955406064</v>
      </c>
      <c r="L1824" s="5">
        <v>23760.785349782636</v>
      </c>
      <c r="M1824" s="5">
        <v>16510.442870615672</v>
      </c>
      <c r="N1824" s="5">
        <v>24020.875410266352</v>
      </c>
      <c r="O1824" s="5">
        <v>8801.3667015774663</v>
      </c>
      <c r="P1824" s="5">
        <v>6275.8915673055426</v>
      </c>
      <c r="Q1824" s="5">
        <v>11173.074396969254</v>
      </c>
      <c r="R1824" s="5">
        <v>7201.7586694681067</v>
      </c>
    </row>
    <row r="1825" spans="9:18">
      <c r="I1825" s="4">
        <v>1810</v>
      </c>
      <c r="J1825" s="5">
        <v>11036.461796239426</v>
      </c>
      <c r="K1825" s="5">
        <v>15129.619337591721</v>
      </c>
      <c r="L1825" s="5">
        <v>14316.474075738101</v>
      </c>
      <c r="M1825" s="5">
        <v>7334.8610818348589</v>
      </c>
      <c r="N1825" s="5">
        <v>25549.748582175915</v>
      </c>
      <c r="O1825" s="5">
        <v>27068.054847826614</v>
      </c>
      <c r="P1825" s="5">
        <v>54923.423457863879</v>
      </c>
      <c r="Q1825" s="5">
        <v>12451.066014448154</v>
      </c>
      <c r="R1825" s="5">
        <v>91403.228438796665</v>
      </c>
    </row>
    <row r="1826" spans="9:18">
      <c r="I1826" s="4">
        <v>1811</v>
      </c>
      <c r="J1826" s="5">
        <v>16416.142496463777</v>
      </c>
      <c r="K1826" s="5">
        <v>16934.093371663999</v>
      </c>
      <c r="L1826" s="5">
        <v>15664.99858445921</v>
      </c>
      <c r="M1826" s="5">
        <v>13642.678686731051</v>
      </c>
      <c r="N1826" s="5">
        <v>22735.120948269971</v>
      </c>
      <c r="O1826" s="5">
        <v>41653.890350944224</v>
      </c>
      <c r="P1826" s="5">
        <v>12790.85158217316</v>
      </c>
      <c r="Q1826" s="5">
        <v>31902.904306425251</v>
      </c>
      <c r="R1826" s="5">
        <v>65420.116221752483</v>
      </c>
    </row>
    <row r="1827" spans="9:18">
      <c r="I1827" s="4">
        <v>1812</v>
      </c>
      <c r="J1827" s="5">
        <v>12701.339251949787</v>
      </c>
      <c r="K1827" s="5">
        <v>8124.7965732661823</v>
      </c>
      <c r="L1827" s="5">
        <v>18810.091753970282</v>
      </c>
      <c r="M1827" s="5">
        <v>10451.914120098167</v>
      </c>
      <c r="N1827" s="5">
        <v>22868.569282757788</v>
      </c>
      <c r="O1827" s="5">
        <v>16505.600261180331</v>
      </c>
      <c r="P1827" s="5">
        <v>46514.467673254068</v>
      </c>
      <c r="Q1827" s="5">
        <v>31855.809428519857</v>
      </c>
      <c r="R1827" s="5">
        <v>20236.767651156802</v>
      </c>
    </row>
    <row r="1828" spans="9:18">
      <c r="I1828" s="4">
        <v>1813</v>
      </c>
      <c r="J1828" s="5">
        <v>26634.853073396614</v>
      </c>
      <c r="K1828" s="5">
        <v>15347.101709242541</v>
      </c>
      <c r="L1828" s="5">
        <v>34748.877779456467</v>
      </c>
      <c r="M1828" s="5">
        <v>30785.663999045999</v>
      </c>
      <c r="N1828" s="5">
        <v>8555.1229659096207</v>
      </c>
      <c r="O1828" s="5">
        <v>42492.261063288854</v>
      </c>
      <c r="P1828" s="5">
        <v>10532.667493814919</v>
      </c>
      <c r="Q1828" s="5">
        <v>10151.908492905288</v>
      </c>
      <c r="R1828" s="5">
        <v>54594.567438884274</v>
      </c>
    </row>
    <row r="1829" spans="9:18">
      <c r="I1829" s="4">
        <v>1814</v>
      </c>
      <c r="J1829" s="5">
        <v>22188.291830993156</v>
      </c>
      <c r="K1829" s="5">
        <v>11149.572204897504</v>
      </c>
      <c r="L1829" s="5">
        <v>15225.811035017256</v>
      </c>
      <c r="M1829" s="5">
        <v>19042.78605337895</v>
      </c>
      <c r="N1829" s="5">
        <v>6130.3882288404347</v>
      </c>
      <c r="O1829" s="5">
        <v>28431.436490368542</v>
      </c>
      <c r="P1829" s="5">
        <v>22601.57564624758</v>
      </c>
      <c r="Q1829" s="5">
        <v>17153.530968450712</v>
      </c>
      <c r="R1829" s="5">
        <v>261393.32711858812</v>
      </c>
    </row>
    <row r="1830" spans="9:18">
      <c r="I1830" s="4">
        <v>1815</v>
      </c>
      <c r="J1830" s="5">
        <v>31053.540961463306</v>
      </c>
      <c r="K1830" s="5">
        <v>61827.107730316675</v>
      </c>
      <c r="L1830" s="5">
        <v>15832.5469007027</v>
      </c>
      <c r="M1830" s="5">
        <v>42282.977640783138</v>
      </c>
      <c r="N1830" s="5">
        <v>22735.120948269971</v>
      </c>
      <c r="O1830" s="5">
        <v>42492.261063288854</v>
      </c>
      <c r="P1830" s="5">
        <v>35213.322626437533</v>
      </c>
      <c r="Q1830" s="5">
        <v>37073.980790337926</v>
      </c>
      <c r="R1830" s="5">
        <v>44707.053087992797</v>
      </c>
    </row>
    <row r="1831" spans="9:18">
      <c r="I1831" s="4">
        <v>1816</v>
      </c>
      <c r="J1831" s="5">
        <v>19467.17453557903</v>
      </c>
      <c r="K1831" s="5">
        <v>13559.080695844099</v>
      </c>
      <c r="L1831" s="5">
        <v>16777.996633299583</v>
      </c>
      <c r="M1831" s="5">
        <v>36301.422888051464</v>
      </c>
      <c r="N1831" s="5">
        <v>39406.658185292261</v>
      </c>
      <c r="O1831" s="5">
        <v>27508.313315384185</v>
      </c>
      <c r="P1831" s="5">
        <v>3930.0915591834291</v>
      </c>
      <c r="Q1831" s="5">
        <v>18097.768262249352</v>
      </c>
      <c r="R1831" s="5">
        <v>216919.53009911609</v>
      </c>
    </row>
    <row r="1832" spans="9:18">
      <c r="I1832" s="4">
        <v>1817</v>
      </c>
      <c r="J1832" s="5">
        <v>14594.990625703947</v>
      </c>
      <c r="K1832" s="5">
        <v>14611.618478071941</v>
      </c>
      <c r="L1832" s="5">
        <v>17578.712723867691</v>
      </c>
      <c r="M1832" s="5">
        <v>29058.117767351498</v>
      </c>
      <c r="N1832" s="5">
        <v>42744.618431291936</v>
      </c>
      <c r="O1832" s="5">
        <v>31172.963108652857</v>
      </c>
      <c r="P1832" s="5">
        <v>35569.894390728325</v>
      </c>
      <c r="Q1832" s="5">
        <v>30266.563414010914</v>
      </c>
      <c r="R1832" s="5">
        <v>96845.299789249824</v>
      </c>
    </row>
    <row r="1833" spans="9:18">
      <c r="I1833" s="4">
        <v>1818</v>
      </c>
      <c r="J1833" s="5">
        <v>12035.382213755307</v>
      </c>
      <c r="K1833" s="5">
        <v>14674.169276244838</v>
      </c>
      <c r="L1833" s="5">
        <v>15471.738323660695</v>
      </c>
      <c r="M1833" s="5">
        <v>20550.782384061673</v>
      </c>
      <c r="N1833" s="5">
        <v>22868.569282757788</v>
      </c>
      <c r="O1833" s="5">
        <v>24369.28567093279</v>
      </c>
      <c r="P1833" s="5">
        <v>26541.896041444568</v>
      </c>
      <c r="Q1833" s="5">
        <v>19315.033835554255</v>
      </c>
      <c r="R1833" s="5">
        <v>7784.2246210242874</v>
      </c>
    </row>
    <row r="1834" spans="9:18">
      <c r="I1834" s="4">
        <v>1819</v>
      </c>
      <c r="J1834" s="5">
        <v>14749.343145806102</v>
      </c>
      <c r="K1834" s="5">
        <v>15768.312122029349</v>
      </c>
      <c r="L1834" s="5">
        <v>17683.765335572589</v>
      </c>
      <c r="M1834" s="5">
        <v>9623.0342442006167</v>
      </c>
      <c r="N1834" s="5">
        <v>25424.029865101274</v>
      </c>
      <c r="O1834" s="5">
        <v>20930.098352661731</v>
      </c>
      <c r="P1834" s="5">
        <v>41657.50350099193</v>
      </c>
      <c r="Q1834" s="5">
        <v>70295.978314632754</v>
      </c>
      <c r="R1834" s="5">
        <v>12194.45251033065</v>
      </c>
    </row>
    <row r="1835" spans="9:18">
      <c r="I1835" s="4">
        <v>1820</v>
      </c>
      <c r="J1835" s="5">
        <v>28214.771032351968</v>
      </c>
      <c r="K1835" s="5">
        <v>14579.232378315752</v>
      </c>
      <c r="L1835" s="5">
        <v>15746.942257105531</v>
      </c>
      <c r="M1835" s="5">
        <v>9623.0342442006167</v>
      </c>
      <c r="N1835" s="5">
        <v>41563.89847100406</v>
      </c>
      <c r="O1835" s="5">
        <v>49114.195066822271</v>
      </c>
      <c r="P1835" s="5">
        <v>66904.018529955298</v>
      </c>
      <c r="Q1835" s="5">
        <v>13214.632802255031</v>
      </c>
      <c r="R1835" s="5">
        <v>14051.647494499957</v>
      </c>
    </row>
    <row r="1836" spans="9:18">
      <c r="I1836" s="4">
        <v>1821</v>
      </c>
      <c r="J1836" s="5">
        <v>12035.382213755307</v>
      </c>
      <c r="K1836" s="5">
        <v>16081.362509465702</v>
      </c>
      <c r="L1836" s="5">
        <v>15300.182042823812</v>
      </c>
      <c r="M1836" s="5">
        <v>11680.747299075838</v>
      </c>
      <c r="N1836" s="5">
        <v>28426.778914975595</v>
      </c>
      <c r="O1836" s="5">
        <v>10746.295275180995</v>
      </c>
      <c r="P1836" s="5">
        <v>38771.994792132391</v>
      </c>
      <c r="Q1836" s="5">
        <v>64585.328088516922</v>
      </c>
      <c r="R1836" s="5">
        <v>33863.04333215439</v>
      </c>
    </row>
    <row r="1837" spans="9:18">
      <c r="I1837" s="4">
        <v>1822</v>
      </c>
      <c r="J1837" s="5">
        <v>15352.465904292809</v>
      </c>
      <c r="K1837" s="5">
        <v>13288.692555879701</v>
      </c>
      <c r="L1837" s="5">
        <v>16577.562442697115</v>
      </c>
      <c r="M1837" s="5">
        <v>21833.004790208965</v>
      </c>
      <c r="N1837" s="5">
        <v>23998.040874392525</v>
      </c>
      <c r="O1837" s="5">
        <v>10270.120415297655</v>
      </c>
      <c r="P1837" s="5">
        <v>20403.656304140692</v>
      </c>
      <c r="Q1837" s="5">
        <v>15663.43865741136</v>
      </c>
      <c r="R1837" s="5">
        <v>19133.693426869788</v>
      </c>
    </row>
    <row r="1838" spans="9:18">
      <c r="I1838" s="4">
        <v>1823</v>
      </c>
      <c r="J1838" s="5">
        <v>11843.28062342474</v>
      </c>
      <c r="K1838" s="5">
        <v>12026.500118162745</v>
      </c>
      <c r="L1838" s="5">
        <v>15832.5469007027</v>
      </c>
      <c r="M1838" s="5">
        <v>23454.775510296178</v>
      </c>
      <c r="N1838" s="5">
        <v>14335.478134989447</v>
      </c>
      <c r="O1838" s="5">
        <v>10270.120415297655</v>
      </c>
      <c r="P1838" s="5">
        <v>36724.352187786957</v>
      </c>
      <c r="Q1838" s="5">
        <v>31019.493883163672</v>
      </c>
      <c r="R1838" s="5">
        <v>90296.353221228885</v>
      </c>
    </row>
    <row r="1839" spans="9:18">
      <c r="I1839" s="4">
        <v>1824</v>
      </c>
      <c r="J1839" s="5">
        <v>28590.354879265724</v>
      </c>
      <c r="K1839" s="5">
        <v>13719.930466819731</v>
      </c>
      <c r="L1839" s="5">
        <v>14691.846656953887</v>
      </c>
      <c r="M1839" s="5">
        <v>19430.369425783585</v>
      </c>
      <c r="N1839" s="5">
        <v>22868.569282757788</v>
      </c>
      <c r="O1839" s="5">
        <v>62082.6862081785</v>
      </c>
      <c r="P1839" s="5">
        <v>5836.7810663002319</v>
      </c>
      <c r="Q1839" s="5">
        <v>56069.347629295014</v>
      </c>
      <c r="R1839" s="5">
        <v>3989.7956692889929</v>
      </c>
    </row>
    <row r="1840" spans="9:18">
      <c r="I1840" s="4">
        <v>1825</v>
      </c>
      <c r="J1840" s="5">
        <v>22370.105711697011</v>
      </c>
      <c r="K1840" s="5">
        <v>21527.93129974293</v>
      </c>
      <c r="L1840" s="5">
        <v>15923.549351835489</v>
      </c>
      <c r="M1840" s="5">
        <v>23454.775510296178</v>
      </c>
      <c r="N1840" s="5">
        <v>21909.120225822895</v>
      </c>
      <c r="O1840" s="5">
        <v>16826.763259351828</v>
      </c>
      <c r="P1840" s="5">
        <v>35569.894390728325</v>
      </c>
      <c r="Q1840" s="5">
        <v>28776.080424849053</v>
      </c>
      <c r="R1840" s="5">
        <v>10885.018205103002</v>
      </c>
    </row>
    <row r="1841" spans="9:18">
      <c r="I1841" s="4">
        <v>1826</v>
      </c>
      <c r="J1841" s="5">
        <v>14680.308400328413</v>
      </c>
      <c r="K1841" s="5">
        <v>14579.232378315752</v>
      </c>
      <c r="L1841" s="5">
        <v>16616.161224349555</v>
      </c>
      <c r="M1841" s="5">
        <v>18816.787977140237</v>
      </c>
      <c r="N1841" s="5">
        <v>22010.718648995869</v>
      </c>
      <c r="O1841" s="5">
        <v>16826.763259351828</v>
      </c>
      <c r="P1841" s="5">
        <v>12639.596794453437</v>
      </c>
      <c r="Q1841" s="5">
        <v>59134.059519022907</v>
      </c>
      <c r="R1841" s="5">
        <v>8720.6503563381029</v>
      </c>
    </row>
    <row r="1842" spans="9:18">
      <c r="I1842" s="4">
        <v>1827</v>
      </c>
      <c r="J1842" s="5">
        <v>16544.73779470181</v>
      </c>
      <c r="K1842" s="5">
        <v>11403.533194020869</v>
      </c>
      <c r="L1842" s="5">
        <v>16071.260291253868</v>
      </c>
      <c r="M1842" s="5">
        <v>6367.5407465007311</v>
      </c>
      <c r="N1842" s="5">
        <v>11788.341482962171</v>
      </c>
      <c r="O1842" s="5">
        <v>10369.402667058452</v>
      </c>
      <c r="P1842" s="5">
        <v>8069.5385577067918</v>
      </c>
      <c r="Q1842" s="5">
        <v>31855.809428519857</v>
      </c>
      <c r="R1842" s="5">
        <v>8720.6503563381029</v>
      </c>
    </row>
    <row r="1843" spans="9:18">
      <c r="I1843" s="4">
        <v>1828</v>
      </c>
      <c r="J1843" s="5">
        <v>16166.107684907736</v>
      </c>
      <c r="K1843" s="5">
        <v>16081.362509465702</v>
      </c>
      <c r="L1843" s="5">
        <v>14610.165745300763</v>
      </c>
      <c r="M1843" s="5">
        <v>15586.009710351766</v>
      </c>
      <c r="N1843" s="5">
        <v>9209.4418830788036</v>
      </c>
      <c r="O1843" s="5">
        <v>10369.402667058452</v>
      </c>
      <c r="P1843" s="5">
        <v>9633.1652908310007</v>
      </c>
      <c r="Q1843" s="5">
        <v>48756.323642664109</v>
      </c>
      <c r="R1843" s="5">
        <v>16039.216896723072</v>
      </c>
    </row>
    <row r="1844" spans="9:18">
      <c r="I1844" s="4">
        <v>1829</v>
      </c>
      <c r="J1844" s="5">
        <v>15554.996700302558</v>
      </c>
      <c r="K1844" s="5">
        <v>35488.449387009874</v>
      </c>
      <c r="L1844" s="5">
        <v>15060.431658965737</v>
      </c>
      <c r="M1844" s="5">
        <v>21712.71007234112</v>
      </c>
      <c r="N1844" s="5">
        <v>14335.478134989447</v>
      </c>
      <c r="O1844" s="5">
        <v>10676.618215263648</v>
      </c>
      <c r="P1844" s="5">
        <v>3930.0915591834291</v>
      </c>
      <c r="Q1844" s="5">
        <v>129470.11441833655</v>
      </c>
      <c r="R1844" s="5">
        <v>41418.225609677866</v>
      </c>
    </row>
    <row r="1845" spans="9:18">
      <c r="I1845" s="4">
        <v>1830</v>
      </c>
      <c r="J1845" s="5">
        <v>20768.286261788198</v>
      </c>
      <c r="K1845" s="5">
        <v>11206.053243692098</v>
      </c>
      <c r="L1845" s="5">
        <v>15225.811035017256</v>
      </c>
      <c r="M1845" s="5">
        <v>29834.240613550006</v>
      </c>
      <c r="N1845" s="5">
        <v>14335.478134989447</v>
      </c>
      <c r="O1845" s="5">
        <v>16826.763259351828</v>
      </c>
      <c r="P1845" s="5">
        <v>26126.807131356076</v>
      </c>
      <c r="Q1845" s="5">
        <v>13214.632802255031</v>
      </c>
      <c r="R1845" s="5">
        <v>72561.496699005787</v>
      </c>
    </row>
    <row r="1846" spans="9:18">
      <c r="I1846" s="4">
        <v>1831</v>
      </c>
      <c r="J1846" s="5">
        <v>11036.461796239426</v>
      </c>
      <c r="K1846" s="5">
        <v>14611.618478071941</v>
      </c>
      <c r="L1846" s="5">
        <v>17311.244744664215</v>
      </c>
      <c r="M1846" s="5">
        <v>19262.243095117232</v>
      </c>
      <c r="N1846" s="5">
        <v>59876.136849941562</v>
      </c>
      <c r="O1846" s="5">
        <v>55264.438774006347</v>
      </c>
      <c r="P1846" s="5">
        <v>13793.886507202402</v>
      </c>
      <c r="Q1846" s="5">
        <v>4631.7430487757983</v>
      </c>
      <c r="R1846" s="5">
        <v>38898.713625068609</v>
      </c>
    </row>
    <row r="1847" spans="9:18">
      <c r="I1847" s="4">
        <v>1832</v>
      </c>
      <c r="J1847" s="5">
        <v>15064.079707240266</v>
      </c>
      <c r="K1847" s="5">
        <v>12423.491400404893</v>
      </c>
      <c r="L1847" s="5">
        <v>17845.207337527903</v>
      </c>
      <c r="M1847" s="5">
        <v>17542.15972125496</v>
      </c>
      <c r="N1847" s="5">
        <v>17214.078970533748</v>
      </c>
      <c r="O1847" s="5">
        <v>10270.120415297655</v>
      </c>
      <c r="P1847" s="5">
        <v>13793.886507202402</v>
      </c>
      <c r="Q1847" s="5">
        <v>31902.904306425251</v>
      </c>
      <c r="R1847" s="5">
        <v>87776.138236389699</v>
      </c>
    </row>
    <row r="1848" spans="9:18">
      <c r="I1848" s="4">
        <v>1833</v>
      </c>
      <c r="J1848" s="5">
        <v>22812.564910649318</v>
      </c>
      <c r="K1848" s="5">
        <v>12026.500118162745</v>
      </c>
      <c r="L1848" s="5">
        <v>15746.942257105531</v>
      </c>
      <c r="M1848" s="5">
        <v>24981.974172352908</v>
      </c>
      <c r="N1848" s="5">
        <v>34295.124147811541</v>
      </c>
      <c r="O1848" s="5">
        <v>21930.527973988665</v>
      </c>
      <c r="P1848" s="5">
        <v>8877.9712092977989</v>
      </c>
      <c r="Q1848" s="5">
        <v>17493.456269945855</v>
      </c>
      <c r="R1848" s="5">
        <v>302760.11878714536</v>
      </c>
    </row>
    <row r="1849" spans="9:18">
      <c r="I1849" s="4">
        <v>1834</v>
      </c>
      <c r="J1849" s="5">
        <v>16733.020222212988</v>
      </c>
      <c r="K1849" s="5">
        <v>14021.934268028277</v>
      </c>
      <c r="L1849" s="5">
        <v>13023.361770761438</v>
      </c>
      <c r="M1849" s="5">
        <v>16001.653036457456</v>
      </c>
      <c r="N1849" s="5">
        <v>26565.664379767408</v>
      </c>
      <c r="O1849" s="5">
        <v>16462.170789592048</v>
      </c>
      <c r="P1849" s="5">
        <v>8662.4232458952465</v>
      </c>
      <c r="Q1849" s="5">
        <v>7457.1844090365566</v>
      </c>
      <c r="R1849" s="5">
        <v>123773.40402252052</v>
      </c>
    </row>
    <row r="1850" spans="9:18">
      <c r="I1850" s="4">
        <v>1835</v>
      </c>
      <c r="J1850" s="5">
        <v>33627.941293959229</v>
      </c>
      <c r="K1850" s="5">
        <v>12026.500118162745</v>
      </c>
      <c r="L1850" s="5">
        <v>16017.890956041876</v>
      </c>
      <c r="M1850" s="5">
        <v>11529.920007560097</v>
      </c>
      <c r="N1850" s="5">
        <v>24020.875410266352</v>
      </c>
      <c r="O1850" s="5">
        <v>49114.195066822271</v>
      </c>
      <c r="P1850" s="5">
        <v>10180.109839011631</v>
      </c>
      <c r="Q1850" s="5">
        <v>129470.11441833655</v>
      </c>
      <c r="R1850" s="5">
        <v>17991.870496434763</v>
      </c>
    </row>
    <row r="1851" spans="9:18">
      <c r="I1851" s="4">
        <v>1836</v>
      </c>
      <c r="J1851" s="5">
        <v>7855.2948890116513</v>
      </c>
      <c r="K1851" s="5">
        <v>16873.752266014431</v>
      </c>
      <c r="L1851" s="5">
        <v>16071.478531535273</v>
      </c>
      <c r="M1851" s="5">
        <v>41698.977215629871</v>
      </c>
      <c r="N1851" s="5">
        <v>11751.639947035985</v>
      </c>
      <c r="O1851" s="5">
        <v>20489.622805425737</v>
      </c>
      <c r="P1851" s="5">
        <v>17996.895987204196</v>
      </c>
      <c r="Q1851" s="5">
        <v>43417.41805414496</v>
      </c>
      <c r="R1851" s="5">
        <v>62674.060343500474</v>
      </c>
    </row>
    <row r="1852" spans="9:18">
      <c r="I1852" s="4">
        <v>1837</v>
      </c>
      <c r="J1852" s="5">
        <v>9368.8270679249108</v>
      </c>
      <c r="K1852" s="5">
        <v>13520.836427679104</v>
      </c>
      <c r="L1852" s="5">
        <v>27289.607394458035</v>
      </c>
      <c r="M1852" s="5">
        <v>31554.722481137964</v>
      </c>
      <c r="N1852" s="5">
        <v>17811.114014514766</v>
      </c>
      <c r="O1852" s="5">
        <v>59207.798737851255</v>
      </c>
      <c r="P1852" s="5">
        <v>12992.105410393709</v>
      </c>
      <c r="Q1852" s="5">
        <v>3909.239690544402</v>
      </c>
      <c r="R1852" s="5">
        <v>26783.439354489365</v>
      </c>
    </row>
    <row r="1853" spans="9:18">
      <c r="I1853" s="4">
        <v>1838</v>
      </c>
      <c r="J1853" s="5">
        <v>9405.362381917912</v>
      </c>
      <c r="K1853" s="5">
        <v>14579.232378315752</v>
      </c>
      <c r="L1853" s="5">
        <v>17920.486090689363</v>
      </c>
      <c r="M1853" s="5">
        <v>31554.722481137964</v>
      </c>
      <c r="N1853" s="5">
        <v>26115.05281128412</v>
      </c>
      <c r="O1853" s="5">
        <v>41800.463215706819</v>
      </c>
      <c r="P1853" s="5">
        <v>24349.301972630979</v>
      </c>
      <c r="Q1853" s="5">
        <v>17234.335939857254</v>
      </c>
      <c r="R1853" s="5">
        <v>123773.40402252052</v>
      </c>
    </row>
    <row r="1854" spans="9:18">
      <c r="I1854" s="4">
        <v>1839</v>
      </c>
      <c r="J1854" s="5">
        <v>12888.204629170894</v>
      </c>
      <c r="K1854" s="5">
        <v>43843.85059185313</v>
      </c>
      <c r="L1854" s="5">
        <v>15664.99858445921</v>
      </c>
      <c r="M1854" s="5">
        <v>11529.920007560097</v>
      </c>
      <c r="N1854" s="5">
        <v>23043.345403059295</v>
      </c>
      <c r="O1854" s="5">
        <v>16505.600261180331</v>
      </c>
      <c r="P1854" s="5">
        <v>45161.732159568586</v>
      </c>
      <c r="Q1854" s="5">
        <v>22145.301831504508</v>
      </c>
      <c r="R1854" s="5">
        <v>27349.63499959607</v>
      </c>
    </row>
    <row r="1855" spans="9:18">
      <c r="I1855" s="4">
        <v>1840</v>
      </c>
      <c r="J1855" s="5">
        <v>11116.191595722205</v>
      </c>
      <c r="K1855" s="5">
        <v>24728.095385476983</v>
      </c>
      <c r="L1855" s="5">
        <v>14364.472927446199</v>
      </c>
      <c r="M1855" s="5">
        <v>12426.949970383979</v>
      </c>
      <c r="N1855" s="5">
        <v>63974.903847153939</v>
      </c>
      <c r="O1855" s="5">
        <v>9320.7026593487881</v>
      </c>
      <c r="P1855" s="5">
        <v>44816.412248582856</v>
      </c>
      <c r="Q1855" s="5">
        <v>31618.396253255491</v>
      </c>
      <c r="R1855" s="5">
        <v>181970.23111012415</v>
      </c>
    </row>
    <row r="1856" spans="9:18">
      <c r="I1856" s="4">
        <v>1841</v>
      </c>
      <c r="J1856" s="5">
        <v>14420.293087375476</v>
      </c>
      <c r="K1856" s="5">
        <v>16934.093371663999</v>
      </c>
      <c r="L1856" s="5">
        <v>17578.712723867691</v>
      </c>
      <c r="M1856" s="5">
        <v>15202.972920708273</v>
      </c>
      <c r="N1856" s="5">
        <v>23746.795665493762</v>
      </c>
      <c r="O1856" s="5">
        <v>20721.57544042755</v>
      </c>
      <c r="P1856" s="5">
        <v>44646.134934589521</v>
      </c>
      <c r="Q1856" s="5">
        <v>15663.43865741136</v>
      </c>
      <c r="R1856" s="5">
        <v>18230.645544621442</v>
      </c>
    </row>
    <row r="1857" spans="9:18">
      <c r="I1857" s="4">
        <v>1842</v>
      </c>
      <c r="J1857" s="5">
        <v>15648.665245032147</v>
      </c>
      <c r="K1857" s="5">
        <v>30552.499930043898</v>
      </c>
      <c r="L1857" s="5">
        <v>14042.41908879921</v>
      </c>
      <c r="M1857" s="5">
        <v>16510.442870615672</v>
      </c>
      <c r="N1857" s="5">
        <v>16148.901635865295</v>
      </c>
      <c r="O1857" s="5">
        <v>9708.4497800977806</v>
      </c>
      <c r="P1857" s="5">
        <v>10966.822219855034</v>
      </c>
      <c r="Q1857" s="5">
        <v>35525.432376048877</v>
      </c>
      <c r="R1857" s="5">
        <v>114016.93673542379</v>
      </c>
    </row>
    <row r="1858" spans="9:18">
      <c r="I1858" s="4">
        <v>1843</v>
      </c>
      <c r="J1858" s="5">
        <v>15873.12561080002</v>
      </c>
      <c r="K1858" s="5">
        <v>12777.667398488715</v>
      </c>
      <c r="L1858" s="5">
        <v>14146.191653372813</v>
      </c>
      <c r="M1858" s="5">
        <v>23913.435663027711</v>
      </c>
      <c r="N1858" s="5">
        <v>26115.05281128412</v>
      </c>
      <c r="O1858" s="5">
        <v>6199.3195463515376</v>
      </c>
      <c r="P1858" s="5">
        <v>10733.318076105543</v>
      </c>
      <c r="Q1858" s="5">
        <v>44911.749632594299</v>
      </c>
      <c r="R1858" s="5">
        <v>14706.681111065362</v>
      </c>
    </row>
    <row r="1859" spans="9:18">
      <c r="I1859" s="4">
        <v>1844</v>
      </c>
      <c r="J1859" s="5">
        <v>31053.540961463306</v>
      </c>
      <c r="K1859" s="5">
        <v>16132.555399908759</v>
      </c>
      <c r="L1859" s="5">
        <v>19189.275558866306</v>
      </c>
      <c r="M1859" s="5">
        <v>26477.996319655329</v>
      </c>
      <c r="N1859" s="5">
        <v>37309.151967087455</v>
      </c>
      <c r="O1859" s="5">
        <v>40581.847217937895</v>
      </c>
      <c r="P1859" s="5">
        <v>41657.50350099193</v>
      </c>
      <c r="Q1859" s="5">
        <v>6386.5227360487288</v>
      </c>
      <c r="R1859" s="5">
        <v>76851.431017396084</v>
      </c>
    </row>
    <row r="1860" spans="9:18">
      <c r="I1860" s="4">
        <v>1845</v>
      </c>
      <c r="J1860" s="5">
        <v>11843.28062342474</v>
      </c>
      <c r="K1860" s="5">
        <v>6949.5708823216592</v>
      </c>
      <c r="L1860" s="5">
        <v>23760.785349782636</v>
      </c>
      <c r="M1860" s="5">
        <v>16001.653036457456</v>
      </c>
      <c r="N1860" s="5">
        <v>29468.83360104046</v>
      </c>
      <c r="O1860" s="5">
        <v>4231.3144655921506</v>
      </c>
      <c r="P1860" s="5">
        <v>83536.241167211992</v>
      </c>
      <c r="Q1860" s="5">
        <v>28797.29222718185</v>
      </c>
      <c r="R1860" s="5">
        <v>17687.533637716911</v>
      </c>
    </row>
    <row r="1861" spans="9:18">
      <c r="I1861" s="4">
        <v>1846</v>
      </c>
      <c r="J1861" s="5">
        <v>16788.081681455456</v>
      </c>
      <c r="K1861" s="5">
        <v>29672.680843304515</v>
      </c>
      <c r="L1861" s="5">
        <v>15664.99858445921</v>
      </c>
      <c r="M1861" s="5">
        <v>11860.862376247747</v>
      </c>
      <c r="N1861" s="5">
        <v>39406.658185292261</v>
      </c>
      <c r="O1861" s="5">
        <v>40581.847217937895</v>
      </c>
      <c r="P1861" s="5">
        <v>77603.711720266961</v>
      </c>
      <c r="Q1861" s="5">
        <v>31019.493883163672</v>
      </c>
      <c r="R1861" s="5">
        <v>41418.225609677866</v>
      </c>
    </row>
    <row r="1862" spans="9:18">
      <c r="I1862" s="4">
        <v>1847</v>
      </c>
      <c r="J1862" s="5">
        <v>12452.764985867625</v>
      </c>
      <c r="K1862" s="5">
        <v>14021.934268028277</v>
      </c>
      <c r="L1862" s="5">
        <v>18634.523182776735</v>
      </c>
      <c r="M1862" s="5">
        <v>23913.435663027711</v>
      </c>
      <c r="N1862" s="5">
        <v>19125.360074567652</v>
      </c>
      <c r="O1862" s="5">
        <v>15124.35050053727</v>
      </c>
      <c r="P1862" s="5">
        <v>106091.28270624072</v>
      </c>
      <c r="Q1862" s="5">
        <v>37073.980790337926</v>
      </c>
      <c r="R1862" s="5">
        <v>20303.08745527079</v>
      </c>
    </row>
    <row r="1863" spans="9:18">
      <c r="I1863" s="4">
        <v>1848</v>
      </c>
      <c r="J1863" s="5">
        <v>22188.291830993156</v>
      </c>
      <c r="K1863" s="5">
        <v>12423.491400404893</v>
      </c>
      <c r="L1863" s="5">
        <v>17683.765335572589</v>
      </c>
      <c r="M1863" s="5">
        <v>19795.661011456152</v>
      </c>
      <c r="N1863" s="5">
        <v>20718.434293991453</v>
      </c>
      <c r="O1863" s="5">
        <v>13117.417685535194</v>
      </c>
      <c r="P1863" s="5">
        <v>32155.527541400057</v>
      </c>
      <c r="Q1863" s="5">
        <v>73941.636731325911</v>
      </c>
      <c r="R1863" s="5">
        <v>33863.04333215439</v>
      </c>
    </row>
    <row r="1864" spans="9:18">
      <c r="I1864" s="4">
        <v>1849</v>
      </c>
      <c r="J1864" s="5">
        <v>34933.039312618188</v>
      </c>
      <c r="K1864" s="5">
        <v>14021.934268028277</v>
      </c>
      <c r="L1864" s="5">
        <v>14042.41908879921</v>
      </c>
      <c r="M1864" s="5">
        <v>13642.678686731051</v>
      </c>
      <c r="N1864" s="5">
        <v>4770.4216775830728</v>
      </c>
      <c r="O1864" s="5">
        <v>5444.7598502623823</v>
      </c>
      <c r="P1864" s="5">
        <v>83536.241167211992</v>
      </c>
      <c r="Q1864" s="5">
        <v>7349.2234634219121</v>
      </c>
      <c r="R1864" s="5">
        <v>2071.5141323269809</v>
      </c>
    </row>
    <row r="1865" spans="9:18">
      <c r="I1865" s="4">
        <v>1850</v>
      </c>
      <c r="J1865" s="5">
        <v>21888.821432026474</v>
      </c>
      <c r="K1865" s="5">
        <v>16132.555399908759</v>
      </c>
      <c r="L1865" s="5">
        <v>15923.549351835489</v>
      </c>
      <c r="M1865" s="5">
        <v>10451.914120098167</v>
      </c>
      <c r="N1865" s="5">
        <v>42744.618431291936</v>
      </c>
      <c r="O1865" s="5">
        <v>59207.798737851255</v>
      </c>
      <c r="P1865" s="5">
        <v>27373.102585108634</v>
      </c>
      <c r="Q1865" s="5">
        <v>59134.059519022907</v>
      </c>
      <c r="R1865" s="5">
        <v>38898.713625068609</v>
      </c>
    </row>
    <row r="1866" spans="9:18">
      <c r="I1866" s="4">
        <v>1851</v>
      </c>
      <c r="J1866" s="5">
        <v>21150.169973104224</v>
      </c>
      <c r="K1866" s="5">
        <v>16605.655749562578</v>
      </c>
      <c r="L1866" s="5">
        <v>19224.583269019437</v>
      </c>
      <c r="M1866" s="5">
        <v>13022.686998540772</v>
      </c>
      <c r="N1866" s="5">
        <v>18410.937863650517</v>
      </c>
      <c r="O1866" s="5">
        <v>27503.656957929088</v>
      </c>
      <c r="P1866" s="5">
        <v>16072.735485912413</v>
      </c>
      <c r="Q1866" s="5">
        <v>48866.209623168346</v>
      </c>
      <c r="R1866" s="5">
        <v>90296.353221228885</v>
      </c>
    </row>
    <row r="1867" spans="9:18">
      <c r="I1867" s="4">
        <v>1852</v>
      </c>
      <c r="J1867" s="5">
        <v>16145.071869702888</v>
      </c>
      <c r="K1867" s="5">
        <v>61827.107730316675</v>
      </c>
      <c r="L1867" s="5">
        <v>14344.859750762502</v>
      </c>
      <c r="M1867" s="5">
        <v>36301.422888051464</v>
      </c>
      <c r="N1867" s="5">
        <v>42744.618431291936</v>
      </c>
      <c r="O1867" s="5">
        <v>8801.3667015774663</v>
      </c>
      <c r="P1867" s="5">
        <v>21039.927746191301</v>
      </c>
      <c r="Q1867" s="5">
        <v>20987.925664394581</v>
      </c>
      <c r="R1867" s="5">
        <v>5865.9802599669383</v>
      </c>
    </row>
    <row r="1868" spans="9:18">
      <c r="I1868" s="4">
        <v>1853</v>
      </c>
      <c r="J1868" s="5">
        <v>11854.381651026555</v>
      </c>
      <c r="K1868" s="5">
        <v>61827.107730316675</v>
      </c>
      <c r="L1868" s="5">
        <v>17578.712723867691</v>
      </c>
      <c r="M1868" s="5">
        <v>21072.983263501868</v>
      </c>
      <c r="N1868" s="5">
        <v>11952.903761138405</v>
      </c>
      <c r="O1868" s="5">
        <v>3171.3006415671193</v>
      </c>
      <c r="P1868" s="5">
        <v>41657.50350099193</v>
      </c>
      <c r="Q1868" s="5">
        <v>7349.2234634219121</v>
      </c>
      <c r="R1868" s="5">
        <v>19133.693426869788</v>
      </c>
    </row>
    <row r="1869" spans="9:18">
      <c r="I1869" s="4">
        <v>1854</v>
      </c>
      <c r="J1869" s="5">
        <v>15064.079707240266</v>
      </c>
      <c r="K1869" s="5">
        <v>21527.93129974293</v>
      </c>
      <c r="L1869" s="5">
        <v>15225.811035017256</v>
      </c>
      <c r="M1869" s="5">
        <v>16842.379179328669</v>
      </c>
      <c r="N1869" s="5">
        <v>19225.139878706803</v>
      </c>
      <c r="O1869" s="5">
        <v>40942.522561879181</v>
      </c>
      <c r="P1869" s="5">
        <v>16650.229067545235</v>
      </c>
      <c r="Q1869" s="5">
        <v>3909.239690544402</v>
      </c>
      <c r="R1869" s="5">
        <v>182942.88598316166</v>
      </c>
    </row>
    <row r="1870" spans="9:18">
      <c r="I1870" s="4">
        <v>1855</v>
      </c>
      <c r="J1870" s="5">
        <v>8580.4413740966302</v>
      </c>
      <c r="K1870" s="5">
        <v>15782.544184844044</v>
      </c>
      <c r="L1870" s="5">
        <v>14796.875457021113</v>
      </c>
      <c r="M1870" s="5">
        <v>12735.841453044006</v>
      </c>
      <c r="N1870" s="5">
        <v>23043.345403059295</v>
      </c>
      <c r="O1870" s="5">
        <v>30876.675913171162</v>
      </c>
      <c r="P1870" s="5">
        <v>83536.241167211992</v>
      </c>
      <c r="Q1870" s="5">
        <v>43417.41805414496</v>
      </c>
      <c r="R1870" s="5">
        <v>39263.770877572199</v>
      </c>
    </row>
    <row r="1871" spans="9:18">
      <c r="I1871" s="4">
        <v>1856</v>
      </c>
      <c r="J1871" s="5">
        <v>19121.054099180623</v>
      </c>
      <c r="K1871" s="5">
        <v>14017.262946034314</v>
      </c>
      <c r="L1871" s="5">
        <v>15487.970507365942</v>
      </c>
      <c r="M1871" s="5">
        <v>23908.621352410395</v>
      </c>
      <c r="N1871" s="5">
        <v>51261.622558090799</v>
      </c>
      <c r="O1871" s="5">
        <v>59207.798737851255</v>
      </c>
      <c r="P1871" s="5">
        <v>12639.596794453437</v>
      </c>
      <c r="Q1871" s="5">
        <v>37497.234505125656</v>
      </c>
      <c r="R1871" s="5">
        <v>39788.288251916689</v>
      </c>
    </row>
    <row r="1872" spans="9:18">
      <c r="I1872" s="4">
        <v>1857</v>
      </c>
      <c r="J1872" s="5">
        <v>43272.831879770602</v>
      </c>
      <c r="K1872" s="5">
        <v>11206.053243692098</v>
      </c>
      <c r="L1872" s="5">
        <v>16014.071850041886</v>
      </c>
      <c r="M1872" s="5">
        <v>12934.591863415189</v>
      </c>
      <c r="N1872" s="5">
        <v>11604.12831603515</v>
      </c>
      <c r="O1872" s="5">
        <v>13840.304699955392</v>
      </c>
      <c r="P1872" s="5">
        <v>44816.412248582856</v>
      </c>
      <c r="Q1872" s="5">
        <v>11928.872068442162</v>
      </c>
      <c r="R1872" s="5">
        <v>55106.806585409526</v>
      </c>
    </row>
    <row r="1873" spans="9:18">
      <c r="I1873" s="4">
        <v>1858</v>
      </c>
      <c r="J1873" s="5">
        <v>31053.540961463306</v>
      </c>
      <c r="K1873" s="5">
        <v>16934.093371663999</v>
      </c>
      <c r="L1873" s="5">
        <v>14649.721476864312</v>
      </c>
      <c r="M1873" s="5">
        <v>32751.734100446065</v>
      </c>
      <c r="N1873" s="5">
        <v>20583.564383988036</v>
      </c>
      <c r="O1873" s="5">
        <v>16462.170789592048</v>
      </c>
      <c r="P1873" s="5">
        <v>9482.0186426688688</v>
      </c>
      <c r="Q1873" s="5">
        <v>71213.172792303565</v>
      </c>
      <c r="R1873" s="5">
        <v>19133.693426869788</v>
      </c>
    </row>
    <row r="1874" spans="9:18">
      <c r="I1874" s="4">
        <v>1859</v>
      </c>
      <c r="J1874" s="5">
        <v>28590.354879265724</v>
      </c>
      <c r="K1874" s="5">
        <v>16674.541027260992</v>
      </c>
      <c r="L1874" s="5">
        <v>13023.361770761438</v>
      </c>
      <c r="M1874" s="5">
        <v>13011.820191946215</v>
      </c>
      <c r="N1874" s="5">
        <v>20718.434293991453</v>
      </c>
      <c r="O1874" s="5">
        <v>16462.170789592048</v>
      </c>
      <c r="P1874" s="5">
        <v>9811.9720599964548</v>
      </c>
      <c r="Q1874" s="5">
        <v>28567.61306643406</v>
      </c>
      <c r="R1874" s="5">
        <v>123773.40402252052</v>
      </c>
    </row>
    <row r="1875" spans="9:18">
      <c r="I1875" s="4">
        <v>1860</v>
      </c>
      <c r="J1875" s="5">
        <v>12888.204629170894</v>
      </c>
      <c r="K1875" s="5">
        <v>35488.449387009874</v>
      </c>
      <c r="L1875" s="5">
        <v>17845.207337527903</v>
      </c>
      <c r="M1875" s="5">
        <v>12426.949970383979</v>
      </c>
      <c r="N1875" s="5">
        <v>13909.728487455486</v>
      </c>
      <c r="O1875" s="5">
        <v>27195.510785031525</v>
      </c>
      <c r="P1875" s="5">
        <v>16574.429708560569</v>
      </c>
      <c r="Q1875" s="5">
        <v>31855.809428519857</v>
      </c>
      <c r="R1875" s="5">
        <v>2071.5141323269809</v>
      </c>
    </row>
    <row r="1876" spans="9:18">
      <c r="I1876" s="4">
        <v>1861</v>
      </c>
      <c r="J1876" s="5">
        <v>13391.049101507895</v>
      </c>
      <c r="K1876" s="5">
        <v>13520.836427679104</v>
      </c>
      <c r="L1876" s="5">
        <v>15060.431658965737</v>
      </c>
      <c r="M1876" s="5">
        <v>19433.64679949253</v>
      </c>
      <c r="N1876" s="5">
        <v>32184.535272543482</v>
      </c>
      <c r="O1876" s="5">
        <v>18637.945795127704</v>
      </c>
      <c r="P1876" s="5">
        <v>9047.5556949992188</v>
      </c>
      <c r="Q1876" s="5">
        <v>4631.7430487757983</v>
      </c>
      <c r="R1876" s="5">
        <v>31715.273557891396</v>
      </c>
    </row>
    <row r="1877" spans="9:18">
      <c r="I1877" s="4">
        <v>1862</v>
      </c>
      <c r="J1877" s="5">
        <v>15417.870921574262</v>
      </c>
      <c r="K1877" s="5">
        <v>23934.551191616061</v>
      </c>
      <c r="L1877" s="5">
        <v>14649.721476864312</v>
      </c>
      <c r="M1877" s="5">
        <v>11860.862376247747</v>
      </c>
      <c r="N1877" s="5">
        <v>26565.664379767408</v>
      </c>
      <c r="O1877" s="5">
        <v>11282.178219986479</v>
      </c>
      <c r="P1877" s="5">
        <v>46514.467673254068</v>
      </c>
      <c r="Q1877" s="5">
        <v>3909.239690544402</v>
      </c>
      <c r="R1877" s="5">
        <v>72640.340924600489</v>
      </c>
    </row>
    <row r="1878" spans="9:18">
      <c r="I1878" s="4">
        <v>1863</v>
      </c>
      <c r="J1878" s="5">
        <v>34933.039312618188</v>
      </c>
      <c r="K1878" s="5">
        <v>13331.01856102917</v>
      </c>
      <c r="L1878" s="5">
        <v>21954.536591034263</v>
      </c>
      <c r="M1878" s="5">
        <v>25580.243606220469</v>
      </c>
      <c r="N1878" s="5">
        <v>22511.351424689696</v>
      </c>
      <c r="O1878" s="5">
        <v>9869.5889207969612</v>
      </c>
      <c r="P1878" s="5">
        <v>13793.886507202402</v>
      </c>
      <c r="Q1878" s="5">
        <v>28567.61306643406</v>
      </c>
      <c r="R1878" s="5">
        <v>10885.018205103002</v>
      </c>
    </row>
    <row r="1879" spans="9:18">
      <c r="I1879" s="4">
        <v>1864</v>
      </c>
      <c r="J1879" s="5">
        <v>16710.807721801892</v>
      </c>
      <c r="K1879" s="5">
        <v>15768.312122029349</v>
      </c>
      <c r="L1879" s="5">
        <v>17920.486090689363</v>
      </c>
      <c r="M1879" s="5">
        <v>10111.451009425113</v>
      </c>
      <c r="N1879" s="5">
        <v>12592.300437162297</v>
      </c>
      <c r="O1879" s="5">
        <v>27062.73412298776</v>
      </c>
      <c r="P1879" s="5">
        <v>83536.241167211992</v>
      </c>
      <c r="Q1879" s="5">
        <v>28797.29222718185</v>
      </c>
      <c r="R1879" s="5">
        <v>44707.053087992797</v>
      </c>
    </row>
    <row r="1880" spans="9:18">
      <c r="I1880" s="4">
        <v>1865</v>
      </c>
      <c r="J1880" s="5">
        <v>13918.242013140338</v>
      </c>
      <c r="K1880" s="5">
        <v>34058.671324159091</v>
      </c>
      <c r="L1880" s="5">
        <v>14264.23790876064</v>
      </c>
      <c r="M1880" s="5">
        <v>16510.442870615672</v>
      </c>
      <c r="N1880" s="5">
        <v>27833.630848857778</v>
      </c>
      <c r="O1880" s="5">
        <v>10369.402667058452</v>
      </c>
      <c r="P1880" s="5">
        <v>40377.463755170742</v>
      </c>
      <c r="Q1880" s="5">
        <v>3272.4685014937832</v>
      </c>
      <c r="R1880" s="5">
        <v>38898.713625068609</v>
      </c>
    </row>
    <row r="1881" spans="9:18">
      <c r="I1881" s="4">
        <v>1866</v>
      </c>
      <c r="J1881" s="5">
        <v>15130.594750069789</v>
      </c>
      <c r="K1881" s="5">
        <v>9739.7813029644258</v>
      </c>
      <c r="L1881" s="5">
        <v>15759.954187048656</v>
      </c>
      <c r="M1881" s="5">
        <v>21272.00214469912</v>
      </c>
      <c r="N1881" s="5">
        <v>12592.300437162297</v>
      </c>
      <c r="O1881" s="5">
        <v>9320.7026593487881</v>
      </c>
      <c r="P1881" s="5">
        <v>55152.110177667731</v>
      </c>
      <c r="Q1881" s="5">
        <v>17493.456269945855</v>
      </c>
      <c r="R1881" s="5">
        <v>7201.7586694681067</v>
      </c>
    </row>
    <row r="1882" spans="9:18">
      <c r="I1882" s="4">
        <v>1867</v>
      </c>
      <c r="J1882" s="5">
        <v>27392.038553726634</v>
      </c>
      <c r="K1882" s="5">
        <v>13652.224205833634</v>
      </c>
      <c r="L1882" s="5">
        <v>15664.99858445921</v>
      </c>
      <c r="M1882" s="5">
        <v>16510.442870615672</v>
      </c>
      <c r="N1882" s="5">
        <v>12592.300437162297</v>
      </c>
      <c r="O1882" s="5">
        <v>15936.062371781712</v>
      </c>
      <c r="P1882" s="5">
        <v>38771.994792132391</v>
      </c>
      <c r="Q1882" s="5">
        <v>4631.7430487757983</v>
      </c>
      <c r="R1882" s="5">
        <v>6681.1887184356683</v>
      </c>
    </row>
    <row r="1883" spans="9:18">
      <c r="I1883" s="4">
        <v>1868</v>
      </c>
      <c r="J1883" s="5">
        <v>11854.381651026555</v>
      </c>
      <c r="K1883" s="5">
        <v>23327.217259521742</v>
      </c>
      <c r="L1883" s="5">
        <v>15126.980926457318</v>
      </c>
      <c r="M1883" s="5">
        <v>21332.072353846772</v>
      </c>
      <c r="N1883" s="5">
        <v>20558.672182394013</v>
      </c>
      <c r="O1883" s="5">
        <v>41653.890350944224</v>
      </c>
      <c r="P1883" s="5">
        <v>18862.487147419793</v>
      </c>
      <c r="Q1883" s="5">
        <v>148345.62878828164</v>
      </c>
      <c r="R1883" s="5">
        <v>17687.533637716911</v>
      </c>
    </row>
    <row r="1884" spans="9:18">
      <c r="I1884" s="4">
        <v>1869</v>
      </c>
      <c r="J1884" s="5">
        <v>19121.054099180623</v>
      </c>
      <c r="K1884" s="5">
        <v>12423.491400404893</v>
      </c>
      <c r="L1884" s="5">
        <v>14146.191653372813</v>
      </c>
      <c r="M1884" s="5">
        <v>20185.026038758231</v>
      </c>
      <c r="N1884" s="5">
        <v>9209.4418830788036</v>
      </c>
      <c r="O1884" s="5">
        <v>49114.195066822271</v>
      </c>
      <c r="P1884" s="5">
        <v>45161.732159568586</v>
      </c>
      <c r="Q1884" s="5">
        <v>4631.7430487757983</v>
      </c>
      <c r="R1884" s="5">
        <v>8720.6503563381029</v>
      </c>
    </row>
    <row r="1885" spans="9:18">
      <c r="I1885" s="4">
        <v>1870</v>
      </c>
      <c r="J1885" s="5">
        <v>16088.430030489333</v>
      </c>
      <c r="K1885" s="5">
        <v>15428.770955406064</v>
      </c>
      <c r="L1885" s="5">
        <v>15300.182042823812</v>
      </c>
      <c r="M1885" s="5">
        <v>17542.15972125496</v>
      </c>
      <c r="N1885" s="5">
        <v>39672.376281023731</v>
      </c>
      <c r="O1885" s="5">
        <v>27195.510785031525</v>
      </c>
      <c r="P1885" s="5">
        <v>21933.779100635442</v>
      </c>
      <c r="Q1885" s="5">
        <v>73941.636731325911</v>
      </c>
      <c r="R1885" s="5">
        <v>26783.439354489365</v>
      </c>
    </row>
    <row r="1886" spans="9:18">
      <c r="I1886" s="4">
        <v>1871</v>
      </c>
      <c r="J1886" s="5">
        <v>20768.286261788198</v>
      </c>
      <c r="K1886" s="5">
        <v>18218.584572172625</v>
      </c>
      <c r="L1886" s="5">
        <v>14796.875457021113</v>
      </c>
      <c r="M1886" s="5">
        <v>13065.820809359835</v>
      </c>
      <c r="N1886" s="5">
        <v>21933.097106966918</v>
      </c>
      <c r="O1886" s="5">
        <v>16524.769946939996</v>
      </c>
      <c r="P1886" s="5">
        <v>22601.57564624758</v>
      </c>
      <c r="Q1886" s="5">
        <v>18097.768262249352</v>
      </c>
      <c r="R1886" s="5">
        <v>72561.496699005787</v>
      </c>
    </row>
    <row r="1887" spans="9:18">
      <c r="I1887" s="4">
        <v>1872</v>
      </c>
      <c r="J1887" s="5">
        <v>13391.049101507895</v>
      </c>
      <c r="K1887" s="5">
        <v>15428.770955406064</v>
      </c>
      <c r="L1887" s="5">
        <v>22319.409576580376</v>
      </c>
      <c r="M1887" s="5">
        <v>21332.072353846772</v>
      </c>
      <c r="N1887" s="5">
        <v>48565.498233359976</v>
      </c>
      <c r="O1887" s="5">
        <v>25604.597681740845</v>
      </c>
      <c r="P1887" s="5">
        <v>3930.0915591834291</v>
      </c>
      <c r="Q1887" s="5">
        <v>17493.456269945855</v>
      </c>
      <c r="R1887" s="5">
        <v>55106.806585409526</v>
      </c>
    </row>
    <row r="1888" spans="9:18">
      <c r="I1888" s="4">
        <v>1873</v>
      </c>
      <c r="J1888" s="5">
        <v>16305.770155972396</v>
      </c>
      <c r="K1888" s="5">
        <v>22732.797143159998</v>
      </c>
      <c r="L1888" s="5">
        <v>13037.115556745504</v>
      </c>
      <c r="M1888" s="5">
        <v>21913.431401527439</v>
      </c>
      <c r="N1888" s="5">
        <v>9989.086510768735</v>
      </c>
      <c r="O1888" s="5">
        <v>25802.481365323994</v>
      </c>
      <c r="P1888" s="5">
        <v>38771.994792132391</v>
      </c>
      <c r="Q1888" s="5">
        <v>28078.365156847896</v>
      </c>
      <c r="R1888" s="5">
        <v>46004.399892616471</v>
      </c>
    </row>
    <row r="1889" spans="9:18">
      <c r="I1889" s="4">
        <v>1874</v>
      </c>
      <c r="J1889" s="5">
        <v>16416.142496463777</v>
      </c>
      <c r="K1889" s="5">
        <v>15768.312122029349</v>
      </c>
      <c r="L1889" s="5">
        <v>11827.803406885578</v>
      </c>
      <c r="M1889" s="5">
        <v>16510.442870615672</v>
      </c>
      <c r="N1889" s="5">
        <v>13511.694619545402</v>
      </c>
      <c r="O1889" s="5">
        <v>10270.120415297655</v>
      </c>
      <c r="P1889" s="5">
        <v>9811.9720599964548</v>
      </c>
      <c r="Q1889" s="5">
        <v>31019.493883163672</v>
      </c>
      <c r="R1889" s="5">
        <v>26783.439354489365</v>
      </c>
    </row>
    <row r="1890" spans="9:18">
      <c r="I1890" s="4">
        <v>1875</v>
      </c>
      <c r="J1890" s="5">
        <v>16459.003095225507</v>
      </c>
      <c r="K1890" s="5">
        <v>11149.572204897504</v>
      </c>
      <c r="L1890" s="5">
        <v>22018.381599979773</v>
      </c>
      <c r="M1890" s="5">
        <v>15586.009710351766</v>
      </c>
      <c r="N1890" s="5">
        <v>8104.6265149430556</v>
      </c>
      <c r="O1890" s="5">
        <v>20930.098352661731</v>
      </c>
      <c r="P1890" s="5">
        <v>13793.886507202402</v>
      </c>
      <c r="Q1890" s="5">
        <v>100789.83462564547</v>
      </c>
      <c r="R1890" s="5">
        <v>8130.5639219412278</v>
      </c>
    </row>
    <row r="1891" spans="9:18">
      <c r="I1891" s="4">
        <v>1876</v>
      </c>
      <c r="J1891" s="5">
        <v>16733.020222212988</v>
      </c>
      <c r="K1891" s="5">
        <v>13719.930466819731</v>
      </c>
      <c r="L1891" s="5">
        <v>13023.361770761438</v>
      </c>
      <c r="M1891" s="5">
        <v>20041.623430301417</v>
      </c>
      <c r="N1891" s="5">
        <v>21617.945168312468</v>
      </c>
      <c r="O1891" s="5">
        <v>10369.402667058452</v>
      </c>
      <c r="P1891" s="5">
        <v>27452.975716953504</v>
      </c>
      <c r="Q1891" s="5">
        <v>13099.063525342741</v>
      </c>
      <c r="R1891" s="5">
        <v>12116.34255245842</v>
      </c>
    </row>
    <row r="1892" spans="9:18">
      <c r="I1892" s="4">
        <v>1877</v>
      </c>
      <c r="J1892" s="5">
        <v>15623.733864199699</v>
      </c>
      <c r="K1892" s="5">
        <v>19467.955014411935</v>
      </c>
      <c r="L1892" s="5">
        <v>10896.494237357269</v>
      </c>
      <c r="M1892" s="5">
        <v>29041.83725675238</v>
      </c>
      <c r="N1892" s="5">
        <v>23583.581287126868</v>
      </c>
      <c r="O1892" s="5">
        <v>16505.600261180331</v>
      </c>
      <c r="P1892" s="5">
        <v>34768.042801665702</v>
      </c>
      <c r="Q1892" s="5">
        <v>47365.380972950254</v>
      </c>
      <c r="R1892" s="5">
        <v>72561.496699005787</v>
      </c>
    </row>
    <row r="1893" spans="9:18">
      <c r="I1893" s="4">
        <v>1878</v>
      </c>
      <c r="J1893" s="5">
        <v>13447.638004246244</v>
      </c>
      <c r="K1893" s="5">
        <v>14017.262946034314</v>
      </c>
      <c r="L1893" s="5">
        <v>15759.954187048656</v>
      </c>
      <c r="M1893" s="5">
        <v>19890.009981657669</v>
      </c>
      <c r="N1893" s="5">
        <v>20718.434293991453</v>
      </c>
      <c r="O1893" s="5">
        <v>27062.73412298776</v>
      </c>
      <c r="P1893" s="5">
        <v>33715.790977629549</v>
      </c>
      <c r="Q1893" s="5">
        <v>9645.8788061228515</v>
      </c>
      <c r="R1893" s="5">
        <v>62674.060343500474</v>
      </c>
    </row>
    <row r="1894" spans="9:18">
      <c r="I1894" s="4">
        <v>1879</v>
      </c>
      <c r="J1894" s="5">
        <v>14960.076233580705</v>
      </c>
      <c r="K1894" s="5">
        <v>6949.5708823216592</v>
      </c>
      <c r="L1894" s="5">
        <v>15161.007794371622</v>
      </c>
      <c r="M1894" s="5">
        <v>18177.175180585615</v>
      </c>
      <c r="N1894" s="5">
        <v>21009.255892677338</v>
      </c>
      <c r="O1894" s="5">
        <v>53504.725169095313</v>
      </c>
      <c r="P1894" s="5">
        <v>27373.102585108634</v>
      </c>
      <c r="Q1894" s="5">
        <v>12253.299944531094</v>
      </c>
      <c r="R1894" s="5">
        <v>14706.681111065362</v>
      </c>
    </row>
    <row r="1895" spans="9:18">
      <c r="I1895" s="4">
        <v>1880</v>
      </c>
      <c r="J1895" s="5">
        <v>16511.332839561353</v>
      </c>
      <c r="K1895" s="5">
        <v>14674.169276244838</v>
      </c>
      <c r="L1895" s="5">
        <v>17920.486090689363</v>
      </c>
      <c r="M1895" s="5">
        <v>41403.687663920646</v>
      </c>
      <c r="N1895" s="5">
        <v>11635.644856128632</v>
      </c>
      <c r="O1895" s="5">
        <v>83458.030763693328</v>
      </c>
      <c r="P1895" s="5">
        <v>9633.1652908310007</v>
      </c>
      <c r="Q1895" s="5">
        <v>7457.1844090365566</v>
      </c>
      <c r="R1895" s="5">
        <v>123773.40402252052</v>
      </c>
    </row>
    <row r="1896" spans="9:18">
      <c r="I1896" s="4">
        <v>1881</v>
      </c>
      <c r="J1896" s="5">
        <v>14594.990625703947</v>
      </c>
      <c r="K1896" s="5">
        <v>15782.544184844044</v>
      </c>
      <c r="L1896" s="5">
        <v>17311.244744664215</v>
      </c>
      <c r="M1896" s="5">
        <v>23067.94260629595</v>
      </c>
      <c r="N1896" s="5">
        <v>17891.96347244953</v>
      </c>
      <c r="O1896" s="5">
        <v>13613.378495715853</v>
      </c>
      <c r="P1896" s="5">
        <v>26126.807131356076</v>
      </c>
      <c r="Q1896" s="5">
        <v>31618.396253255491</v>
      </c>
      <c r="R1896" s="5">
        <v>20236.767651156802</v>
      </c>
    </row>
    <row r="1897" spans="9:18">
      <c r="I1897" s="4">
        <v>1882</v>
      </c>
      <c r="J1897" s="5">
        <v>12888.204629170894</v>
      </c>
      <c r="K1897" s="5">
        <v>13288.692555879701</v>
      </c>
      <c r="L1897" s="5">
        <v>15651.346103181355</v>
      </c>
      <c r="M1897" s="5">
        <v>18691.941789825862</v>
      </c>
      <c r="N1897" s="5">
        <v>14335.478134989447</v>
      </c>
      <c r="O1897" s="5">
        <v>51330.340277512776</v>
      </c>
      <c r="P1897" s="5">
        <v>23769.190223735484</v>
      </c>
      <c r="Q1897" s="5">
        <v>7457.1844090365566</v>
      </c>
      <c r="R1897" s="5">
        <v>16039.216896723072</v>
      </c>
    </row>
    <row r="1898" spans="9:18">
      <c r="I1898" s="4">
        <v>1883</v>
      </c>
      <c r="J1898" s="5">
        <v>12056.41843703942</v>
      </c>
      <c r="K1898" s="5">
        <v>12423.491400404893</v>
      </c>
      <c r="L1898" s="5">
        <v>14649.721476864312</v>
      </c>
      <c r="M1898" s="5">
        <v>17542.15972125496</v>
      </c>
      <c r="N1898" s="5">
        <v>12523.573732460784</v>
      </c>
      <c r="O1898" s="5">
        <v>27084.483614751469</v>
      </c>
      <c r="P1898" s="5">
        <v>24349.301972630979</v>
      </c>
      <c r="Q1898" s="5">
        <v>37073.980790337926</v>
      </c>
      <c r="R1898" s="5">
        <v>89167.415757270224</v>
      </c>
    </row>
    <row r="1899" spans="9:18">
      <c r="I1899" s="4">
        <v>1884</v>
      </c>
      <c r="J1899" s="5">
        <v>11036.461796239426</v>
      </c>
      <c r="K1899" s="5">
        <v>16665.1498926479</v>
      </c>
      <c r="L1899" s="5">
        <v>13037.115556745504</v>
      </c>
      <c r="M1899" s="5">
        <v>18691.941789825862</v>
      </c>
      <c r="N1899" s="5">
        <v>24314.043643333731</v>
      </c>
      <c r="O1899" s="5">
        <v>25604.597681740845</v>
      </c>
      <c r="P1899" s="5">
        <v>10733.318076105543</v>
      </c>
      <c r="Q1899" s="5">
        <v>70295.978314632754</v>
      </c>
      <c r="R1899" s="5">
        <v>8046.7106309763258</v>
      </c>
    </row>
    <row r="1900" spans="9:18">
      <c r="I1900" s="4">
        <v>1885</v>
      </c>
      <c r="J1900" s="5">
        <v>14344.692898101612</v>
      </c>
      <c r="K1900" s="5">
        <v>29672.680843304515</v>
      </c>
      <c r="L1900" s="5">
        <v>16017.890956041876</v>
      </c>
      <c r="M1900" s="5">
        <v>24981.974172352908</v>
      </c>
      <c r="N1900" s="5">
        <v>16148.901635865295</v>
      </c>
      <c r="O1900" s="5">
        <v>10270.120415297655</v>
      </c>
      <c r="P1900" s="5">
        <v>14316.965520592317</v>
      </c>
      <c r="Q1900" s="5">
        <v>17493.456269945855</v>
      </c>
      <c r="R1900" s="5">
        <v>46004.399892616471</v>
      </c>
    </row>
    <row r="1901" spans="9:18">
      <c r="I1901" s="4">
        <v>1886</v>
      </c>
      <c r="J1901" s="5">
        <v>9368.8270679249108</v>
      </c>
      <c r="K1901" s="5">
        <v>17003.901855709089</v>
      </c>
      <c r="L1901" s="5">
        <v>22412.045018675239</v>
      </c>
      <c r="M1901" s="5">
        <v>22961.931350882205</v>
      </c>
      <c r="N1901" s="5">
        <v>9563.1256545330361</v>
      </c>
      <c r="O1901" s="5">
        <v>40581.847217937895</v>
      </c>
      <c r="P1901" s="5">
        <v>5735.6883097179207</v>
      </c>
      <c r="Q1901" s="5">
        <v>4631.7430487757983</v>
      </c>
      <c r="R1901" s="5">
        <v>5865.9802599669383</v>
      </c>
    </row>
    <row r="1902" spans="9:18">
      <c r="I1902" s="4">
        <v>1887</v>
      </c>
      <c r="J1902" s="5">
        <v>14741.240040396578</v>
      </c>
      <c r="K1902" s="5">
        <v>14878.52734402675</v>
      </c>
      <c r="L1902" s="5">
        <v>22018.381599979773</v>
      </c>
      <c r="M1902" s="5">
        <v>11680.747299075838</v>
      </c>
      <c r="N1902" s="5">
        <v>17214.078970533748</v>
      </c>
      <c r="O1902" s="5">
        <v>13519.384207850644</v>
      </c>
      <c r="P1902" s="5">
        <v>22708.601480587709</v>
      </c>
      <c r="Q1902" s="5">
        <v>15623.622662102793</v>
      </c>
      <c r="R1902" s="5">
        <v>3989.7956692889929</v>
      </c>
    </row>
    <row r="1903" spans="9:18">
      <c r="I1903" s="4">
        <v>1888</v>
      </c>
      <c r="J1903" s="5">
        <v>26634.853073396614</v>
      </c>
      <c r="K1903" s="5">
        <v>19467.955014411935</v>
      </c>
      <c r="L1903" s="5">
        <v>25007.552172398639</v>
      </c>
      <c r="M1903" s="5">
        <v>15346.383801976139</v>
      </c>
      <c r="N1903" s="5">
        <v>23583.581287126868</v>
      </c>
      <c r="O1903" s="5">
        <v>26565.882515615398</v>
      </c>
      <c r="P1903" s="5">
        <v>3831.1492650071077</v>
      </c>
      <c r="Q1903" s="5">
        <v>4631.7430487757983</v>
      </c>
      <c r="R1903" s="5">
        <v>3311.4906988006405</v>
      </c>
    </row>
    <row r="1904" spans="9:18">
      <c r="I1904" s="4">
        <v>1889</v>
      </c>
      <c r="J1904" s="5">
        <v>20768.286261788198</v>
      </c>
      <c r="K1904" s="5">
        <v>15129.619337591721</v>
      </c>
      <c r="L1904" s="5">
        <v>23561.450544884348</v>
      </c>
      <c r="M1904" s="5">
        <v>19097.39635881727</v>
      </c>
      <c r="N1904" s="5">
        <v>63974.903847153939</v>
      </c>
      <c r="O1904" s="5">
        <v>24369.28567093279</v>
      </c>
      <c r="P1904" s="5">
        <v>21039.927746191301</v>
      </c>
      <c r="Q1904" s="5">
        <v>8832.660767995616</v>
      </c>
      <c r="R1904" s="5">
        <v>12194.45251033065</v>
      </c>
    </row>
    <row r="1905" spans="9:18">
      <c r="I1905" s="4">
        <v>1890</v>
      </c>
      <c r="J1905" s="5">
        <v>14017.326487344162</v>
      </c>
      <c r="K1905" s="5">
        <v>11206.053243692098</v>
      </c>
      <c r="L1905" s="5">
        <v>15359.132481533357</v>
      </c>
      <c r="M1905" s="5">
        <v>16881.579299055</v>
      </c>
      <c r="N1905" s="5">
        <v>11751.639947035985</v>
      </c>
      <c r="O1905" s="5">
        <v>12110.196126281628</v>
      </c>
      <c r="P1905" s="5">
        <v>10733.318076105543</v>
      </c>
      <c r="Q1905" s="5">
        <v>42044.890065817184</v>
      </c>
      <c r="R1905" s="5">
        <v>89167.415757270224</v>
      </c>
    </row>
    <row r="1906" spans="9:18">
      <c r="I1906" s="4">
        <v>1891</v>
      </c>
      <c r="J1906" s="5">
        <v>28169.050633834027</v>
      </c>
      <c r="K1906" s="5">
        <v>12423.491400404893</v>
      </c>
      <c r="L1906" s="5">
        <v>17482.478480142941</v>
      </c>
      <c r="M1906" s="5">
        <v>29041.83725675238</v>
      </c>
      <c r="N1906" s="5">
        <v>57711.498171893618</v>
      </c>
      <c r="O1906" s="5">
        <v>40942.522561879181</v>
      </c>
      <c r="P1906" s="5">
        <v>14376.883105731285</v>
      </c>
      <c r="Q1906" s="5">
        <v>8832.660767995616</v>
      </c>
      <c r="R1906" s="5">
        <v>7952.6989268572033</v>
      </c>
    </row>
    <row r="1907" spans="9:18">
      <c r="I1907" s="4">
        <v>1892</v>
      </c>
      <c r="J1907" s="5">
        <v>28169.050633834027</v>
      </c>
      <c r="K1907" s="5">
        <v>12423.491400404893</v>
      </c>
      <c r="L1907" s="5">
        <v>24256.352541181568</v>
      </c>
      <c r="M1907" s="5">
        <v>11529.920007560097</v>
      </c>
      <c r="N1907" s="5">
        <v>16148.901635865295</v>
      </c>
      <c r="O1907" s="5">
        <v>12110.196126281628</v>
      </c>
      <c r="P1907" s="5">
        <v>36724.352187786957</v>
      </c>
      <c r="Q1907" s="5">
        <v>79566.621912742485</v>
      </c>
      <c r="R1907" s="5">
        <v>91403.228438796665</v>
      </c>
    </row>
    <row r="1908" spans="9:18">
      <c r="I1908" s="4">
        <v>1893</v>
      </c>
      <c r="J1908" s="5">
        <v>14344.692898101612</v>
      </c>
      <c r="K1908" s="5">
        <v>13288.692555879701</v>
      </c>
      <c r="L1908" s="5">
        <v>15759.954187048656</v>
      </c>
      <c r="M1908" s="5">
        <v>12987.517521908694</v>
      </c>
      <c r="N1908" s="5">
        <v>14335.478134989447</v>
      </c>
      <c r="O1908" s="5">
        <v>24258.192244316608</v>
      </c>
      <c r="P1908" s="5">
        <v>24349.301972630979</v>
      </c>
      <c r="Q1908" s="5">
        <v>42044.890065817184</v>
      </c>
      <c r="R1908" s="5">
        <v>14706.681111065362</v>
      </c>
    </row>
    <row r="1909" spans="9:18">
      <c r="I1909" s="4">
        <v>1894</v>
      </c>
      <c r="J1909" s="5">
        <v>15064.079707240266</v>
      </c>
      <c r="K1909" s="5">
        <v>15347.101709242541</v>
      </c>
      <c r="L1909" s="5">
        <v>15922.087958863045</v>
      </c>
      <c r="M1909" s="5">
        <v>19042.78605337895</v>
      </c>
      <c r="N1909" s="5">
        <v>39406.658185292261</v>
      </c>
      <c r="O1909" s="5">
        <v>27503.656957929088</v>
      </c>
      <c r="P1909" s="5">
        <v>9965.8330787532959</v>
      </c>
      <c r="Q1909" s="5">
        <v>37802.358878968138</v>
      </c>
      <c r="R1909" s="5">
        <v>41056.152565483346</v>
      </c>
    </row>
    <row r="1910" spans="9:18">
      <c r="I1910" s="4">
        <v>1895</v>
      </c>
      <c r="J1910" s="5">
        <v>9368.8270679249108</v>
      </c>
      <c r="K1910" s="5">
        <v>35488.449387009874</v>
      </c>
      <c r="L1910" s="5">
        <v>27289.607394458035</v>
      </c>
      <c r="M1910" s="5">
        <v>16500.222621933419</v>
      </c>
      <c r="N1910" s="5">
        <v>16148.901635865295</v>
      </c>
      <c r="O1910" s="5">
        <v>26268.613803794757</v>
      </c>
      <c r="P1910" s="5">
        <v>3017.2887813579896</v>
      </c>
      <c r="Q1910" s="5">
        <v>27018.509959127641</v>
      </c>
      <c r="R1910" s="5">
        <v>17687.533637716911</v>
      </c>
    </row>
    <row r="1911" spans="9:18">
      <c r="I1911" s="4">
        <v>1896</v>
      </c>
      <c r="J1911" s="5">
        <v>13045.114546182727</v>
      </c>
      <c r="K1911" s="5">
        <v>11857.447519815871</v>
      </c>
      <c r="L1911" s="5">
        <v>16451.333928028147</v>
      </c>
      <c r="M1911" s="5">
        <v>23454.775510296178</v>
      </c>
      <c r="N1911" s="5">
        <v>24020.875410266352</v>
      </c>
      <c r="O1911" s="5">
        <v>30608.431994348266</v>
      </c>
      <c r="P1911" s="5">
        <v>9826.8369575407578</v>
      </c>
      <c r="Q1911" s="5">
        <v>8832.660767995616</v>
      </c>
      <c r="R1911" s="5">
        <v>261393.32711858812</v>
      </c>
    </row>
    <row r="1912" spans="9:18">
      <c r="I1912" s="4">
        <v>1897</v>
      </c>
      <c r="J1912" s="5">
        <v>14538.277247583976</v>
      </c>
      <c r="K1912" s="5">
        <v>19467.955014411935</v>
      </c>
      <c r="L1912" s="5">
        <v>14316.474075738101</v>
      </c>
      <c r="M1912" s="5">
        <v>29041.83725675238</v>
      </c>
      <c r="N1912" s="5">
        <v>16148.901635865295</v>
      </c>
      <c r="O1912" s="5">
        <v>15124.35050053727</v>
      </c>
      <c r="P1912" s="5">
        <v>95486.196907583406</v>
      </c>
      <c r="Q1912" s="5">
        <v>4924.9171270300558</v>
      </c>
      <c r="R1912" s="5">
        <v>122304.95880137496</v>
      </c>
    </row>
    <row r="1913" spans="9:18">
      <c r="I1913" s="4">
        <v>1898</v>
      </c>
      <c r="J1913" s="5">
        <v>28590.354879265724</v>
      </c>
      <c r="K1913" s="5">
        <v>13652.224205833634</v>
      </c>
      <c r="L1913" s="5">
        <v>27144.958215276103</v>
      </c>
      <c r="M1913" s="5">
        <v>29058.117767351498</v>
      </c>
      <c r="N1913" s="5">
        <v>23583.581287126868</v>
      </c>
      <c r="O1913" s="5">
        <v>45451.954570113048</v>
      </c>
      <c r="P1913" s="5">
        <v>10966.822219855034</v>
      </c>
      <c r="Q1913" s="5">
        <v>9652.8114206999071</v>
      </c>
      <c r="R1913" s="5">
        <v>34970.397641695177</v>
      </c>
    </row>
    <row r="1914" spans="9:18">
      <c r="I1914" s="4">
        <v>1899</v>
      </c>
      <c r="J1914" s="5">
        <v>17679.321624063952</v>
      </c>
      <c r="K1914" s="5">
        <v>11507.182177474708</v>
      </c>
      <c r="L1914" s="5">
        <v>15471.738323660695</v>
      </c>
      <c r="M1914" s="5">
        <v>14432.283063351901</v>
      </c>
      <c r="N1914" s="5">
        <v>12297.015342318469</v>
      </c>
      <c r="O1914" s="5">
        <v>10738.305003664611</v>
      </c>
      <c r="P1914" s="5">
        <v>5836.7810663002319</v>
      </c>
      <c r="Q1914" s="5">
        <v>19541.409060825732</v>
      </c>
      <c r="R1914" s="5">
        <v>8720.6503563381029</v>
      </c>
    </row>
    <row r="1915" spans="9:18">
      <c r="I1915" s="4">
        <v>1900</v>
      </c>
      <c r="J1915" s="5">
        <v>11936.262457073821</v>
      </c>
      <c r="K1915" s="5">
        <v>14095.75230105142</v>
      </c>
      <c r="L1915" s="5">
        <v>17073.17760523731</v>
      </c>
      <c r="M1915" s="5">
        <v>21332.072353846772</v>
      </c>
      <c r="N1915" s="5">
        <v>8104.6265149430556</v>
      </c>
      <c r="O1915" s="5">
        <v>40581.847217937895</v>
      </c>
      <c r="P1915" s="5">
        <v>21039.927746191301</v>
      </c>
      <c r="Q1915" s="5">
        <v>28797.29222718185</v>
      </c>
      <c r="R1915" s="5">
        <v>30571.564004538617</v>
      </c>
    </row>
    <row r="1916" spans="9:18">
      <c r="I1916" s="4">
        <v>1901</v>
      </c>
      <c r="J1916" s="5">
        <v>31559.699247539775</v>
      </c>
      <c r="K1916" s="5">
        <v>16952.949313901812</v>
      </c>
      <c r="L1916" s="5">
        <v>15161.007794371622</v>
      </c>
      <c r="M1916" s="5">
        <v>15586.009710351766</v>
      </c>
      <c r="N1916" s="5">
        <v>21931.347680292267</v>
      </c>
      <c r="O1916" s="5">
        <v>4231.3144655921506</v>
      </c>
      <c r="P1916" s="5">
        <v>14773.185437294762</v>
      </c>
      <c r="Q1916" s="5">
        <v>37277.391668005912</v>
      </c>
      <c r="R1916" s="5">
        <v>90296.353221228885</v>
      </c>
    </row>
    <row r="1917" spans="9:18">
      <c r="I1917" s="4">
        <v>1902</v>
      </c>
      <c r="J1917" s="5">
        <v>14420.293087375476</v>
      </c>
      <c r="K1917" s="5">
        <v>11857.447519815871</v>
      </c>
      <c r="L1917" s="5">
        <v>15923.549351835489</v>
      </c>
      <c r="M1917" s="5">
        <v>32751.734100446065</v>
      </c>
      <c r="N1917" s="5">
        <v>9563.1256545330361</v>
      </c>
      <c r="O1917" s="5">
        <v>9708.4497800977806</v>
      </c>
      <c r="P1917" s="5">
        <v>22601.57564624758</v>
      </c>
      <c r="Q1917" s="5">
        <v>11173.074396969254</v>
      </c>
      <c r="R1917" s="5">
        <v>90296.353221228885</v>
      </c>
    </row>
    <row r="1918" spans="9:18">
      <c r="I1918" s="4">
        <v>1903</v>
      </c>
      <c r="J1918" s="5">
        <v>22812.564910649318</v>
      </c>
      <c r="K1918" s="5">
        <v>10931.803935361211</v>
      </c>
      <c r="L1918" s="5">
        <v>16071.478531535273</v>
      </c>
      <c r="M1918" s="5">
        <v>29058.117767351498</v>
      </c>
      <c r="N1918" s="5">
        <v>25424.029865101274</v>
      </c>
      <c r="O1918" s="5">
        <v>30876.675913171162</v>
      </c>
      <c r="P1918" s="5">
        <v>22708.601480587709</v>
      </c>
      <c r="Q1918" s="5">
        <v>71213.172792303565</v>
      </c>
      <c r="R1918" s="5">
        <v>41056.152565483346</v>
      </c>
    </row>
    <row r="1919" spans="9:18">
      <c r="I1919" s="4">
        <v>1904</v>
      </c>
      <c r="J1919" s="5">
        <v>16305.770155972396</v>
      </c>
      <c r="K1919" s="5">
        <v>16605.655749562578</v>
      </c>
      <c r="L1919" s="5">
        <v>11827.803406885578</v>
      </c>
      <c r="M1919" s="5">
        <v>29041.83725675238</v>
      </c>
      <c r="N1919" s="5">
        <v>48565.498233359976</v>
      </c>
      <c r="O1919" s="5">
        <v>10270.120415297655</v>
      </c>
      <c r="P1919" s="5">
        <v>45161.732159568586</v>
      </c>
      <c r="Q1919" s="5">
        <v>116445.46783345108</v>
      </c>
      <c r="R1919" s="5">
        <v>19133.693426869788</v>
      </c>
    </row>
    <row r="1920" spans="9:18">
      <c r="I1920" s="4">
        <v>1905</v>
      </c>
      <c r="J1920" s="5">
        <v>13045.114546182727</v>
      </c>
      <c r="K1920" s="5">
        <v>56656.842992470461</v>
      </c>
      <c r="L1920" s="5">
        <v>22412.045018675239</v>
      </c>
      <c r="M1920" s="5">
        <v>31472.019071027709</v>
      </c>
      <c r="N1920" s="5">
        <v>11635.644856128632</v>
      </c>
      <c r="O1920" s="5">
        <v>55264.438774006347</v>
      </c>
      <c r="P1920" s="5">
        <v>9633.1652908310007</v>
      </c>
      <c r="Q1920" s="5">
        <v>9138.5169630896526</v>
      </c>
      <c r="R1920" s="5">
        <v>54594.567438884274</v>
      </c>
    </row>
    <row r="1921" spans="9:18">
      <c r="I1921" s="4">
        <v>1906</v>
      </c>
      <c r="J1921" s="5">
        <v>33627.941293959229</v>
      </c>
      <c r="K1921" s="5">
        <v>14854.898507619706</v>
      </c>
      <c r="L1921" s="5">
        <v>22018.381599979773</v>
      </c>
      <c r="M1921" s="5">
        <v>18043.539897080744</v>
      </c>
      <c r="N1921" s="5">
        <v>48565.498233359976</v>
      </c>
      <c r="O1921" s="5">
        <v>9320.7026593487881</v>
      </c>
      <c r="P1921" s="5">
        <v>20391.123772341358</v>
      </c>
      <c r="Q1921" s="5">
        <v>9645.8788061228515</v>
      </c>
      <c r="R1921" s="5">
        <v>8720.6503563381029</v>
      </c>
    </row>
    <row r="1922" spans="9:18">
      <c r="I1922" s="4">
        <v>1907</v>
      </c>
      <c r="J1922" s="5">
        <v>14594.990625703947</v>
      </c>
      <c r="K1922" s="5">
        <v>14579.232378315752</v>
      </c>
      <c r="L1922" s="5">
        <v>16017.890956041876</v>
      </c>
      <c r="M1922" s="5">
        <v>17542.15972125496</v>
      </c>
      <c r="N1922" s="5">
        <v>6130.3882288404347</v>
      </c>
      <c r="O1922" s="5">
        <v>20489.622805425737</v>
      </c>
      <c r="P1922" s="5">
        <v>10733.318076105543</v>
      </c>
      <c r="Q1922" s="5">
        <v>100789.83462564547</v>
      </c>
      <c r="R1922" s="5">
        <v>17991.870496434763</v>
      </c>
    </row>
    <row r="1923" spans="9:18">
      <c r="I1923" s="4">
        <v>1908</v>
      </c>
      <c r="J1923" s="5">
        <v>14749.343145806102</v>
      </c>
      <c r="K1923" s="5">
        <v>13719.930466819731</v>
      </c>
      <c r="L1923" s="5">
        <v>15832.5469007027</v>
      </c>
      <c r="M1923" s="5">
        <v>22961.931350882205</v>
      </c>
      <c r="N1923" s="5">
        <v>25549.748582175915</v>
      </c>
      <c r="O1923" s="5">
        <v>10270.120415297655</v>
      </c>
      <c r="P1923" s="5">
        <v>77603.711720266961</v>
      </c>
      <c r="Q1923" s="5">
        <v>3909.239690544402</v>
      </c>
      <c r="R1923" s="5">
        <v>2071.5141323269809</v>
      </c>
    </row>
    <row r="1924" spans="9:18">
      <c r="I1924" s="4">
        <v>1909</v>
      </c>
      <c r="J1924" s="5">
        <v>13045.114546182727</v>
      </c>
      <c r="K1924" s="5">
        <v>43843.85059185313</v>
      </c>
      <c r="L1924" s="5">
        <v>14364.472927446199</v>
      </c>
      <c r="M1924" s="5">
        <v>17370.588707072598</v>
      </c>
      <c r="N1924" s="5">
        <v>34295.124147811541</v>
      </c>
      <c r="O1924" s="5">
        <v>16462.170789592048</v>
      </c>
      <c r="P1924" s="5">
        <v>14316.965520592317</v>
      </c>
      <c r="Q1924" s="5">
        <v>9652.8114206999071</v>
      </c>
      <c r="R1924" s="5">
        <v>2071.5141323269809</v>
      </c>
    </row>
    <row r="1925" spans="9:18">
      <c r="I1925" s="4">
        <v>1910</v>
      </c>
      <c r="J1925" s="5">
        <v>12452.764985867625</v>
      </c>
      <c r="K1925" s="5">
        <v>13719.930466819731</v>
      </c>
      <c r="L1925" s="5">
        <v>15300.182042823812</v>
      </c>
      <c r="M1925" s="5">
        <v>31554.722481137964</v>
      </c>
      <c r="N1925" s="5">
        <v>24314.043643333731</v>
      </c>
      <c r="O1925" s="5">
        <v>20991.103410982985</v>
      </c>
      <c r="P1925" s="5">
        <v>31127.87225845682</v>
      </c>
      <c r="Q1925" s="5">
        <v>27789.973552634947</v>
      </c>
      <c r="R1925" s="5">
        <v>84289.422255274636</v>
      </c>
    </row>
    <row r="1926" spans="9:18">
      <c r="I1926" s="4">
        <v>1911</v>
      </c>
      <c r="J1926" s="5">
        <v>21150.169973104224</v>
      </c>
      <c r="K1926" s="5">
        <v>14674.169276244838</v>
      </c>
      <c r="L1926" s="5">
        <v>18810.091753970282</v>
      </c>
      <c r="M1926" s="5">
        <v>19433.64679949253</v>
      </c>
      <c r="N1926" s="5">
        <v>63974.903847153939</v>
      </c>
      <c r="O1926" s="5">
        <v>13519.384207850644</v>
      </c>
      <c r="P1926" s="5">
        <v>32155.527541400057</v>
      </c>
      <c r="Q1926" s="5">
        <v>71213.172792303565</v>
      </c>
      <c r="R1926" s="5">
        <v>2180.6148629084787</v>
      </c>
    </row>
    <row r="1927" spans="9:18">
      <c r="I1927" s="4">
        <v>1912</v>
      </c>
      <c r="J1927" s="5">
        <v>12701.339251949787</v>
      </c>
      <c r="K1927" s="5">
        <v>15428.770955406064</v>
      </c>
      <c r="L1927" s="5">
        <v>16616.161224349555</v>
      </c>
      <c r="M1927" s="5">
        <v>17349.963215818931</v>
      </c>
      <c r="N1927" s="5">
        <v>24314.043643333731</v>
      </c>
      <c r="O1927" s="5">
        <v>13550.031670770122</v>
      </c>
      <c r="P1927" s="5">
        <v>9811.9720599964548</v>
      </c>
      <c r="Q1927" s="5">
        <v>9652.8114206999071</v>
      </c>
      <c r="R1927" s="5">
        <v>23583.884732956092</v>
      </c>
    </row>
    <row r="1928" spans="9:18">
      <c r="I1928" s="4">
        <v>1913</v>
      </c>
      <c r="J1928" s="5">
        <v>17005.744061105343</v>
      </c>
      <c r="K1928" s="5">
        <v>24728.095385476983</v>
      </c>
      <c r="L1928" s="5">
        <v>23760.785349782636</v>
      </c>
      <c r="M1928" s="5">
        <v>31460.745851561904</v>
      </c>
      <c r="N1928" s="5">
        <v>12297.015342318469</v>
      </c>
      <c r="O1928" s="5">
        <v>15936.062371781712</v>
      </c>
      <c r="P1928" s="5">
        <v>74840.036182179319</v>
      </c>
      <c r="Q1928" s="5">
        <v>52421.574537857021</v>
      </c>
      <c r="R1928" s="5">
        <v>18349.337771428582</v>
      </c>
    </row>
    <row r="1929" spans="9:18">
      <c r="I1929" s="4">
        <v>1914</v>
      </c>
      <c r="J1929" s="5">
        <v>31559.699247539775</v>
      </c>
      <c r="K1929" s="5">
        <v>13652.224205833634</v>
      </c>
      <c r="L1929" s="5">
        <v>19359.475411188432</v>
      </c>
      <c r="M1929" s="5">
        <v>9623.0342442006167</v>
      </c>
      <c r="N1929" s="5">
        <v>18410.937863650517</v>
      </c>
      <c r="O1929" s="5">
        <v>13117.417685535194</v>
      </c>
      <c r="P1929" s="5">
        <v>12790.85158217316</v>
      </c>
      <c r="Q1929" s="5">
        <v>30495.121067047665</v>
      </c>
      <c r="R1929" s="5">
        <v>114016.93673542379</v>
      </c>
    </row>
    <row r="1930" spans="9:18">
      <c r="I1930" s="4">
        <v>1915</v>
      </c>
      <c r="J1930" s="5">
        <v>43272.831879770602</v>
      </c>
      <c r="K1930" s="5">
        <v>7753.2116148734594</v>
      </c>
      <c r="L1930" s="5">
        <v>21428.663623484812</v>
      </c>
      <c r="M1930" s="5">
        <v>17370.588707072598</v>
      </c>
      <c r="N1930" s="5">
        <v>15251.140047572881</v>
      </c>
      <c r="O1930" s="5">
        <v>51330.340277512776</v>
      </c>
      <c r="P1930" s="5">
        <v>12790.85158217316</v>
      </c>
      <c r="Q1930" s="5">
        <v>15663.43865741136</v>
      </c>
      <c r="R1930" s="5">
        <v>34970.397641695177</v>
      </c>
    </row>
    <row r="1931" spans="9:18">
      <c r="I1931" s="4">
        <v>1916</v>
      </c>
      <c r="J1931" s="5">
        <v>14538.277247583976</v>
      </c>
      <c r="K1931" s="5">
        <v>32294.121255311245</v>
      </c>
      <c r="L1931" s="5">
        <v>19359.475411188432</v>
      </c>
      <c r="M1931" s="5">
        <v>30785.663999045999</v>
      </c>
      <c r="N1931" s="5">
        <v>24853.247795632611</v>
      </c>
      <c r="O1931" s="5">
        <v>16826.763259351828</v>
      </c>
      <c r="P1931" s="5">
        <v>83536.241167211992</v>
      </c>
      <c r="Q1931" s="5">
        <v>22895.455950885695</v>
      </c>
      <c r="R1931" s="5">
        <v>40368.364083205248</v>
      </c>
    </row>
    <row r="1932" spans="9:18">
      <c r="I1932" s="4">
        <v>1917</v>
      </c>
      <c r="J1932" s="5">
        <v>15554.996700302558</v>
      </c>
      <c r="K1932" s="5">
        <v>11149.572204897504</v>
      </c>
      <c r="L1932" s="5">
        <v>24256.352541181568</v>
      </c>
      <c r="M1932" s="5">
        <v>14660.631931099009</v>
      </c>
      <c r="N1932" s="5">
        <v>18367.429489032103</v>
      </c>
      <c r="O1932" s="5">
        <v>53028.643350899503</v>
      </c>
      <c r="P1932" s="5">
        <v>8877.9712092977989</v>
      </c>
      <c r="Q1932" s="5">
        <v>8502.450657922871</v>
      </c>
      <c r="R1932" s="5">
        <v>96845.299789249824</v>
      </c>
    </row>
    <row r="1933" spans="9:18">
      <c r="I1933" s="4">
        <v>1918</v>
      </c>
      <c r="J1933" s="5">
        <v>11036.461796239426</v>
      </c>
      <c r="K1933" s="5">
        <v>61827.107730316675</v>
      </c>
      <c r="L1933" s="5">
        <v>27144.958215276103</v>
      </c>
      <c r="M1933" s="5">
        <v>12987.517521908694</v>
      </c>
      <c r="N1933" s="5">
        <v>27841.916587595573</v>
      </c>
      <c r="O1933" s="5">
        <v>77417.02098927302</v>
      </c>
      <c r="P1933" s="5">
        <v>28537.545734403488</v>
      </c>
      <c r="Q1933" s="5">
        <v>9454.5906023793759</v>
      </c>
      <c r="R1933" s="5">
        <v>17304.847214362417</v>
      </c>
    </row>
    <row r="1934" spans="9:18">
      <c r="I1934" s="4">
        <v>1919</v>
      </c>
      <c r="J1934" s="5">
        <v>33627.941293959229</v>
      </c>
      <c r="K1934" s="5">
        <v>61827.107730316675</v>
      </c>
      <c r="L1934" s="5">
        <v>17716.90539191998</v>
      </c>
      <c r="M1934" s="5">
        <v>29041.83725675238</v>
      </c>
      <c r="N1934" s="5">
        <v>20583.564383988036</v>
      </c>
      <c r="O1934" s="5">
        <v>16826.763259351828</v>
      </c>
      <c r="P1934" s="5">
        <v>12639.596794453437</v>
      </c>
      <c r="Q1934" s="5">
        <v>116445.46783345108</v>
      </c>
      <c r="R1934" s="5">
        <v>33290.909836056817</v>
      </c>
    </row>
    <row r="1935" spans="9:18">
      <c r="I1935" s="4">
        <v>1920</v>
      </c>
      <c r="J1935" s="5">
        <v>13918.242013140338</v>
      </c>
      <c r="K1935" s="5">
        <v>17128.860847126922</v>
      </c>
      <c r="L1935" s="5">
        <v>27289.607394458035</v>
      </c>
      <c r="M1935" s="5">
        <v>22961.931350882205</v>
      </c>
      <c r="N1935" s="5">
        <v>15251.140047572881</v>
      </c>
      <c r="O1935" s="5">
        <v>41800.463215706819</v>
      </c>
      <c r="P1935" s="5">
        <v>21039.927746191301</v>
      </c>
      <c r="Q1935" s="5">
        <v>22895.455950885695</v>
      </c>
      <c r="R1935" s="5">
        <v>216919.53009911609</v>
      </c>
    </row>
    <row r="1936" spans="9:18">
      <c r="I1936" s="4">
        <v>1921</v>
      </c>
      <c r="J1936" s="5">
        <v>20002.201347927807</v>
      </c>
      <c r="K1936" s="5">
        <v>8223.1266007477425</v>
      </c>
      <c r="L1936" s="5">
        <v>14344.859750762502</v>
      </c>
      <c r="M1936" s="5">
        <v>10111.451009425113</v>
      </c>
      <c r="N1936" s="5">
        <v>20558.672182394013</v>
      </c>
      <c r="O1936" s="5">
        <v>32474.063027682765</v>
      </c>
      <c r="P1936" s="5">
        <v>106091.28270624072</v>
      </c>
      <c r="Q1936" s="5">
        <v>73941.636731325911</v>
      </c>
      <c r="R1936" s="5">
        <v>7784.2246210242874</v>
      </c>
    </row>
    <row r="1937" spans="9:18">
      <c r="I1937" s="4">
        <v>1922</v>
      </c>
      <c r="J1937" s="5">
        <v>31053.540961463306</v>
      </c>
      <c r="K1937" s="5">
        <v>14854.898507619706</v>
      </c>
      <c r="L1937" s="5">
        <v>17128.574519497746</v>
      </c>
      <c r="M1937" s="5">
        <v>14432.283063351901</v>
      </c>
      <c r="N1937" s="5">
        <v>12592.300437162297</v>
      </c>
      <c r="O1937" s="5">
        <v>9956.4031238965053</v>
      </c>
      <c r="P1937" s="5">
        <v>35569.894390728325</v>
      </c>
      <c r="Q1937" s="5">
        <v>17234.335939857254</v>
      </c>
      <c r="R1937" s="5">
        <v>33290.909836056817</v>
      </c>
    </row>
    <row r="1938" spans="9:18">
      <c r="I1938" s="4">
        <v>1923</v>
      </c>
      <c r="J1938" s="5">
        <v>15554.996700302558</v>
      </c>
      <c r="K1938" s="5">
        <v>30552.499930043898</v>
      </c>
      <c r="L1938" s="5">
        <v>13358.459356674217</v>
      </c>
      <c r="M1938" s="5">
        <v>12619.198742021435</v>
      </c>
      <c r="N1938" s="5">
        <v>40377.252444397986</v>
      </c>
      <c r="O1938" s="5">
        <v>27195.510785031525</v>
      </c>
      <c r="P1938" s="5">
        <v>55119.366528283317</v>
      </c>
      <c r="Q1938" s="5">
        <v>129470.11441833655</v>
      </c>
      <c r="R1938" s="5">
        <v>12116.34255245842</v>
      </c>
    </row>
    <row r="1939" spans="9:18">
      <c r="I1939" s="4">
        <v>1924</v>
      </c>
      <c r="J1939" s="5">
        <v>14420.293087375476</v>
      </c>
      <c r="K1939" s="5">
        <v>18086.448513145526</v>
      </c>
      <c r="L1939" s="5">
        <v>13867.07093008449</v>
      </c>
      <c r="M1939" s="5">
        <v>31460.745851561904</v>
      </c>
      <c r="N1939" s="5">
        <v>34295.124147811541</v>
      </c>
      <c r="O1939" s="5">
        <v>16572.483389649329</v>
      </c>
      <c r="P1939" s="5">
        <v>16072.735485912413</v>
      </c>
      <c r="Q1939" s="5">
        <v>56069.347629295014</v>
      </c>
      <c r="R1939" s="5">
        <v>17991.870496434763</v>
      </c>
    </row>
    <row r="1940" spans="9:18">
      <c r="I1940" s="4">
        <v>1925</v>
      </c>
      <c r="J1940" s="5">
        <v>14344.692898101612</v>
      </c>
      <c r="K1940" s="5">
        <v>16665.1498926479</v>
      </c>
      <c r="L1940" s="5">
        <v>22412.045018675239</v>
      </c>
      <c r="M1940" s="5">
        <v>14432.283063351901</v>
      </c>
      <c r="N1940" s="5">
        <v>59876.136849941562</v>
      </c>
      <c r="O1940" s="5">
        <v>16572.483389649329</v>
      </c>
      <c r="P1940" s="5">
        <v>33500.490132682797</v>
      </c>
      <c r="Q1940" s="5">
        <v>13099.063525342741</v>
      </c>
      <c r="R1940" s="5">
        <v>261393.32711858812</v>
      </c>
    </row>
    <row r="1941" spans="9:18">
      <c r="I1941" s="4">
        <v>1926</v>
      </c>
      <c r="J1941" s="5">
        <v>12452.764985867625</v>
      </c>
      <c r="K1941" s="5">
        <v>16674.541027260992</v>
      </c>
      <c r="L1941" s="5">
        <v>21954.536591034263</v>
      </c>
      <c r="M1941" s="5">
        <v>17542.15972125496</v>
      </c>
      <c r="N1941" s="5">
        <v>21617.945168312468</v>
      </c>
      <c r="O1941" s="5">
        <v>10738.305003664611</v>
      </c>
      <c r="P1941" s="5">
        <v>106091.28270624072</v>
      </c>
      <c r="Q1941" s="5">
        <v>28567.61306643406</v>
      </c>
      <c r="R1941" s="5">
        <v>2180.6148629084787</v>
      </c>
    </row>
    <row r="1942" spans="9:18">
      <c r="I1942" s="4">
        <v>1927</v>
      </c>
      <c r="J1942" s="5">
        <v>19121.054099180623</v>
      </c>
      <c r="K1942" s="5">
        <v>15782.544184844044</v>
      </c>
      <c r="L1942" s="5">
        <v>19078.910217042379</v>
      </c>
      <c r="M1942" s="5">
        <v>7334.8610818348589</v>
      </c>
      <c r="N1942" s="5">
        <v>41563.89847100406</v>
      </c>
      <c r="O1942" s="5">
        <v>4231.3144655921506</v>
      </c>
      <c r="P1942" s="5">
        <v>35213.322626437533</v>
      </c>
      <c r="Q1942" s="5">
        <v>37277.391668005912</v>
      </c>
      <c r="R1942" s="5">
        <v>39788.288251916689</v>
      </c>
    </row>
    <row r="1943" spans="9:18">
      <c r="I1943" s="4">
        <v>1928</v>
      </c>
      <c r="J1943" s="5">
        <v>20002.201347927807</v>
      </c>
      <c r="K1943" s="5">
        <v>29672.680843304515</v>
      </c>
      <c r="L1943" s="5">
        <v>13417.453622029931</v>
      </c>
      <c r="M1943" s="5">
        <v>25580.243606220469</v>
      </c>
      <c r="N1943" s="5">
        <v>18367.429489032103</v>
      </c>
      <c r="O1943" s="5">
        <v>20721.57544042755</v>
      </c>
      <c r="P1943" s="5">
        <v>74840.036182179319</v>
      </c>
      <c r="Q1943" s="5">
        <v>64585.328088516922</v>
      </c>
      <c r="R1943" s="5">
        <v>216919.53009911609</v>
      </c>
    </row>
    <row r="1944" spans="9:18">
      <c r="I1944" s="4">
        <v>1929</v>
      </c>
      <c r="J1944" s="5">
        <v>22188.291830993156</v>
      </c>
      <c r="K1944" s="5">
        <v>14136.873097602549</v>
      </c>
      <c r="L1944" s="5">
        <v>22162.138529251199</v>
      </c>
      <c r="M1944" s="5">
        <v>24981.974172352908</v>
      </c>
      <c r="N1944" s="5">
        <v>39406.658185292261</v>
      </c>
      <c r="O1944" s="5">
        <v>53504.725169095313</v>
      </c>
      <c r="P1944" s="5">
        <v>22601.57564624758</v>
      </c>
      <c r="Q1944" s="5">
        <v>25156.033327562815</v>
      </c>
      <c r="R1944" s="5">
        <v>20303.08745527079</v>
      </c>
    </row>
    <row r="1945" spans="9:18">
      <c r="I1945" s="4">
        <v>1930</v>
      </c>
      <c r="J1945" s="5">
        <v>14594.990625703947</v>
      </c>
      <c r="K1945" s="5">
        <v>21958.925144875713</v>
      </c>
      <c r="L1945" s="5">
        <v>19359.475411188432</v>
      </c>
      <c r="M1945" s="5">
        <v>16842.379179328669</v>
      </c>
      <c r="N1945" s="5">
        <v>22868.569282757788</v>
      </c>
      <c r="O1945" s="5">
        <v>10676.618215263648</v>
      </c>
      <c r="P1945" s="5">
        <v>12639.596794453437</v>
      </c>
      <c r="Q1945" s="5">
        <v>9645.8788061228515</v>
      </c>
      <c r="R1945" s="5">
        <v>27349.63499959607</v>
      </c>
    </row>
    <row r="1946" spans="9:18">
      <c r="I1946" s="4">
        <v>1931</v>
      </c>
      <c r="J1946" s="5">
        <v>13045.114546182727</v>
      </c>
      <c r="K1946" s="5">
        <v>10931.803935361211</v>
      </c>
      <c r="L1946" s="5">
        <v>16071.478531535273</v>
      </c>
      <c r="M1946" s="5">
        <v>23454.775510296178</v>
      </c>
      <c r="N1946" s="5">
        <v>14921.795973817481</v>
      </c>
      <c r="O1946" s="5">
        <v>5444.7598502623823</v>
      </c>
      <c r="P1946" s="5">
        <v>22601.57564624758</v>
      </c>
      <c r="Q1946" s="5">
        <v>11173.074396969254</v>
      </c>
      <c r="R1946" s="5">
        <v>33290.909836056817</v>
      </c>
    </row>
    <row r="1947" spans="9:18">
      <c r="I1947" s="4">
        <v>1932</v>
      </c>
      <c r="J1947" s="5">
        <v>45301.532027110363</v>
      </c>
      <c r="K1947" s="5">
        <v>15391.837334808681</v>
      </c>
      <c r="L1947" s="5">
        <v>23561.450544884348</v>
      </c>
      <c r="M1947" s="5">
        <v>10451.914120098167</v>
      </c>
      <c r="N1947" s="5">
        <v>14240.123545764454</v>
      </c>
      <c r="O1947" s="5">
        <v>10676.618215263648</v>
      </c>
      <c r="P1947" s="5">
        <v>9633.1652908310007</v>
      </c>
      <c r="Q1947" s="5">
        <v>21421.044775857536</v>
      </c>
      <c r="R1947" s="5">
        <v>14706.681111065362</v>
      </c>
    </row>
    <row r="1948" spans="9:18">
      <c r="I1948" s="4">
        <v>1933</v>
      </c>
      <c r="J1948" s="5">
        <v>11036.461796239426</v>
      </c>
      <c r="K1948" s="5">
        <v>15391.837334808681</v>
      </c>
      <c r="L1948" s="5">
        <v>21428.663623484812</v>
      </c>
      <c r="M1948" s="5">
        <v>16881.579299055</v>
      </c>
      <c r="N1948" s="5">
        <v>29468.83360104046</v>
      </c>
      <c r="O1948" s="5">
        <v>27068.054847826614</v>
      </c>
      <c r="P1948" s="5">
        <v>45161.732159568586</v>
      </c>
      <c r="Q1948" s="5">
        <v>16591.881190929333</v>
      </c>
      <c r="R1948" s="5">
        <v>55012.315589742022</v>
      </c>
    </row>
    <row r="1949" spans="9:18">
      <c r="I1949" s="4">
        <v>1934</v>
      </c>
      <c r="J1949" s="5">
        <v>19048.674633640545</v>
      </c>
      <c r="K1949" s="5">
        <v>29672.680843304515</v>
      </c>
      <c r="L1949" s="5">
        <v>34748.877779456467</v>
      </c>
      <c r="M1949" s="5">
        <v>21272.00214469912</v>
      </c>
      <c r="N1949" s="5">
        <v>23998.040874392525</v>
      </c>
      <c r="O1949" s="5">
        <v>79848.944504816522</v>
      </c>
      <c r="P1949" s="5">
        <v>26126.807131356076</v>
      </c>
      <c r="Q1949" s="5">
        <v>20987.925664394581</v>
      </c>
      <c r="R1949" s="5">
        <v>33290.909836056817</v>
      </c>
    </row>
    <row r="1950" spans="9:18">
      <c r="I1950" s="4">
        <v>1935</v>
      </c>
      <c r="J1950" s="5">
        <v>17005.744061105343</v>
      </c>
      <c r="K1950" s="5">
        <v>61827.107730316675</v>
      </c>
      <c r="L1950" s="5">
        <v>16955.349467865559</v>
      </c>
      <c r="M1950" s="5">
        <v>14217.48832834715</v>
      </c>
      <c r="N1950" s="5">
        <v>21009.255892677338</v>
      </c>
      <c r="O1950" s="5">
        <v>35286.662852302201</v>
      </c>
      <c r="P1950" s="5">
        <v>13452.921824087563</v>
      </c>
      <c r="Q1950" s="5">
        <v>3909.239690544402</v>
      </c>
      <c r="R1950" s="5">
        <v>65420.116221752483</v>
      </c>
    </row>
    <row r="1951" spans="9:18">
      <c r="I1951" s="4">
        <v>1936</v>
      </c>
      <c r="J1951" s="5">
        <v>17679.321624063952</v>
      </c>
      <c r="K1951" s="5">
        <v>14674.169276244838</v>
      </c>
      <c r="L1951" s="5">
        <v>15759.954187048656</v>
      </c>
      <c r="M1951" s="5">
        <v>31472.019071027709</v>
      </c>
      <c r="N1951" s="5">
        <v>20583.564383988036</v>
      </c>
      <c r="O1951" s="5">
        <v>77417.02098927302</v>
      </c>
      <c r="P1951" s="5">
        <v>23769.190223735484</v>
      </c>
      <c r="Q1951" s="5">
        <v>12451.066014448154</v>
      </c>
      <c r="R1951" s="5">
        <v>40368.364083205248</v>
      </c>
    </row>
    <row r="1952" spans="9:18">
      <c r="I1952" s="4">
        <v>1937</v>
      </c>
      <c r="J1952" s="5">
        <v>14741.240040396578</v>
      </c>
      <c r="K1952" s="5">
        <v>23327.217259521742</v>
      </c>
      <c r="L1952" s="5">
        <v>19359.475411188432</v>
      </c>
      <c r="M1952" s="5">
        <v>19151.339770278159</v>
      </c>
      <c r="N1952" s="5">
        <v>24020.875410266352</v>
      </c>
      <c r="O1952" s="5">
        <v>24258.192244316608</v>
      </c>
      <c r="P1952" s="5">
        <v>12992.105410393709</v>
      </c>
      <c r="Q1952" s="5">
        <v>37497.234505125656</v>
      </c>
      <c r="R1952" s="5">
        <v>50287.76786557267</v>
      </c>
    </row>
    <row r="1953" spans="9:18">
      <c r="I1953" s="4">
        <v>1938</v>
      </c>
      <c r="J1953" s="5">
        <v>34933.039312618188</v>
      </c>
      <c r="K1953" s="5">
        <v>12777.667398488715</v>
      </c>
      <c r="L1953" s="5">
        <v>15487.970507365942</v>
      </c>
      <c r="M1953" s="5">
        <v>19890.009981657669</v>
      </c>
      <c r="N1953" s="5">
        <v>13909.728487455486</v>
      </c>
      <c r="O1953" s="5">
        <v>59207.798737851255</v>
      </c>
      <c r="P1953" s="5">
        <v>35213.322626437533</v>
      </c>
      <c r="Q1953" s="5">
        <v>56069.347629295014</v>
      </c>
      <c r="R1953" s="5">
        <v>65420.116221752483</v>
      </c>
    </row>
    <row r="1954" spans="9:18">
      <c r="I1954" s="4">
        <v>1939</v>
      </c>
      <c r="J1954" s="5">
        <v>15873.12561080002</v>
      </c>
      <c r="K1954" s="5">
        <v>24728.095385476983</v>
      </c>
      <c r="L1954" s="5">
        <v>22162.138529251199</v>
      </c>
      <c r="M1954" s="5">
        <v>21072.983263501868</v>
      </c>
      <c r="N1954" s="5">
        <v>22735.120948269971</v>
      </c>
      <c r="O1954" s="5">
        <v>25604.597681740845</v>
      </c>
      <c r="P1954" s="5">
        <v>32167.874670939738</v>
      </c>
      <c r="Q1954" s="5">
        <v>59964.86015574776</v>
      </c>
      <c r="R1954" s="5">
        <v>14079.827908007112</v>
      </c>
    </row>
    <row r="1955" spans="9:18">
      <c r="I1955" s="4">
        <v>1940</v>
      </c>
      <c r="J1955" s="5">
        <v>19467.17453557903</v>
      </c>
      <c r="K1955" s="5">
        <v>14587.813833513306</v>
      </c>
      <c r="L1955" s="5">
        <v>15359.132481533357</v>
      </c>
      <c r="M1955" s="5">
        <v>31460.745851561904</v>
      </c>
      <c r="N1955" s="5">
        <v>13511.694619545402</v>
      </c>
      <c r="O1955" s="5">
        <v>41800.463215706819</v>
      </c>
      <c r="P1955" s="5">
        <v>17737.38315098183</v>
      </c>
      <c r="Q1955" s="5">
        <v>21421.044775857536</v>
      </c>
      <c r="R1955" s="5">
        <v>72561.496699005787</v>
      </c>
    </row>
    <row r="1956" spans="9:18">
      <c r="I1956" s="4">
        <v>1941</v>
      </c>
      <c r="J1956" s="5">
        <v>23517.429992060665</v>
      </c>
      <c r="K1956" s="5">
        <v>23327.217259521742</v>
      </c>
      <c r="L1956" s="5">
        <v>27144.958215276103</v>
      </c>
      <c r="M1956" s="5">
        <v>19151.339770278159</v>
      </c>
      <c r="N1956" s="5">
        <v>17891.96347244953</v>
      </c>
      <c r="O1956" s="5">
        <v>26565.882515615398</v>
      </c>
      <c r="P1956" s="5">
        <v>21933.779100635442</v>
      </c>
      <c r="Q1956" s="5">
        <v>9138.5169630896526</v>
      </c>
      <c r="R1956" s="5">
        <v>16039.216896723072</v>
      </c>
    </row>
    <row r="1957" spans="9:18">
      <c r="I1957" s="4">
        <v>1942</v>
      </c>
      <c r="J1957" s="5">
        <v>15064.079707240266</v>
      </c>
      <c r="K1957" s="5">
        <v>17003.901855709089</v>
      </c>
      <c r="L1957" s="5">
        <v>23760.785349782636</v>
      </c>
      <c r="M1957" s="5">
        <v>6367.5407465007311</v>
      </c>
      <c r="N1957" s="5">
        <v>24853.247795632611</v>
      </c>
      <c r="O1957" s="5">
        <v>10270.120415297655</v>
      </c>
      <c r="P1957" s="5">
        <v>9811.9720599964548</v>
      </c>
      <c r="Q1957" s="5">
        <v>15663.43865741136</v>
      </c>
      <c r="R1957" s="5">
        <v>6681.1887184356683</v>
      </c>
    </row>
    <row r="1958" spans="9:18">
      <c r="I1958" s="4">
        <v>1943</v>
      </c>
      <c r="J1958" s="5">
        <v>12452.764985867625</v>
      </c>
      <c r="K1958" s="5">
        <v>13559.080695844099</v>
      </c>
      <c r="L1958" s="5">
        <v>11827.803406885578</v>
      </c>
      <c r="M1958" s="5">
        <v>13022.686998540772</v>
      </c>
      <c r="N1958" s="5">
        <v>21933.097106966918</v>
      </c>
      <c r="O1958" s="5">
        <v>24247.516962783076</v>
      </c>
      <c r="P1958" s="5">
        <v>28537.545734403488</v>
      </c>
      <c r="Q1958" s="5">
        <v>79566.621912742485</v>
      </c>
      <c r="R1958" s="5">
        <v>17304.847214362417</v>
      </c>
    </row>
    <row r="1959" spans="9:18">
      <c r="I1959" s="4">
        <v>1944</v>
      </c>
      <c r="J1959" s="5">
        <v>73074.062486361407</v>
      </c>
      <c r="K1959" s="5">
        <v>26110.948843472826</v>
      </c>
      <c r="L1959" s="5">
        <v>17073.17760523731</v>
      </c>
      <c r="M1959" s="5">
        <v>14217.48832834715</v>
      </c>
      <c r="N1959" s="5">
        <v>26152.705108198839</v>
      </c>
      <c r="O1959" s="5">
        <v>33720.545907536376</v>
      </c>
      <c r="P1959" s="5">
        <v>21813.848941464526</v>
      </c>
      <c r="Q1959" s="5">
        <v>68168.482468129529</v>
      </c>
      <c r="R1959" s="5">
        <v>29295.938844292672</v>
      </c>
    </row>
    <row r="1960" spans="9:18">
      <c r="I1960" s="4">
        <v>1945</v>
      </c>
      <c r="J1960" s="5">
        <v>13663.281817546009</v>
      </c>
      <c r="K1960" s="5">
        <v>24728.095385476983</v>
      </c>
      <c r="L1960" s="5">
        <v>13023.361770761438</v>
      </c>
      <c r="M1960" s="5">
        <v>20550.782384061673</v>
      </c>
      <c r="N1960" s="5">
        <v>26152.705108198839</v>
      </c>
      <c r="O1960" s="5">
        <v>53007.660727727191</v>
      </c>
      <c r="P1960" s="5">
        <v>9633.1652908310007</v>
      </c>
      <c r="Q1960" s="5">
        <v>48866.209623168346</v>
      </c>
      <c r="R1960" s="5">
        <v>24722.972470599001</v>
      </c>
    </row>
    <row r="1961" spans="9:18">
      <c r="I1961" s="4">
        <v>1946</v>
      </c>
      <c r="J1961" s="5">
        <v>16156.372629961115</v>
      </c>
      <c r="K1961" s="5">
        <v>13652.224205833634</v>
      </c>
      <c r="L1961" s="5">
        <v>14146.191653372813</v>
      </c>
      <c r="M1961" s="5">
        <v>14660.631931099009</v>
      </c>
      <c r="N1961" s="5">
        <v>21617.945168312468</v>
      </c>
      <c r="O1961" s="5">
        <v>53504.725169095313</v>
      </c>
      <c r="P1961" s="5">
        <v>31127.87225845682</v>
      </c>
      <c r="Q1961" s="5">
        <v>31902.904306425251</v>
      </c>
      <c r="R1961" s="5">
        <v>7201.7586694681067</v>
      </c>
    </row>
    <row r="1962" spans="9:18">
      <c r="I1962" s="4">
        <v>1947</v>
      </c>
      <c r="J1962" s="5">
        <v>28214.771032351968</v>
      </c>
      <c r="K1962" s="5">
        <v>16934.093371663999</v>
      </c>
      <c r="L1962" s="5">
        <v>17683.765335572589</v>
      </c>
      <c r="M1962" s="5">
        <v>20788.503422877813</v>
      </c>
      <c r="N1962" s="5">
        <v>29468.83360104046</v>
      </c>
      <c r="O1962" s="5">
        <v>94068.324736096256</v>
      </c>
      <c r="P1962" s="5">
        <v>9826.8369575407578</v>
      </c>
      <c r="Q1962" s="5">
        <v>7457.1844090365566</v>
      </c>
      <c r="R1962" s="5">
        <v>76851.431017396084</v>
      </c>
    </row>
    <row r="1963" spans="9:18">
      <c r="I1963" s="4">
        <v>1948</v>
      </c>
      <c r="J1963" s="5">
        <v>13595.404057849493</v>
      </c>
      <c r="K1963" s="5">
        <v>16934.093371663999</v>
      </c>
      <c r="L1963" s="5">
        <v>15922.087958863045</v>
      </c>
      <c r="M1963" s="5">
        <v>24981.974172352908</v>
      </c>
      <c r="N1963" s="5">
        <v>12297.015342318469</v>
      </c>
      <c r="O1963" s="5">
        <v>20721.57544042755</v>
      </c>
      <c r="P1963" s="5">
        <v>35213.322626437533</v>
      </c>
      <c r="Q1963" s="5">
        <v>28797.29222718185</v>
      </c>
      <c r="R1963" s="5">
        <v>35232.418639121184</v>
      </c>
    </row>
    <row r="1964" spans="9:18">
      <c r="I1964" s="4">
        <v>1949</v>
      </c>
      <c r="J1964" s="5">
        <v>12701.339251949787</v>
      </c>
      <c r="K1964" s="5">
        <v>16081.362509465702</v>
      </c>
      <c r="L1964" s="5">
        <v>16451.333928028147</v>
      </c>
      <c r="M1964" s="5">
        <v>19097.39635881727</v>
      </c>
      <c r="N1964" s="5">
        <v>20292.069765667391</v>
      </c>
      <c r="O1964" s="5">
        <v>20827.029306810669</v>
      </c>
      <c r="P1964" s="5">
        <v>106091.28270624072</v>
      </c>
      <c r="Q1964" s="5">
        <v>53055.59182561023</v>
      </c>
      <c r="R1964" s="5">
        <v>14079.827908007112</v>
      </c>
    </row>
    <row r="1965" spans="9:18">
      <c r="I1965" s="4">
        <v>1950</v>
      </c>
      <c r="J1965" s="5">
        <v>14076.209333698853</v>
      </c>
      <c r="K1965" s="5">
        <v>12777.667398488715</v>
      </c>
      <c r="L1965" s="5">
        <v>18379.634651549037</v>
      </c>
      <c r="M1965" s="5">
        <v>23515.935489506261</v>
      </c>
      <c r="N1965" s="5">
        <v>23746.795665493762</v>
      </c>
      <c r="O1965" s="5">
        <v>59207.798737851255</v>
      </c>
      <c r="P1965" s="5">
        <v>25258.981945036445</v>
      </c>
      <c r="Q1965" s="5">
        <v>2356.8990887111336</v>
      </c>
      <c r="R1965" s="5">
        <v>216919.53009911609</v>
      </c>
    </row>
    <row r="1966" spans="9:18">
      <c r="I1966" s="4">
        <v>1951</v>
      </c>
      <c r="J1966" s="5">
        <v>22188.291830993156</v>
      </c>
      <c r="K1966" s="5">
        <v>14854.898507619706</v>
      </c>
      <c r="L1966" s="5">
        <v>17073.17760523731</v>
      </c>
      <c r="M1966" s="5">
        <v>31460.745851561904</v>
      </c>
      <c r="N1966" s="5">
        <v>12297.015342318469</v>
      </c>
      <c r="O1966" s="5">
        <v>19492.655596593511</v>
      </c>
      <c r="P1966" s="5">
        <v>40377.463755170742</v>
      </c>
      <c r="Q1966" s="5">
        <v>27018.509959127641</v>
      </c>
      <c r="R1966" s="5">
        <v>17991.870496434763</v>
      </c>
    </row>
    <row r="1967" spans="9:18">
      <c r="I1967" s="4">
        <v>1952</v>
      </c>
      <c r="J1967" s="5">
        <v>14671.176405938595</v>
      </c>
      <c r="K1967" s="5">
        <v>14579.232378315752</v>
      </c>
      <c r="L1967" s="5">
        <v>29265.217478369766</v>
      </c>
      <c r="M1967" s="5">
        <v>16881.579299055</v>
      </c>
      <c r="N1967" s="5">
        <v>41563.89847100406</v>
      </c>
      <c r="O1967" s="5">
        <v>13117.417685535194</v>
      </c>
      <c r="P1967" s="5">
        <v>38771.994792132391</v>
      </c>
      <c r="Q1967" s="5">
        <v>29432.473148002948</v>
      </c>
      <c r="R1967" s="5">
        <v>87776.138236389699</v>
      </c>
    </row>
    <row r="1968" spans="9:18">
      <c r="I1968" s="4">
        <v>1953</v>
      </c>
      <c r="J1968" s="5">
        <v>15873.12561080002</v>
      </c>
      <c r="K1968" s="5">
        <v>16665.1498926479</v>
      </c>
      <c r="L1968" s="5">
        <v>17716.90539191998</v>
      </c>
      <c r="M1968" s="5">
        <v>21913.431401527439</v>
      </c>
      <c r="N1968" s="5">
        <v>41563.89847100406</v>
      </c>
      <c r="O1968" s="5">
        <v>31172.963108652857</v>
      </c>
      <c r="P1968" s="5">
        <v>35213.322626437533</v>
      </c>
      <c r="Q1968" s="5">
        <v>8880.8074399558282</v>
      </c>
      <c r="R1968" s="5">
        <v>59414.886464347241</v>
      </c>
    </row>
    <row r="1969" spans="9:18">
      <c r="I1969" s="4">
        <v>1954</v>
      </c>
      <c r="J1969" s="5">
        <v>7855.2948890116513</v>
      </c>
      <c r="K1969" s="5">
        <v>15768.312122029349</v>
      </c>
      <c r="L1969" s="5">
        <v>16955.349467865559</v>
      </c>
      <c r="M1969" s="5">
        <v>16510.442870615672</v>
      </c>
      <c r="N1969" s="5">
        <v>22735.120948269971</v>
      </c>
      <c r="O1969" s="5">
        <v>53007.660727727191</v>
      </c>
      <c r="P1969" s="5">
        <v>26126.807131356076</v>
      </c>
      <c r="Q1969" s="5">
        <v>37101.531383212743</v>
      </c>
      <c r="R1969" s="5">
        <v>216919.53009911609</v>
      </c>
    </row>
    <row r="1970" spans="9:18">
      <c r="I1970" s="4">
        <v>1955</v>
      </c>
      <c r="J1970" s="5">
        <v>15130.594750069789</v>
      </c>
      <c r="K1970" s="5">
        <v>21218.439146892688</v>
      </c>
      <c r="L1970" s="5">
        <v>14344.859750762502</v>
      </c>
      <c r="M1970" s="5">
        <v>22815.60259636537</v>
      </c>
      <c r="N1970" s="5">
        <v>15786.177386596903</v>
      </c>
      <c r="O1970" s="5">
        <v>5909.5347260996277</v>
      </c>
      <c r="P1970" s="5">
        <v>54100.778483493887</v>
      </c>
      <c r="Q1970" s="5">
        <v>31019.493883163672</v>
      </c>
      <c r="R1970" s="5">
        <v>7118.1729476780347</v>
      </c>
    </row>
    <row r="1971" spans="9:18">
      <c r="I1971" s="4">
        <v>1956</v>
      </c>
      <c r="J1971" s="5">
        <v>27392.038553726634</v>
      </c>
      <c r="K1971" s="5">
        <v>12026.500118162745</v>
      </c>
      <c r="L1971" s="5">
        <v>20698.842353987733</v>
      </c>
      <c r="M1971" s="5">
        <v>22326.253555179093</v>
      </c>
      <c r="N1971" s="5">
        <v>12523.573732460784</v>
      </c>
      <c r="O1971" s="5">
        <v>27503.656957929088</v>
      </c>
      <c r="P1971" s="5">
        <v>17737.38315098183</v>
      </c>
      <c r="Q1971" s="5">
        <v>8502.450657922871</v>
      </c>
      <c r="R1971" s="5">
        <v>24722.972470599001</v>
      </c>
    </row>
    <row r="1972" spans="9:18">
      <c r="I1972" s="4">
        <v>1957</v>
      </c>
      <c r="J1972" s="5">
        <v>16416.142496463777</v>
      </c>
      <c r="K1972" s="5">
        <v>26110.948843472826</v>
      </c>
      <c r="L1972" s="5">
        <v>16071.260291253868</v>
      </c>
      <c r="M1972" s="5">
        <v>29058.117767351498</v>
      </c>
      <c r="N1972" s="5">
        <v>57711.498171893618</v>
      </c>
      <c r="O1972" s="5">
        <v>21930.527973988665</v>
      </c>
      <c r="P1972" s="5">
        <v>44816.412248582856</v>
      </c>
      <c r="Q1972" s="5">
        <v>37073.980790337926</v>
      </c>
      <c r="R1972" s="5">
        <v>8105.1944146993656</v>
      </c>
    </row>
    <row r="1973" spans="9:18">
      <c r="I1973" s="4">
        <v>1958</v>
      </c>
      <c r="J1973" s="5">
        <v>15417.870921574262</v>
      </c>
      <c r="K1973" s="5">
        <v>26110.948843472826</v>
      </c>
      <c r="L1973" s="5">
        <v>18475.258050488967</v>
      </c>
      <c r="M1973" s="5">
        <v>20550.782384061673</v>
      </c>
      <c r="N1973" s="5">
        <v>57711.498171893618</v>
      </c>
      <c r="O1973" s="5">
        <v>27084.483614751469</v>
      </c>
      <c r="P1973" s="5">
        <v>54100.778483493887</v>
      </c>
      <c r="Q1973" s="5">
        <v>54060.5331097772</v>
      </c>
      <c r="R1973" s="5">
        <v>2071.5141323269809</v>
      </c>
    </row>
    <row r="1974" spans="9:18">
      <c r="I1974" s="4">
        <v>1959</v>
      </c>
      <c r="J1974" s="5">
        <v>13447.638004246244</v>
      </c>
      <c r="K1974" s="5">
        <v>15391.837334808681</v>
      </c>
      <c r="L1974" s="5">
        <v>15922.087958863045</v>
      </c>
      <c r="M1974" s="5">
        <v>41698.977215629871</v>
      </c>
      <c r="N1974" s="5">
        <v>25424.029865101274</v>
      </c>
      <c r="O1974" s="5">
        <v>32474.063027682765</v>
      </c>
      <c r="P1974" s="5">
        <v>10180.109839011631</v>
      </c>
      <c r="Q1974" s="5">
        <v>21421.044775857536</v>
      </c>
      <c r="R1974" s="5">
        <v>3433.6677391851467</v>
      </c>
    </row>
    <row r="1975" spans="9:18">
      <c r="I1975" s="4">
        <v>1960</v>
      </c>
      <c r="J1975" s="5">
        <v>18650.249281571734</v>
      </c>
      <c r="K1975" s="5">
        <v>15782.544184844044</v>
      </c>
      <c r="L1975" s="5">
        <v>15060.431658965737</v>
      </c>
      <c r="M1975" s="5">
        <v>13139.022167648376</v>
      </c>
      <c r="N1975" s="5">
        <v>26565.664379767408</v>
      </c>
      <c r="O1975" s="5">
        <v>55264.438774006347</v>
      </c>
      <c r="P1975" s="5">
        <v>20391.123772341358</v>
      </c>
      <c r="Q1975" s="5">
        <v>4631.7430487757983</v>
      </c>
      <c r="R1975" s="5">
        <v>96845.299789249824</v>
      </c>
    </row>
    <row r="1976" spans="9:18">
      <c r="I1976" s="4">
        <v>1961</v>
      </c>
      <c r="J1976" s="5">
        <v>14076.209333698853</v>
      </c>
      <c r="K1976" s="5">
        <v>21187.174639714212</v>
      </c>
      <c r="L1976" s="5">
        <v>18810.091753970282</v>
      </c>
      <c r="M1976" s="5">
        <v>21833.004790208965</v>
      </c>
      <c r="N1976" s="5">
        <v>20558.672182394013</v>
      </c>
      <c r="O1976" s="5">
        <v>27084.483614751469</v>
      </c>
      <c r="P1976" s="5">
        <v>26541.896041444568</v>
      </c>
      <c r="Q1976" s="5">
        <v>28078.365156847896</v>
      </c>
      <c r="R1976" s="5">
        <v>55012.315589742022</v>
      </c>
    </row>
    <row r="1977" spans="9:18">
      <c r="I1977" s="4">
        <v>1962</v>
      </c>
      <c r="J1977" s="5">
        <v>15623.733864199699</v>
      </c>
      <c r="K1977" s="5">
        <v>6949.5708823216592</v>
      </c>
      <c r="L1977" s="5">
        <v>14649.721476864312</v>
      </c>
      <c r="M1977" s="5">
        <v>10111.451009425113</v>
      </c>
      <c r="N1977" s="5">
        <v>11751.639947035985</v>
      </c>
      <c r="O1977" s="5">
        <v>3171.3006415671193</v>
      </c>
      <c r="P1977" s="5">
        <v>46514.467673254068</v>
      </c>
      <c r="Q1977" s="5">
        <v>56069.347629295014</v>
      </c>
      <c r="R1977" s="5">
        <v>10885.018205103002</v>
      </c>
    </row>
    <row r="1978" spans="9:18">
      <c r="I1978" s="4">
        <v>1963</v>
      </c>
      <c r="J1978" s="5">
        <v>28085.9245102444</v>
      </c>
      <c r="K1978" s="5">
        <v>13559.080695844099</v>
      </c>
      <c r="L1978" s="5">
        <v>16472.138192556791</v>
      </c>
      <c r="M1978" s="5">
        <v>24981.974172352908</v>
      </c>
      <c r="N1978" s="5">
        <v>19125.360074567652</v>
      </c>
      <c r="O1978" s="5">
        <v>32474.063027682765</v>
      </c>
      <c r="P1978" s="5">
        <v>22708.601480587709</v>
      </c>
      <c r="Q1978" s="5">
        <v>8502.450657922871</v>
      </c>
      <c r="R1978" s="5">
        <v>302760.11878714536</v>
      </c>
    </row>
    <row r="1979" spans="9:18">
      <c r="I1979" s="4">
        <v>1964</v>
      </c>
      <c r="J1979" s="5">
        <v>17005.744061105343</v>
      </c>
      <c r="K1979" s="5">
        <v>37822.375317881044</v>
      </c>
      <c r="L1979" s="5">
        <v>22018.381599979773</v>
      </c>
      <c r="M1979" s="5">
        <v>16500.222621933419</v>
      </c>
      <c r="N1979" s="5">
        <v>23008.246229813707</v>
      </c>
      <c r="O1979" s="5">
        <v>19492.655596593511</v>
      </c>
      <c r="P1979" s="5">
        <v>6275.8915673055426</v>
      </c>
      <c r="Q1979" s="5">
        <v>8880.8074399558282</v>
      </c>
      <c r="R1979" s="5">
        <v>72640.340924600489</v>
      </c>
    </row>
    <row r="1980" spans="9:18">
      <c r="I1980" s="4">
        <v>1965</v>
      </c>
      <c r="J1980" s="5">
        <v>16416.142496463777</v>
      </c>
      <c r="K1980" s="5">
        <v>23934.551191616061</v>
      </c>
      <c r="L1980" s="5">
        <v>17693.864646288712</v>
      </c>
      <c r="M1980" s="5">
        <v>25580.243606220469</v>
      </c>
      <c r="N1980" s="5">
        <v>15658.063692994532</v>
      </c>
      <c r="O1980" s="5">
        <v>9956.4031238965053</v>
      </c>
      <c r="P1980" s="5">
        <v>24349.301972630979</v>
      </c>
      <c r="Q1980" s="5">
        <v>96632.959478514502</v>
      </c>
      <c r="R1980" s="5">
        <v>35232.418639121184</v>
      </c>
    </row>
    <row r="1981" spans="9:18">
      <c r="I1981" s="4">
        <v>1966</v>
      </c>
      <c r="J1981" s="5">
        <v>13918.242013140338</v>
      </c>
      <c r="K1981" s="5">
        <v>31910.762633549082</v>
      </c>
      <c r="L1981" s="5">
        <v>18475.258050488967</v>
      </c>
      <c r="M1981" s="5">
        <v>20185.026038758231</v>
      </c>
      <c r="N1981" s="5">
        <v>12297.015342318469</v>
      </c>
      <c r="O1981" s="5">
        <v>13966.178986479143</v>
      </c>
      <c r="P1981" s="5">
        <v>21039.927746191301</v>
      </c>
      <c r="Q1981" s="5">
        <v>28078.365156847896</v>
      </c>
      <c r="R1981" s="5">
        <v>39727.513802035661</v>
      </c>
    </row>
    <row r="1982" spans="9:18">
      <c r="I1982" s="4">
        <v>1967</v>
      </c>
      <c r="J1982" s="5">
        <v>16733.020222212988</v>
      </c>
      <c r="K1982" s="5">
        <v>22732.797143159998</v>
      </c>
      <c r="L1982" s="5">
        <v>19078.910217042379</v>
      </c>
      <c r="M1982" s="5">
        <v>18879.640760542785</v>
      </c>
      <c r="N1982" s="5">
        <v>22010.718648995869</v>
      </c>
      <c r="O1982" s="5">
        <v>15124.35050053727</v>
      </c>
      <c r="P1982" s="5">
        <v>9826.8369575407578</v>
      </c>
      <c r="Q1982" s="5">
        <v>31974.553851773013</v>
      </c>
      <c r="R1982" s="5">
        <v>50287.76786557267</v>
      </c>
    </row>
    <row r="1983" spans="9:18">
      <c r="I1983" s="4">
        <v>1968</v>
      </c>
      <c r="J1983" s="5">
        <v>28085.9245102444</v>
      </c>
      <c r="K1983" s="5">
        <v>32294.121255311245</v>
      </c>
      <c r="L1983" s="5">
        <v>15225.811035017256</v>
      </c>
      <c r="M1983" s="5">
        <v>25580.243606220469</v>
      </c>
      <c r="N1983" s="5">
        <v>24853.247795632611</v>
      </c>
      <c r="O1983" s="5">
        <v>9708.4497800977806</v>
      </c>
      <c r="P1983" s="5">
        <v>18963.234565965948</v>
      </c>
      <c r="Q1983" s="5">
        <v>37802.358878968138</v>
      </c>
      <c r="R1983" s="5">
        <v>261393.32711858812</v>
      </c>
    </row>
    <row r="1984" spans="9:18">
      <c r="I1984" s="4">
        <v>1969</v>
      </c>
      <c r="J1984" s="5">
        <v>14750.660273177687</v>
      </c>
      <c r="K1984" s="5">
        <v>14674.169276244838</v>
      </c>
      <c r="L1984" s="5">
        <v>14610.165745300763</v>
      </c>
      <c r="M1984" s="5">
        <v>16842.379179328669</v>
      </c>
      <c r="N1984" s="5">
        <v>11684.605182472778</v>
      </c>
      <c r="O1984" s="5">
        <v>20827.029306810669</v>
      </c>
      <c r="P1984" s="5">
        <v>17996.895987204196</v>
      </c>
      <c r="Q1984" s="5">
        <v>4924.9171270300558</v>
      </c>
      <c r="R1984" s="5">
        <v>40368.364083205248</v>
      </c>
    </row>
    <row r="1985" spans="9:18">
      <c r="I1985" s="4">
        <v>1970</v>
      </c>
      <c r="J1985" s="5">
        <v>7855.2948890116513</v>
      </c>
      <c r="K1985" s="5">
        <v>21527.93129974293</v>
      </c>
      <c r="L1985" s="5">
        <v>15359.132481533357</v>
      </c>
      <c r="M1985" s="5">
        <v>24981.974172352908</v>
      </c>
      <c r="N1985" s="5">
        <v>23283.854578052265</v>
      </c>
      <c r="O1985" s="5">
        <v>13550.031670770122</v>
      </c>
      <c r="P1985" s="5">
        <v>35213.322626437533</v>
      </c>
      <c r="Q1985" s="5">
        <v>37101.531383212743</v>
      </c>
      <c r="R1985" s="5">
        <v>33863.04333215439</v>
      </c>
    </row>
    <row r="1986" spans="9:18">
      <c r="I1986" s="4">
        <v>1971</v>
      </c>
      <c r="J1986" s="5">
        <v>18650.249281571734</v>
      </c>
      <c r="K1986" s="5">
        <v>14579.232378315752</v>
      </c>
      <c r="L1986" s="5">
        <v>14042.41908879921</v>
      </c>
      <c r="M1986" s="5">
        <v>11529.920007560097</v>
      </c>
      <c r="N1986" s="5">
        <v>6130.3882288404347</v>
      </c>
      <c r="O1986" s="5">
        <v>41800.463215706819</v>
      </c>
      <c r="P1986" s="5">
        <v>66904.018529955298</v>
      </c>
      <c r="Q1986" s="5">
        <v>30495.121067047665</v>
      </c>
      <c r="R1986" s="5">
        <v>14079.827908007112</v>
      </c>
    </row>
    <row r="1987" spans="9:18">
      <c r="I1987" s="4">
        <v>1972</v>
      </c>
      <c r="J1987" s="5">
        <v>28214.771032351968</v>
      </c>
      <c r="K1987" s="5">
        <v>12423.491400404893</v>
      </c>
      <c r="L1987" s="5">
        <v>22018.381599979773</v>
      </c>
      <c r="M1987" s="5">
        <v>21072.983263501868</v>
      </c>
      <c r="N1987" s="5">
        <v>14240.123545764454</v>
      </c>
      <c r="O1987" s="5">
        <v>14371.728352806511</v>
      </c>
      <c r="P1987" s="5">
        <v>13793.886507202402</v>
      </c>
      <c r="Q1987" s="5">
        <v>22483.395143121877</v>
      </c>
      <c r="R1987" s="5">
        <v>7118.1729476780347</v>
      </c>
    </row>
    <row r="1988" spans="9:18">
      <c r="I1988" s="4">
        <v>1973</v>
      </c>
      <c r="J1988" s="5">
        <v>15417.870921574262</v>
      </c>
      <c r="K1988" s="5">
        <v>34058.671324159091</v>
      </c>
      <c r="L1988" s="5">
        <v>16071.478531535273</v>
      </c>
      <c r="M1988" s="5">
        <v>12735.841453044006</v>
      </c>
      <c r="N1988" s="5">
        <v>20558.672182394013</v>
      </c>
      <c r="O1988" s="5">
        <v>20489.622805425737</v>
      </c>
      <c r="P1988" s="5">
        <v>54292.749740228588</v>
      </c>
      <c r="Q1988" s="5">
        <v>4924.9171270300558</v>
      </c>
      <c r="R1988" s="5">
        <v>39788.288251916689</v>
      </c>
    </row>
    <row r="1989" spans="9:18">
      <c r="I1989" s="4">
        <v>1974</v>
      </c>
      <c r="J1989" s="5">
        <v>19121.054099180623</v>
      </c>
      <c r="K1989" s="5">
        <v>15698.764831033119</v>
      </c>
      <c r="L1989" s="5">
        <v>16106.634875163341</v>
      </c>
      <c r="M1989" s="5">
        <v>16881.579299055</v>
      </c>
      <c r="N1989" s="5">
        <v>23043.345403059295</v>
      </c>
      <c r="O1989" s="5">
        <v>16524.769946939996</v>
      </c>
      <c r="P1989" s="5">
        <v>13793.886507202402</v>
      </c>
      <c r="Q1989" s="5">
        <v>42044.890065817184</v>
      </c>
      <c r="R1989" s="5">
        <v>7784.2246210242874</v>
      </c>
    </row>
    <row r="1990" spans="9:18">
      <c r="I1990" s="4">
        <v>1975</v>
      </c>
      <c r="J1990" s="5">
        <v>14680.308400328413</v>
      </c>
      <c r="K1990" s="5">
        <v>19467.955014411935</v>
      </c>
      <c r="L1990" s="5">
        <v>20698.842353987733</v>
      </c>
      <c r="M1990" s="5">
        <v>19262.243095117232</v>
      </c>
      <c r="N1990" s="5">
        <v>14921.795973817481</v>
      </c>
      <c r="O1990" s="5">
        <v>35865.625349531729</v>
      </c>
      <c r="P1990" s="5">
        <v>22601.57564624758</v>
      </c>
      <c r="Q1990" s="5">
        <v>43417.41805414496</v>
      </c>
      <c r="R1990" s="5">
        <v>3989.7956692889929</v>
      </c>
    </row>
    <row r="1991" spans="9:18">
      <c r="I1991" s="4">
        <v>1976</v>
      </c>
      <c r="J1991" s="5">
        <v>16016.491239086423</v>
      </c>
      <c r="K1991" s="5">
        <v>21187.174639714212</v>
      </c>
      <c r="L1991" s="5">
        <v>18602.881797624486</v>
      </c>
      <c r="M1991" s="5">
        <v>16510.442870615672</v>
      </c>
      <c r="N1991" s="5">
        <v>9209.4418830788036</v>
      </c>
      <c r="O1991" s="5">
        <v>10746.295275180995</v>
      </c>
      <c r="P1991" s="5">
        <v>39054.462981000084</v>
      </c>
      <c r="Q1991" s="5">
        <v>4924.9171270300558</v>
      </c>
      <c r="R1991" s="5">
        <v>26783.439354489365</v>
      </c>
    </row>
    <row r="1992" spans="9:18">
      <c r="I1992" s="4">
        <v>1977</v>
      </c>
      <c r="J1992" s="5">
        <v>15064.079707240266</v>
      </c>
      <c r="K1992" s="5">
        <v>15782.544184844044</v>
      </c>
      <c r="L1992" s="5">
        <v>11827.803406885578</v>
      </c>
      <c r="M1992" s="5">
        <v>21712.71007234112</v>
      </c>
      <c r="N1992" s="5">
        <v>34295.124147811541</v>
      </c>
      <c r="O1992" s="5">
        <v>30608.431994348266</v>
      </c>
      <c r="P1992" s="5">
        <v>34814.458119125498</v>
      </c>
      <c r="Q1992" s="5">
        <v>4924.9171270300558</v>
      </c>
      <c r="R1992" s="5">
        <v>30571.564004538617</v>
      </c>
    </row>
    <row r="1993" spans="9:18">
      <c r="I1993" s="4">
        <v>1978</v>
      </c>
      <c r="J1993" s="5">
        <v>49463.324094345015</v>
      </c>
      <c r="K1993" s="5">
        <v>14611.618478071941</v>
      </c>
      <c r="L1993" s="5">
        <v>20698.842353987733</v>
      </c>
      <c r="M1993" s="5">
        <v>20185.026038758231</v>
      </c>
      <c r="N1993" s="5">
        <v>20718.434293991453</v>
      </c>
      <c r="O1993" s="5">
        <v>40942.522561879181</v>
      </c>
      <c r="P1993" s="5">
        <v>9482.0186426688688</v>
      </c>
      <c r="Q1993" s="5">
        <v>13214.632802255031</v>
      </c>
      <c r="R1993" s="5">
        <v>39263.770877572199</v>
      </c>
    </row>
    <row r="1994" spans="9:18">
      <c r="I1994" s="4">
        <v>1979</v>
      </c>
      <c r="J1994" s="5">
        <v>22812.564910649318</v>
      </c>
      <c r="K1994" s="5">
        <v>24728.095385476983</v>
      </c>
      <c r="L1994" s="5">
        <v>14175.160754078657</v>
      </c>
      <c r="M1994" s="5">
        <v>24981.974172352908</v>
      </c>
      <c r="N1994" s="5">
        <v>15130.853682762778</v>
      </c>
      <c r="O1994" s="5">
        <v>10369.402667058452</v>
      </c>
      <c r="P1994" s="5">
        <v>27373.102585108634</v>
      </c>
      <c r="Q1994" s="5">
        <v>15623.622662102793</v>
      </c>
      <c r="R1994" s="5">
        <v>6681.1887184356683</v>
      </c>
    </row>
    <row r="1995" spans="9:18">
      <c r="I1995" s="4">
        <v>1980</v>
      </c>
      <c r="J1995" s="5">
        <v>15623.733864199699</v>
      </c>
      <c r="K1995" s="5">
        <v>31910.762633549082</v>
      </c>
      <c r="L1995" s="5">
        <v>18634.523182776735</v>
      </c>
      <c r="M1995" s="5">
        <v>17542.15972125496</v>
      </c>
      <c r="N1995" s="5">
        <v>14921.795973817481</v>
      </c>
      <c r="O1995" s="5">
        <v>24258.192244316608</v>
      </c>
      <c r="P1995" s="5">
        <v>8069.5385577067918</v>
      </c>
      <c r="Q1995" s="5">
        <v>31974.553851773013</v>
      </c>
      <c r="R1995" s="5">
        <v>31715.273557891396</v>
      </c>
    </row>
    <row r="1996" spans="9:18">
      <c r="I1996" s="4">
        <v>1981</v>
      </c>
      <c r="J1996" s="5">
        <v>15352.465904292809</v>
      </c>
      <c r="K1996" s="5">
        <v>20887.307279900142</v>
      </c>
      <c r="L1996" s="5">
        <v>21428.663623484812</v>
      </c>
      <c r="M1996" s="5">
        <v>19262.243095117232</v>
      </c>
      <c r="N1996" s="5">
        <v>24769.339976495565</v>
      </c>
      <c r="O1996" s="5">
        <v>53007.660727727191</v>
      </c>
      <c r="P1996" s="5">
        <v>38771.994792132391</v>
      </c>
      <c r="Q1996" s="5">
        <v>7349.2234634219121</v>
      </c>
      <c r="R1996" s="5">
        <v>65420.116221752483</v>
      </c>
    </row>
    <row r="1997" spans="9:18">
      <c r="I1997" s="4">
        <v>1982</v>
      </c>
      <c r="J1997" s="5">
        <v>21888.821432026474</v>
      </c>
      <c r="K1997" s="5">
        <v>23934.551191616061</v>
      </c>
      <c r="L1997" s="5">
        <v>16451.333928028147</v>
      </c>
      <c r="M1997" s="5">
        <v>19097.39635881727</v>
      </c>
      <c r="N1997" s="5">
        <v>39672.376281023731</v>
      </c>
      <c r="O1997" s="5">
        <v>41653.890350944224</v>
      </c>
      <c r="P1997" s="5">
        <v>34814.458119125498</v>
      </c>
      <c r="Q1997" s="5">
        <v>28078.365156847896</v>
      </c>
      <c r="R1997" s="5">
        <v>72561.496699005787</v>
      </c>
    </row>
    <row r="1998" spans="9:18">
      <c r="I1998" s="4">
        <v>1983</v>
      </c>
      <c r="J1998" s="5">
        <v>16166.107684907736</v>
      </c>
      <c r="K1998" s="5">
        <v>8223.1266007477425</v>
      </c>
      <c r="L1998" s="5">
        <v>20698.842353987733</v>
      </c>
      <c r="M1998" s="5">
        <v>17542.15972125496</v>
      </c>
      <c r="N1998" s="5">
        <v>17214.078970533748</v>
      </c>
      <c r="O1998" s="5">
        <v>27084.483614751469</v>
      </c>
      <c r="P1998" s="5">
        <v>83536.241167211992</v>
      </c>
      <c r="Q1998" s="5">
        <v>37277.391668005912</v>
      </c>
      <c r="R1998" s="5">
        <v>17991.870496434763</v>
      </c>
    </row>
    <row r="1999" spans="9:18">
      <c r="I1999" s="4">
        <v>1984</v>
      </c>
      <c r="J1999" s="5">
        <v>13918.242013140338</v>
      </c>
      <c r="K1999" s="5">
        <v>22732.797143159998</v>
      </c>
      <c r="L1999" s="5">
        <v>17716.90539191998</v>
      </c>
      <c r="M1999" s="5">
        <v>19433.64679949253</v>
      </c>
      <c r="N1999" s="5">
        <v>46248.895746171031</v>
      </c>
      <c r="O1999" s="5">
        <v>20489.622805425737</v>
      </c>
      <c r="P1999" s="5">
        <v>24349.301972630979</v>
      </c>
      <c r="Q1999" s="5">
        <v>27018.509959127641</v>
      </c>
      <c r="R1999" s="5">
        <v>7879.038918914337</v>
      </c>
    </row>
    <row r="2000" spans="9:18">
      <c r="I2000" s="4">
        <v>1985</v>
      </c>
      <c r="J2000" s="5">
        <v>14749.343145806102</v>
      </c>
      <c r="K2000" s="5">
        <v>9739.7813029644258</v>
      </c>
      <c r="L2000" s="5">
        <v>16777.996633299583</v>
      </c>
      <c r="M2000" s="5">
        <v>29041.83725675238</v>
      </c>
      <c r="N2000" s="5">
        <v>15804.474686449519</v>
      </c>
      <c r="O2000" s="5">
        <v>35865.625349531729</v>
      </c>
      <c r="P2000" s="5">
        <v>27373.102585108634</v>
      </c>
      <c r="Q2000" s="5">
        <v>25156.033327562815</v>
      </c>
      <c r="R2000" s="5">
        <v>302760.11878714536</v>
      </c>
    </row>
    <row r="2001" spans="9:18">
      <c r="I2001" s="4">
        <v>1986</v>
      </c>
      <c r="J2001" s="5">
        <v>14671.176405938595</v>
      </c>
      <c r="K2001" s="5">
        <v>14021.934268028277</v>
      </c>
      <c r="L2001" s="5">
        <v>15161.007794371622</v>
      </c>
      <c r="M2001" s="5">
        <v>25580.243606220469</v>
      </c>
      <c r="N2001" s="5">
        <v>36962.805083900916</v>
      </c>
      <c r="O2001" s="5">
        <v>33720.545907536376</v>
      </c>
      <c r="P2001" s="5">
        <v>9633.1652908310007</v>
      </c>
      <c r="Q2001" s="5">
        <v>17153.530968450712</v>
      </c>
      <c r="R2001" s="5">
        <v>24831.679362998926</v>
      </c>
    </row>
    <row r="2002" spans="9:18">
      <c r="I2002" s="4">
        <v>1987</v>
      </c>
      <c r="J2002" s="5">
        <v>15873.12561080002</v>
      </c>
      <c r="K2002" s="5">
        <v>23327.217259521742</v>
      </c>
      <c r="L2002" s="5">
        <v>23561.450544884348</v>
      </c>
      <c r="M2002" s="5">
        <v>21913.431401527439</v>
      </c>
      <c r="N2002" s="5">
        <v>36962.805083900916</v>
      </c>
      <c r="O2002" s="5">
        <v>53028.643350899503</v>
      </c>
      <c r="P2002" s="5">
        <v>17737.38315098183</v>
      </c>
      <c r="Q2002" s="5">
        <v>52421.574537857021</v>
      </c>
      <c r="R2002" s="5">
        <v>86510.608303273053</v>
      </c>
    </row>
    <row r="2003" spans="9:18">
      <c r="I2003" s="4">
        <v>1988</v>
      </c>
      <c r="J2003" s="5">
        <v>12888.204629170894</v>
      </c>
      <c r="K2003" s="5">
        <v>12423.491400404893</v>
      </c>
      <c r="L2003" s="5">
        <v>15359.132481533357</v>
      </c>
      <c r="M2003" s="5">
        <v>16842.379179328669</v>
      </c>
      <c r="N2003" s="5">
        <v>37309.151967087455</v>
      </c>
      <c r="O2003" s="5">
        <v>20991.103410982985</v>
      </c>
      <c r="P2003" s="5">
        <v>35213.322626437533</v>
      </c>
      <c r="Q2003" s="5">
        <v>47365.380972950254</v>
      </c>
      <c r="R2003" s="5">
        <v>7952.6989268572033</v>
      </c>
    </row>
    <row r="2004" spans="9:18">
      <c r="I2004" s="4">
        <v>1989</v>
      </c>
      <c r="J2004" s="5">
        <v>9405.362381917912</v>
      </c>
      <c r="K2004" s="5">
        <v>23934.551191616061</v>
      </c>
      <c r="L2004" s="5">
        <v>18602.881797624486</v>
      </c>
      <c r="M2004" s="5">
        <v>13414.385151739983</v>
      </c>
      <c r="N2004" s="5">
        <v>18410.937863650517</v>
      </c>
      <c r="O2004" s="5">
        <v>24369.28567093279</v>
      </c>
      <c r="P2004" s="5">
        <v>17643.087208586294</v>
      </c>
      <c r="Q2004" s="5">
        <v>28797.29222718185</v>
      </c>
      <c r="R2004" s="5">
        <v>84289.422255274636</v>
      </c>
    </row>
    <row r="2005" spans="9:18">
      <c r="I2005" s="4">
        <v>1990</v>
      </c>
      <c r="J2005" s="5">
        <v>15352.465904292809</v>
      </c>
      <c r="K2005" s="5">
        <v>11206.053243692098</v>
      </c>
      <c r="L2005" s="5">
        <v>15923.549351835489</v>
      </c>
      <c r="M2005" s="5">
        <v>13065.820809359835</v>
      </c>
      <c r="N2005" s="5">
        <v>12592.300437162297</v>
      </c>
      <c r="O2005" s="5">
        <v>20827.029306810669</v>
      </c>
      <c r="P2005" s="5">
        <v>48123.003747643132</v>
      </c>
      <c r="Q2005" s="5">
        <v>25156.033327562815</v>
      </c>
      <c r="R2005" s="5">
        <v>91403.228438796665</v>
      </c>
    </row>
    <row r="2006" spans="9:18">
      <c r="I2006" s="4">
        <v>1991</v>
      </c>
      <c r="J2006" s="5">
        <v>12452.764985867625</v>
      </c>
      <c r="K2006" s="5">
        <v>12423.491400404893</v>
      </c>
      <c r="L2006" s="5">
        <v>18810.091753970282</v>
      </c>
      <c r="M2006" s="5">
        <v>26477.996319655329</v>
      </c>
      <c r="N2006" s="5">
        <v>24853.247795632611</v>
      </c>
      <c r="O2006" s="5">
        <v>19492.655596593511</v>
      </c>
      <c r="P2006" s="5">
        <v>44646.134934589521</v>
      </c>
      <c r="Q2006" s="5">
        <v>28078.365156847896</v>
      </c>
      <c r="R2006" s="5">
        <v>50287.76786557267</v>
      </c>
    </row>
    <row r="2007" spans="9:18">
      <c r="I2007" s="4">
        <v>1992</v>
      </c>
      <c r="J2007" s="5">
        <v>14750.660273177687</v>
      </c>
      <c r="K2007" s="5">
        <v>13288.692555879701</v>
      </c>
      <c r="L2007" s="5">
        <v>17243.440968229323</v>
      </c>
      <c r="M2007" s="5">
        <v>19262.243095117232</v>
      </c>
      <c r="N2007" s="5">
        <v>8104.6265149430556</v>
      </c>
      <c r="O2007" s="5">
        <v>25802.481365323994</v>
      </c>
      <c r="P2007" s="5">
        <v>33715.790977629549</v>
      </c>
      <c r="Q2007" s="5">
        <v>31618.396253255491</v>
      </c>
      <c r="R2007" s="5">
        <v>38898.713625068609</v>
      </c>
    </row>
    <row r="2008" spans="9:18">
      <c r="I2008" s="4">
        <v>1993</v>
      </c>
      <c r="J2008" s="5">
        <v>21888.821432026474</v>
      </c>
      <c r="K2008" s="5">
        <v>17495.743706488822</v>
      </c>
      <c r="L2008" s="5">
        <v>16777.996633299583</v>
      </c>
      <c r="M2008" s="5">
        <v>10451.914120098167</v>
      </c>
      <c r="N2008" s="5">
        <v>42744.618431291936</v>
      </c>
      <c r="O2008" s="5">
        <v>53007.660727727191</v>
      </c>
      <c r="P2008" s="5">
        <v>49519.098753410741</v>
      </c>
      <c r="Q2008" s="5">
        <v>9652.8114206999071</v>
      </c>
      <c r="R2008" s="5">
        <v>17687.533637716911</v>
      </c>
    </row>
    <row r="2009" spans="9:18">
      <c r="I2009" s="4">
        <v>1994</v>
      </c>
      <c r="J2009" s="5">
        <v>16416.142496463777</v>
      </c>
      <c r="K2009" s="5">
        <v>15487.124352801369</v>
      </c>
      <c r="L2009" s="5">
        <v>15060.431658965737</v>
      </c>
      <c r="M2009" s="5">
        <v>18691.941789825862</v>
      </c>
      <c r="N2009" s="5">
        <v>22010.718648995869</v>
      </c>
      <c r="O2009" s="5">
        <v>9956.4031238965053</v>
      </c>
      <c r="P2009" s="5">
        <v>10966.822219855034</v>
      </c>
      <c r="Q2009" s="5">
        <v>71213.172792303565</v>
      </c>
      <c r="R2009" s="5">
        <v>3989.7956692889929</v>
      </c>
    </row>
    <row r="2010" spans="9:18">
      <c r="I2010" s="4">
        <v>1995</v>
      </c>
      <c r="J2010" s="5">
        <v>16156.372629961115</v>
      </c>
      <c r="K2010" s="5">
        <v>16934.093371663999</v>
      </c>
      <c r="L2010" s="5">
        <v>13023.361770761438</v>
      </c>
      <c r="M2010" s="5">
        <v>18691.941789825862</v>
      </c>
      <c r="N2010" s="5">
        <v>48565.498233359976</v>
      </c>
      <c r="O2010" s="5">
        <v>8024.6340027919978</v>
      </c>
      <c r="P2010" s="5">
        <v>24349.301972630979</v>
      </c>
      <c r="Q2010" s="5">
        <v>92068.726035424203</v>
      </c>
      <c r="R2010" s="5">
        <v>18720.450716365784</v>
      </c>
    </row>
    <row r="2011" spans="9:18">
      <c r="I2011" s="4">
        <v>1996</v>
      </c>
      <c r="J2011" s="5">
        <v>31559.699247539775</v>
      </c>
      <c r="K2011" s="5">
        <v>11558.357574452555</v>
      </c>
      <c r="L2011" s="5">
        <v>14815.394001212817</v>
      </c>
      <c r="M2011" s="5">
        <v>29041.83725675238</v>
      </c>
      <c r="N2011" s="5">
        <v>16581.915858379376</v>
      </c>
      <c r="O2011" s="5">
        <v>25644.588869829797</v>
      </c>
      <c r="P2011" s="5">
        <v>21933.779100635442</v>
      </c>
      <c r="Q2011" s="5">
        <v>9652.8114206999071</v>
      </c>
      <c r="R2011" s="5">
        <v>10885.018205103002</v>
      </c>
    </row>
    <row r="2012" spans="9:18">
      <c r="I2012" s="4">
        <v>1997</v>
      </c>
      <c r="J2012" s="5">
        <v>12888.204629170894</v>
      </c>
      <c r="K2012" s="5">
        <v>15768.312122029349</v>
      </c>
      <c r="L2012" s="5">
        <v>16071.478531535273</v>
      </c>
      <c r="M2012" s="5">
        <v>16001.653036457456</v>
      </c>
      <c r="N2012" s="5">
        <v>14240.123545764454</v>
      </c>
      <c r="O2012" s="5">
        <v>20930.098352661731</v>
      </c>
      <c r="P2012" s="5">
        <v>46514.467673254068</v>
      </c>
      <c r="Q2012" s="5">
        <v>11173.074396969254</v>
      </c>
      <c r="R2012" s="5">
        <v>17304.847214362417</v>
      </c>
    </row>
    <row r="2013" spans="9:18">
      <c r="I2013" s="4">
        <v>1998</v>
      </c>
      <c r="J2013" s="5">
        <v>16166.107684907736</v>
      </c>
      <c r="K2013" s="5">
        <v>29672.680843304515</v>
      </c>
      <c r="L2013" s="5">
        <v>18810.091753970282</v>
      </c>
      <c r="M2013" s="5">
        <v>29058.117767351498</v>
      </c>
      <c r="N2013" s="5">
        <v>11684.605182472778</v>
      </c>
      <c r="O2013" s="5">
        <v>27084.483614751469</v>
      </c>
      <c r="P2013" s="5">
        <v>17996.895987204196</v>
      </c>
      <c r="Q2013" s="5">
        <v>48866.209623168346</v>
      </c>
      <c r="R2013" s="5">
        <v>87776.138236389699</v>
      </c>
    </row>
    <row r="2014" spans="9:18">
      <c r="I2014" s="4">
        <v>1999</v>
      </c>
      <c r="J2014" s="5">
        <v>7855.2948890116513</v>
      </c>
      <c r="K2014" s="5">
        <v>17903.387243834499</v>
      </c>
      <c r="L2014" s="5">
        <v>15664.99858445921</v>
      </c>
      <c r="M2014" s="5">
        <v>15346.383801976139</v>
      </c>
      <c r="N2014" s="5">
        <v>18410.937863650517</v>
      </c>
      <c r="O2014" s="5">
        <v>20991.103410982985</v>
      </c>
      <c r="P2014" s="5">
        <v>28537.545734403488</v>
      </c>
      <c r="Q2014" s="5">
        <v>10151.908492905288</v>
      </c>
      <c r="R2014" s="5">
        <v>72640.340924600489</v>
      </c>
    </row>
    <row r="2015" spans="9:18">
      <c r="I2015" s="4">
        <v>2000</v>
      </c>
      <c r="J2015" s="5">
        <v>13595.404057849493</v>
      </c>
      <c r="K2015" s="5">
        <v>14017.262946034314</v>
      </c>
      <c r="L2015" s="5">
        <v>21428.663623484812</v>
      </c>
      <c r="M2015" s="5">
        <v>13642.678686731051</v>
      </c>
      <c r="N2015" s="5">
        <v>16148.901635865295</v>
      </c>
      <c r="O2015" s="5">
        <v>16505.600261180331</v>
      </c>
      <c r="P2015" s="5">
        <v>8069.5385577067918</v>
      </c>
      <c r="Q2015" s="5">
        <v>96632.959478514502</v>
      </c>
      <c r="R2015" s="5">
        <v>86510.608303273053</v>
      </c>
    </row>
    <row r="2016" spans="9:18">
      <c r="I2016" s="4">
        <v>2001</v>
      </c>
      <c r="J2016" s="5">
        <v>15873.12561080002</v>
      </c>
      <c r="K2016" s="5">
        <v>14136.873097602549</v>
      </c>
      <c r="L2016" s="5">
        <v>16293.265064857471</v>
      </c>
      <c r="M2016" s="5">
        <v>11529.920007560097</v>
      </c>
      <c r="N2016" s="5">
        <v>23283.854578052265</v>
      </c>
      <c r="O2016" s="5">
        <v>27195.510785031525</v>
      </c>
      <c r="P2016" s="5">
        <v>55152.110177667731</v>
      </c>
      <c r="Q2016" s="5">
        <v>16591.881190929333</v>
      </c>
      <c r="R2016" s="5">
        <v>41418.225609677866</v>
      </c>
    </row>
    <row r="2017" spans="9:18">
      <c r="I2017" s="4">
        <v>2002</v>
      </c>
      <c r="J2017" s="5">
        <v>15554.996700302558</v>
      </c>
      <c r="K2017" s="5">
        <v>11558.357574452555</v>
      </c>
      <c r="L2017" s="5">
        <v>16071.478531535273</v>
      </c>
      <c r="M2017" s="5">
        <v>13022.686998540772</v>
      </c>
      <c r="N2017" s="5">
        <v>42744.618431291936</v>
      </c>
      <c r="O2017" s="5">
        <v>40304.23053285561</v>
      </c>
      <c r="P2017" s="5">
        <v>17996.895987204196</v>
      </c>
      <c r="Q2017" s="5">
        <v>6386.5227360487288</v>
      </c>
      <c r="R2017" s="5">
        <v>93933.045103013996</v>
      </c>
    </row>
    <row r="2018" spans="9:18">
      <c r="I2018" s="4">
        <v>2003</v>
      </c>
      <c r="J2018" s="5">
        <v>13391.049101507895</v>
      </c>
      <c r="K2018" s="5">
        <v>14095.75230105142</v>
      </c>
      <c r="L2018" s="5">
        <v>23561.450544884348</v>
      </c>
      <c r="M2018" s="5">
        <v>16001.653036457456</v>
      </c>
      <c r="N2018" s="5">
        <v>48565.498233359976</v>
      </c>
      <c r="O2018" s="5">
        <v>15936.062371781712</v>
      </c>
      <c r="P2018" s="5">
        <v>106091.28270624072</v>
      </c>
      <c r="Q2018" s="5">
        <v>14064.158297039334</v>
      </c>
      <c r="R2018" s="5">
        <v>39727.513802035661</v>
      </c>
    </row>
    <row r="2019" spans="9:18">
      <c r="I2019" s="4">
        <v>2004</v>
      </c>
      <c r="J2019" s="5">
        <v>14420.293087375476</v>
      </c>
      <c r="K2019" s="5">
        <v>23934.551191616061</v>
      </c>
      <c r="L2019" s="5">
        <v>16293.265064857471</v>
      </c>
      <c r="M2019" s="5">
        <v>23908.621352410395</v>
      </c>
      <c r="N2019" s="5">
        <v>46248.895746171031</v>
      </c>
      <c r="O2019" s="5">
        <v>4231.3144655921506</v>
      </c>
      <c r="P2019" s="5">
        <v>25258.981945036445</v>
      </c>
      <c r="Q2019" s="5">
        <v>12253.299944531094</v>
      </c>
      <c r="R2019" s="5">
        <v>114016.93673542379</v>
      </c>
    </row>
    <row r="2020" spans="9:18">
      <c r="I2020" s="4">
        <v>2005</v>
      </c>
      <c r="J2020" s="5">
        <v>14671.176405938595</v>
      </c>
      <c r="K2020" s="5">
        <v>11206.053243692098</v>
      </c>
      <c r="L2020" s="5">
        <v>15161.007794371622</v>
      </c>
      <c r="M2020" s="5">
        <v>23067.94260629595</v>
      </c>
      <c r="N2020" s="5">
        <v>57711.498171893618</v>
      </c>
      <c r="O2020" s="5">
        <v>53007.660727727191</v>
      </c>
      <c r="P2020" s="5">
        <v>8662.4232458952465</v>
      </c>
      <c r="Q2020" s="5">
        <v>8880.8074399558282</v>
      </c>
      <c r="R2020" s="5">
        <v>24722.972470599001</v>
      </c>
    </row>
    <row r="2021" spans="9:18">
      <c r="I2021" s="4">
        <v>2006</v>
      </c>
      <c r="J2021" s="5">
        <v>15417.870921574262</v>
      </c>
      <c r="K2021" s="5">
        <v>37822.375317881044</v>
      </c>
      <c r="L2021" s="5">
        <v>16616.161224349555</v>
      </c>
      <c r="M2021" s="5">
        <v>37411.178129764201</v>
      </c>
      <c r="N2021" s="5">
        <v>25549.748582175915</v>
      </c>
      <c r="O2021" s="5">
        <v>36759.655306288936</v>
      </c>
      <c r="P2021" s="5">
        <v>66904.018529955298</v>
      </c>
      <c r="Q2021" s="5">
        <v>8880.8074399558282</v>
      </c>
      <c r="R2021" s="5">
        <v>302760.11878714536</v>
      </c>
    </row>
    <row r="2022" spans="9:18">
      <c r="I2022" s="4">
        <v>2007</v>
      </c>
      <c r="J2022" s="5">
        <v>45301.532027110363</v>
      </c>
      <c r="K2022" s="5">
        <v>15391.837334808681</v>
      </c>
      <c r="L2022" s="5">
        <v>22319.409576580376</v>
      </c>
      <c r="M2022" s="5">
        <v>10451.914120098167</v>
      </c>
      <c r="N2022" s="5">
        <v>13511.694619545402</v>
      </c>
      <c r="O2022" s="5">
        <v>62082.6862081785</v>
      </c>
      <c r="P2022" s="5">
        <v>21813.848941464526</v>
      </c>
      <c r="Q2022" s="5">
        <v>71213.172792303565</v>
      </c>
      <c r="R2022" s="5">
        <v>19133.693426869788</v>
      </c>
    </row>
    <row r="2023" spans="9:18">
      <c r="I2023" s="4">
        <v>2008</v>
      </c>
      <c r="J2023" s="5">
        <v>13918.242013140338</v>
      </c>
      <c r="K2023" s="5">
        <v>53937.689698015136</v>
      </c>
      <c r="L2023" s="5">
        <v>16616.161224349555</v>
      </c>
      <c r="M2023" s="5">
        <v>29041.83725675238</v>
      </c>
      <c r="N2023" s="5">
        <v>23746.795665493762</v>
      </c>
      <c r="O2023" s="5">
        <v>83458.030763693328</v>
      </c>
      <c r="P2023" s="5">
        <v>35569.894390728325</v>
      </c>
      <c r="Q2023" s="5">
        <v>12253.299944531094</v>
      </c>
      <c r="R2023" s="5">
        <v>123773.40402252052</v>
      </c>
    </row>
    <row r="2024" spans="9:18">
      <c r="I2024" s="4">
        <v>2009</v>
      </c>
      <c r="J2024" s="5">
        <v>22370.105711697011</v>
      </c>
      <c r="K2024" s="5">
        <v>13520.836427679104</v>
      </c>
      <c r="L2024" s="5">
        <v>17073.17760523731</v>
      </c>
      <c r="M2024" s="5">
        <v>20185.026038758231</v>
      </c>
      <c r="N2024" s="5">
        <v>21617.945168312468</v>
      </c>
      <c r="O2024" s="5">
        <v>24258.192244316608</v>
      </c>
      <c r="P2024" s="5">
        <v>3017.2887813579896</v>
      </c>
      <c r="Q2024" s="5">
        <v>4631.7430487757983</v>
      </c>
      <c r="R2024" s="5">
        <v>33290.909836056817</v>
      </c>
    </row>
    <row r="2025" spans="9:18">
      <c r="I2025" s="4">
        <v>2010</v>
      </c>
      <c r="J2025" s="5">
        <v>15873.12561080002</v>
      </c>
      <c r="K2025" s="5">
        <v>21218.439146892688</v>
      </c>
      <c r="L2025" s="5">
        <v>13867.07093008449</v>
      </c>
      <c r="M2025" s="5">
        <v>10111.451009425113</v>
      </c>
      <c r="N2025" s="5">
        <v>17891.96347244953</v>
      </c>
      <c r="O2025" s="5">
        <v>67717.30633712461</v>
      </c>
      <c r="P2025" s="5">
        <v>49519.098753410741</v>
      </c>
      <c r="Q2025" s="5">
        <v>37497.234505125656</v>
      </c>
      <c r="R2025" s="5">
        <v>40368.364083205248</v>
      </c>
    </row>
    <row r="2026" spans="9:18">
      <c r="I2026" s="4">
        <v>2011</v>
      </c>
      <c r="J2026" s="5">
        <v>16016.491239086423</v>
      </c>
      <c r="K2026" s="5">
        <v>13559.080695844099</v>
      </c>
      <c r="L2026" s="5">
        <v>16451.333928028147</v>
      </c>
      <c r="M2026" s="5">
        <v>23449.501569180404</v>
      </c>
      <c r="N2026" s="5">
        <v>12592.300437162297</v>
      </c>
      <c r="O2026" s="5">
        <v>18637.945795127704</v>
      </c>
      <c r="P2026" s="5">
        <v>25258.981945036445</v>
      </c>
      <c r="Q2026" s="5">
        <v>9454.5906023793759</v>
      </c>
      <c r="R2026" s="5">
        <v>7201.7586694681067</v>
      </c>
    </row>
    <row r="2027" spans="9:18">
      <c r="I2027" s="4">
        <v>2012</v>
      </c>
      <c r="J2027" s="5">
        <v>34933.039312618188</v>
      </c>
      <c r="K2027" s="5">
        <v>16665.1498926479</v>
      </c>
      <c r="L2027" s="5">
        <v>16777.996633299583</v>
      </c>
      <c r="M2027" s="5">
        <v>23449.501569180404</v>
      </c>
      <c r="N2027" s="5">
        <v>26115.05281128412</v>
      </c>
      <c r="O2027" s="5">
        <v>8121.6248378263163</v>
      </c>
      <c r="P2027" s="5">
        <v>45161.732159568586</v>
      </c>
      <c r="Q2027" s="5">
        <v>79566.621912742485</v>
      </c>
      <c r="R2027" s="5">
        <v>18720.450716365784</v>
      </c>
    </row>
    <row r="2028" spans="9:18">
      <c r="I2028" s="4">
        <v>2013</v>
      </c>
      <c r="J2028" s="5">
        <v>27392.038553726634</v>
      </c>
      <c r="K2028" s="5">
        <v>15768.312122029349</v>
      </c>
      <c r="L2028" s="5">
        <v>24256.352541181568</v>
      </c>
      <c r="M2028" s="5">
        <v>31460.745851561904</v>
      </c>
      <c r="N2028" s="5">
        <v>26565.664379767408</v>
      </c>
      <c r="O2028" s="5">
        <v>53028.643350899503</v>
      </c>
      <c r="P2028" s="5">
        <v>10532.667493814919</v>
      </c>
      <c r="Q2028" s="5">
        <v>11173.074396969254</v>
      </c>
      <c r="R2028" s="5">
        <v>31715.273557891396</v>
      </c>
    </row>
    <row r="2029" spans="9:18">
      <c r="I2029" s="4">
        <v>2014</v>
      </c>
      <c r="J2029" s="5">
        <v>16733.020222212988</v>
      </c>
      <c r="K2029" s="5">
        <v>19467.955014411935</v>
      </c>
      <c r="L2029" s="5">
        <v>18602.881797624486</v>
      </c>
      <c r="M2029" s="5">
        <v>22815.60259636537</v>
      </c>
      <c r="N2029" s="5">
        <v>15130.853682762778</v>
      </c>
      <c r="O2029" s="5">
        <v>5444.7598502623823</v>
      </c>
      <c r="P2029" s="5">
        <v>55119.366528283317</v>
      </c>
      <c r="Q2029" s="5">
        <v>3909.239690544402</v>
      </c>
      <c r="R2029" s="5">
        <v>86510.608303273053</v>
      </c>
    </row>
    <row r="2030" spans="9:18">
      <c r="I2030" s="4">
        <v>2015</v>
      </c>
      <c r="J2030" s="5">
        <v>9405.362381917912</v>
      </c>
      <c r="K2030" s="5">
        <v>13288.692555879701</v>
      </c>
      <c r="L2030" s="5">
        <v>14649.721476864312</v>
      </c>
      <c r="M2030" s="5">
        <v>30785.663999045999</v>
      </c>
      <c r="N2030" s="5">
        <v>11251.634703629026</v>
      </c>
      <c r="O2030" s="5">
        <v>10738.305003664611</v>
      </c>
      <c r="P2030" s="5">
        <v>36724.352187786957</v>
      </c>
      <c r="Q2030" s="5">
        <v>31019.493883163672</v>
      </c>
      <c r="R2030" s="5">
        <v>39263.770877572199</v>
      </c>
    </row>
    <row r="2031" spans="9:18">
      <c r="I2031" s="4">
        <v>2016</v>
      </c>
      <c r="J2031" s="5">
        <v>73074.062486361407</v>
      </c>
      <c r="K2031" s="5">
        <v>15347.101709242541</v>
      </c>
      <c r="L2031" s="5">
        <v>16955.349467865559</v>
      </c>
      <c r="M2031" s="5">
        <v>31554.722481137964</v>
      </c>
      <c r="N2031" s="5">
        <v>27841.916587595573</v>
      </c>
      <c r="O2031" s="5">
        <v>27084.483614751469</v>
      </c>
      <c r="P2031" s="5">
        <v>14316.965520592317</v>
      </c>
      <c r="Q2031" s="5">
        <v>22145.301831504508</v>
      </c>
      <c r="R2031" s="5">
        <v>6360.7905155660001</v>
      </c>
    </row>
    <row r="2032" spans="9:18">
      <c r="I2032" s="4">
        <v>2017</v>
      </c>
      <c r="J2032" s="5">
        <v>11854.381651026555</v>
      </c>
      <c r="K2032" s="5">
        <v>11403.533194020869</v>
      </c>
      <c r="L2032" s="5">
        <v>15923.549351835489</v>
      </c>
      <c r="M2032" s="5">
        <v>18816.787977140237</v>
      </c>
      <c r="N2032" s="5">
        <v>21009.255892677338</v>
      </c>
      <c r="O2032" s="5">
        <v>67717.30633712461</v>
      </c>
      <c r="P2032" s="5">
        <v>8662.4232458952465</v>
      </c>
      <c r="Q2032" s="5">
        <v>12253.299944531094</v>
      </c>
      <c r="R2032" s="5">
        <v>2071.5141323269809</v>
      </c>
    </row>
    <row r="2033" spans="9:18">
      <c r="I2033" s="4">
        <v>2018</v>
      </c>
      <c r="J2033" s="5">
        <v>28085.9245102444</v>
      </c>
      <c r="K2033" s="5">
        <v>17128.860847126922</v>
      </c>
      <c r="L2033" s="5">
        <v>16071.260291253868</v>
      </c>
      <c r="M2033" s="5">
        <v>21913.431401527439</v>
      </c>
      <c r="N2033" s="5">
        <v>46248.895746171031</v>
      </c>
      <c r="O2033" s="5">
        <v>26268.613803794757</v>
      </c>
      <c r="P2033" s="5">
        <v>63015.124693769802</v>
      </c>
      <c r="Q2033" s="5">
        <v>70295.978314632754</v>
      </c>
      <c r="R2033" s="5">
        <v>39788.288251916689</v>
      </c>
    </row>
    <row r="2034" spans="9:18">
      <c r="I2034" s="4">
        <v>2019</v>
      </c>
      <c r="J2034" s="5">
        <v>13841.207384998772</v>
      </c>
      <c r="K2034" s="5">
        <v>34058.671324159091</v>
      </c>
      <c r="L2034" s="5">
        <v>17683.765335572589</v>
      </c>
      <c r="M2034" s="5">
        <v>19151.339770278159</v>
      </c>
      <c r="N2034" s="5">
        <v>10882.757905166785</v>
      </c>
      <c r="O2034" s="5">
        <v>33720.545907536376</v>
      </c>
      <c r="P2034" s="5">
        <v>3930.0915591834291</v>
      </c>
      <c r="Q2034" s="5">
        <v>7349.2234634219121</v>
      </c>
      <c r="R2034" s="5">
        <v>19133.693426869788</v>
      </c>
    </row>
    <row r="2035" spans="9:18">
      <c r="I2035" s="4">
        <v>2020</v>
      </c>
      <c r="J2035" s="5">
        <v>29760.443016608337</v>
      </c>
      <c r="K2035" s="5">
        <v>9769.3659785458403</v>
      </c>
      <c r="L2035" s="5">
        <v>15487.970507365942</v>
      </c>
      <c r="M2035" s="5">
        <v>15202.972920708273</v>
      </c>
      <c r="N2035" s="5">
        <v>17891.96347244953</v>
      </c>
      <c r="O2035" s="5">
        <v>18637.945795127704</v>
      </c>
      <c r="P2035" s="5">
        <v>14316.965520592317</v>
      </c>
      <c r="Q2035" s="5">
        <v>13099.063525342741</v>
      </c>
      <c r="R2035" s="5">
        <v>24831.679362998926</v>
      </c>
    </row>
    <row r="2036" spans="9:18">
      <c r="I2036" s="4">
        <v>2021</v>
      </c>
      <c r="J2036" s="5">
        <v>9405.362381917912</v>
      </c>
      <c r="K2036" s="5">
        <v>16934.093371663999</v>
      </c>
      <c r="L2036" s="5">
        <v>14815.394001212817</v>
      </c>
      <c r="M2036" s="5">
        <v>13011.820191946215</v>
      </c>
      <c r="N2036" s="5">
        <v>15658.063692994532</v>
      </c>
      <c r="O2036" s="5">
        <v>10676.618215263648</v>
      </c>
      <c r="P2036" s="5">
        <v>36724.352187786957</v>
      </c>
      <c r="Q2036" s="5">
        <v>25156.033327562815</v>
      </c>
      <c r="R2036" s="5">
        <v>7879.038918914337</v>
      </c>
    </row>
    <row r="2037" spans="9:18">
      <c r="I2037" s="4">
        <v>2022</v>
      </c>
      <c r="J2037" s="5">
        <v>49463.324094345015</v>
      </c>
      <c r="K2037" s="5">
        <v>24728.095385476983</v>
      </c>
      <c r="L2037" s="5">
        <v>15300.182042823812</v>
      </c>
      <c r="M2037" s="5">
        <v>12735.841453044006</v>
      </c>
      <c r="N2037" s="5">
        <v>23008.246229813707</v>
      </c>
      <c r="O2037" s="5">
        <v>40942.522561879181</v>
      </c>
      <c r="P2037" s="5">
        <v>23769.190223735484</v>
      </c>
      <c r="Q2037" s="5">
        <v>4631.7430487757983</v>
      </c>
      <c r="R2037" s="5">
        <v>55106.806585409526</v>
      </c>
    </row>
    <row r="2038" spans="9:18">
      <c r="I2038" s="4">
        <v>2023</v>
      </c>
      <c r="J2038" s="5">
        <v>22188.291830993156</v>
      </c>
      <c r="K2038" s="5">
        <v>13288.692555879701</v>
      </c>
      <c r="L2038" s="5">
        <v>15126.980926457318</v>
      </c>
      <c r="M2038" s="5">
        <v>13642.678686731051</v>
      </c>
      <c r="N2038" s="5">
        <v>16581.915858379376</v>
      </c>
      <c r="O2038" s="5">
        <v>10369.402667058452</v>
      </c>
      <c r="P2038" s="5">
        <v>14316.965520592317</v>
      </c>
      <c r="Q2038" s="5">
        <v>92068.726035424203</v>
      </c>
      <c r="R2038" s="5">
        <v>55106.806585409526</v>
      </c>
    </row>
    <row r="2039" spans="9:18">
      <c r="I2039" s="4">
        <v>2024</v>
      </c>
      <c r="J2039" s="5">
        <v>16145.071869702888</v>
      </c>
      <c r="K2039" s="5">
        <v>18086.448513145526</v>
      </c>
      <c r="L2039" s="5">
        <v>15161.007794371622</v>
      </c>
      <c r="M2039" s="5">
        <v>19151.339770278159</v>
      </c>
      <c r="N2039" s="5">
        <v>11635.644856128632</v>
      </c>
      <c r="O2039" s="5">
        <v>13840.304699955392</v>
      </c>
      <c r="P2039" s="5">
        <v>9965.8330787532959</v>
      </c>
      <c r="Q2039" s="5">
        <v>9454.5906023793759</v>
      </c>
      <c r="R2039" s="5">
        <v>93933.045103013996</v>
      </c>
    </row>
    <row r="2040" spans="9:18">
      <c r="I2040" s="4">
        <v>2025</v>
      </c>
      <c r="J2040" s="5">
        <v>21888.821432026474</v>
      </c>
      <c r="K2040" s="5">
        <v>16674.541027260992</v>
      </c>
      <c r="L2040" s="5">
        <v>19189.275558866306</v>
      </c>
      <c r="M2040" s="5">
        <v>14217.48832834715</v>
      </c>
      <c r="N2040" s="5">
        <v>11635.644856128632</v>
      </c>
      <c r="O2040" s="5">
        <v>53504.725169095313</v>
      </c>
      <c r="P2040" s="5">
        <v>36724.352187786957</v>
      </c>
      <c r="Q2040" s="5">
        <v>25156.033327562815</v>
      </c>
      <c r="R2040" s="5">
        <v>14706.681111065362</v>
      </c>
    </row>
    <row r="2041" spans="9:18">
      <c r="I2041" s="4">
        <v>2026</v>
      </c>
      <c r="J2041" s="5">
        <v>43272.831879770602</v>
      </c>
      <c r="K2041" s="5">
        <v>32073.547537933715</v>
      </c>
      <c r="L2041" s="5">
        <v>13023.361770761438</v>
      </c>
      <c r="M2041" s="5">
        <v>22326.253555179093</v>
      </c>
      <c r="N2041" s="5">
        <v>9563.1256545330361</v>
      </c>
      <c r="O2041" s="5">
        <v>40581.847217937895</v>
      </c>
      <c r="P2041" s="5">
        <v>32155.527541400057</v>
      </c>
      <c r="Q2041" s="5">
        <v>129470.11441833655</v>
      </c>
      <c r="R2041" s="5">
        <v>39727.513802035661</v>
      </c>
    </row>
    <row r="2042" spans="9:18">
      <c r="I2042" s="4">
        <v>2027</v>
      </c>
      <c r="J2042" s="5">
        <v>14017.326487344162</v>
      </c>
      <c r="K2042" s="5">
        <v>21958.925144875713</v>
      </c>
      <c r="L2042" s="5">
        <v>15922.087958863045</v>
      </c>
      <c r="M2042" s="5">
        <v>23908.621352410395</v>
      </c>
      <c r="N2042" s="5">
        <v>22868.569282757788</v>
      </c>
      <c r="O2042" s="5">
        <v>26268.613803794757</v>
      </c>
      <c r="P2042" s="5">
        <v>77603.711720266961</v>
      </c>
      <c r="Q2042" s="5">
        <v>13214.632802255031</v>
      </c>
      <c r="R2042" s="5">
        <v>39263.770877572199</v>
      </c>
    </row>
    <row r="2043" spans="9:18">
      <c r="I2043" s="4">
        <v>2028</v>
      </c>
      <c r="J2043" s="5">
        <v>16733.020222212988</v>
      </c>
      <c r="K2043" s="5">
        <v>22732.797143159998</v>
      </c>
      <c r="L2043" s="5">
        <v>17920.486090689363</v>
      </c>
      <c r="M2043" s="5">
        <v>18177.175180585615</v>
      </c>
      <c r="N2043" s="5">
        <v>34295.124147811541</v>
      </c>
      <c r="O2043" s="5">
        <v>16462.170789592048</v>
      </c>
      <c r="P2043" s="5">
        <v>44816.412248582856</v>
      </c>
      <c r="Q2043" s="5">
        <v>14064.158297039334</v>
      </c>
      <c r="R2043" s="5">
        <v>93933.045103013996</v>
      </c>
    </row>
    <row r="2044" spans="9:18">
      <c r="I2044" s="4">
        <v>2029</v>
      </c>
      <c r="J2044" s="5">
        <v>15417.870921574262</v>
      </c>
      <c r="K2044" s="5">
        <v>35488.449387009874</v>
      </c>
      <c r="L2044" s="5">
        <v>19359.475411188432</v>
      </c>
      <c r="M2044" s="5">
        <v>12934.591863415189</v>
      </c>
      <c r="N2044" s="5">
        <v>20583.564383988036</v>
      </c>
      <c r="O2044" s="5">
        <v>41800.463215706819</v>
      </c>
      <c r="P2044" s="5">
        <v>26126.807131356076</v>
      </c>
      <c r="Q2044" s="5">
        <v>28567.61306643406</v>
      </c>
      <c r="R2044" s="5">
        <v>8720.6503563381029</v>
      </c>
    </row>
    <row r="2045" spans="9:18">
      <c r="I2045" s="4">
        <v>2030</v>
      </c>
      <c r="J2045" s="5">
        <v>21888.821432026474</v>
      </c>
      <c r="K2045" s="5">
        <v>13288.692555879701</v>
      </c>
      <c r="L2045" s="5">
        <v>17243.440968229323</v>
      </c>
      <c r="M2045" s="5">
        <v>15202.972920708273</v>
      </c>
      <c r="N2045" s="5">
        <v>16581.915858379376</v>
      </c>
      <c r="O2045" s="5">
        <v>53028.643350899503</v>
      </c>
      <c r="P2045" s="5">
        <v>18862.487147419793</v>
      </c>
      <c r="Q2045" s="5">
        <v>48866.209623168346</v>
      </c>
      <c r="R2045" s="5">
        <v>14706.681111065362</v>
      </c>
    </row>
    <row r="2046" spans="9:18">
      <c r="I2046" s="4">
        <v>2031</v>
      </c>
      <c r="J2046" s="5">
        <v>34933.039312618188</v>
      </c>
      <c r="K2046" s="5">
        <v>15768.312122029349</v>
      </c>
      <c r="L2046" s="5">
        <v>10896.494237357269</v>
      </c>
      <c r="M2046" s="5">
        <v>7334.8610818348589</v>
      </c>
      <c r="N2046" s="5">
        <v>35826.921212852278</v>
      </c>
      <c r="O2046" s="5">
        <v>19492.655596593511</v>
      </c>
      <c r="P2046" s="5">
        <v>77603.711720266961</v>
      </c>
      <c r="Q2046" s="5">
        <v>100789.83462564547</v>
      </c>
      <c r="R2046" s="5">
        <v>40368.364083205248</v>
      </c>
    </row>
    <row r="2047" spans="9:18">
      <c r="I2047" s="4">
        <v>2032</v>
      </c>
      <c r="J2047" s="5">
        <v>16710.807721801892</v>
      </c>
      <c r="K2047" s="5">
        <v>7753.2116148734594</v>
      </c>
      <c r="L2047" s="5">
        <v>14691.846656953887</v>
      </c>
      <c r="M2047" s="5">
        <v>21272.00214469912</v>
      </c>
      <c r="N2047" s="5">
        <v>22010.718648995869</v>
      </c>
      <c r="O2047" s="5">
        <v>94068.324736096256</v>
      </c>
      <c r="P2047" s="5">
        <v>14327.191387816954</v>
      </c>
      <c r="Q2047" s="5">
        <v>17153.530968450712</v>
      </c>
      <c r="R2047" s="5">
        <v>7784.2246210242874</v>
      </c>
    </row>
    <row r="2048" spans="9:18">
      <c r="I2048" s="4">
        <v>2033</v>
      </c>
      <c r="J2048" s="5">
        <v>49463.324094345015</v>
      </c>
      <c r="K2048" s="5">
        <v>43843.85059185313</v>
      </c>
      <c r="L2048" s="5">
        <v>18379.634651549037</v>
      </c>
      <c r="M2048" s="5">
        <v>13022.686998540772</v>
      </c>
      <c r="N2048" s="5">
        <v>26152.705108198839</v>
      </c>
      <c r="O2048" s="5">
        <v>13117.417685535194</v>
      </c>
      <c r="P2048" s="5">
        <v>3017.2887813579896</v>
      </c>
      <c r="Q2048" s="5">
        <v>22145.301831504508</v>
      </c>
      <c r="R2048" s="5">
        <v>122304.95880137496</v>
      </c>
    </row>
    <row r="2049" spans="9:18">
      <c r="I2049" s="4">
        <v>2034</v>
      </c>
      <c r="J2049" s="5">
        <v>15081.728672246438</v>
      </c>
      <c r="K2049" s="5">
        <v>31910.762633549082</v>
      </c>
      <c r="L2049" s="5">
        <v>16616.161224349555</v>
      </c>
      <c r="M2049" s="5">
        <v>19151.339770278159</v>
      </c>
      <c r="N2049" s="5">
        <v>11684.605182472778</v>
      </c>
      <c r="O2049" s="5">
        <v>16524.769946939996</v>
      </c>
      <c r="P2049" s="5">
        <v>5836.7810663002319</v>
      </c>
      <c r="Q2049" s="5">
        <v>11928.872068442162</v>
      </c>
      <c r="R2049" s="5">
        <v>55106.806585409526</v>
      </c>
    </row>
    <row r="2050" spans="9:18">
      <c r="I2050" s="4">
        <v>2035</v>
      </c>
      <c r="J2050" s="5">
        <v>16733.020222212988</v>
      </c>
      <c r="K2050" s="5">
        <v>15391.837334808681</v>
      </c>
      <c r="L2050" s="5">
        <v>15126.980926457318</v>
      </c>
      <c r="M2050" s="5">
        <v>23913.435663027711</v>
      </c>
      <c r="N2050" s="5">
        <v>32184.535272543482</v>
      </c>
      <c r="O2050" s="5">
        <v>5444.7598502623823</v>
      </c>
      <c r="P2050" s="5">
        <v>63015.124693769802</v>
      </c>
      <c r="Q2050" s="5">
        <v>13099.063525342741</v>
      </c>
      <c r="R2050" s="5">
        <v>93933.045103013996</v>
      </c>
    </row>
    <row r="2051" spans="9:18">
      <c r="I2051" s="4">
        <v>2036</v>
      </c>
      <c r="J2051" s="5">
        <v>15417.870921574262</v>
      </c>
      <c r="K2051" s="5">
        <v>34164.842952759042</v>
      </c>
      <c r="L2051" s="5">
        <v>11827.803406885578</v>
      </c>
      <c r="M2051" s="5">
        <v>17542.15972125496</v>
      </c>
      <c r="N2051" s="5">
        <v>23746.795665493762</v>
      </c>
      <c r="O2051" s="5">
        <v>15124.35050053727</v>
      </c>
      <c r="P2051" s="5">
        <v>10532.667493814919</v>
      </c>
      <c r="Q2051" s="5">
        <v>9796.0979856104404</v>
      </c>
      <c r="R2051" s="5">
        <v>40368.364083205248</v>
      </c>
    </row>
    <row r="2052" spans="9:18">
      <c r="I2052" s="4">
        <v>2037</v>
      </c>
      <c r="J2052" s="5">
        <v>15648.665245032147</v>
      </c>
      <c r="K2052" s="5">
        <v>16273.14570113692</v>
      </c>
      <c r="L2052" s="5">
        <v>14344.859750762502</v>
      </c>
      <c r="M2052" s="5">
        <v>31554.722481137964</v>
      </c>
      <c r="N2052" s="5">
        <v>51261.622558090799</v>
      </c>
      <c r="O2052" s="5">
        <v>10738.305003664611</v>
      </c>
      <c r="P2052" s="5">
        <v>46514.467673254068</v>
      </c>
      <c r="Q2052" s="5">
        <v>44911.749632594299</v>
      </c>
      <c r="R2052" s="5">
        <v>90296.353221228885</v>
      </c>
    </row>
    <row r="2053" spans="9:18">
      <c r="I2053" s="4">
        <v>2038</v>
      </c>
      <c r="J2053" s="5">
        <v>11116.191595722205</v>
      </c>
      <c r="K2053" s="5">
        <v>21958.925144875713</v>
      </c>
      <c r="L2053" s="5">
        <v>17920.486090689363</v>
      </c>
      <c r="M2053" s="5">
        <v>10451.914120098167</v>
      </c>
      <c r="N2053" s="5">
        <v>11604.12831603515</v>
      </c>
      <c r="O2053" s="5">
        <v>94068.324736096256</v>
      </c>
      <c r="P2053" s="5">
        <v>17737.38315098183</v>
      </c>
      <c r="Q2053" s="5">
        <v>37497.234505125656</v>
      </c>
      <c r="R2053" s="5">
        <v>3311.4906988006405</v>
      </c>
    </row>
    <row r="2054" spans="9:18">
      <c r="I2054" s="4">
        <v>2039</v>
      </c>
      <c r="J2054" s="5">
        <v>23517.429992060665</v>
      </c>
      <c r="K2054" s="5">
        <v>32073.547537933715</v>
      </c>
      <c r="L2054" s="5">
        <v>21725.131459372977</v>
      </c>
      <c r="M2054" s="5">
        <v>13022.686998540772</v>
      </c>
      <c r="N2054" s="5">
        <v>20583.564383988036</v>
      </c>
      <c r="O2054" s="5">
        <v>13613.378495715853</v>
      </c>
      <c r="P2054" s="5">
        <v>6275.8915673055426</v>
      </c>
      <c r="Q2054" s="5">
        <v>35525.432376048877</v>
      </c>
      <c r="R2054" s="5">
        <v>81423.874800517297</v>
      </c>
    </row>
    <row r="2055" spans="9:18">
      <c r="I2055" s="4">
        <v>2040</v>
      </c>
      <c r="J2055" s="5">
        <v>14594.990625703947</v>
      </c>
      <c r="K2055" s="5">
        <v>9769.3659785458403</v>
      </c>
      <c r="L2055" s="5">
        <v>14175.160754078657</v>
      </c>
      <c r="M2055" s="5">
        <v>24981.974172352908</v>
      </c>
      <c r="N2055" s="5">
        <v>48565.498233359976</v>
      </c>
      <c r="O2055" s="5">
        <v>16524.769946939996</v>
      </c>
      <c r="P2055" s="5">
        <v>12992.105410393709</v>
      </c>
      <c r="Q2055" s="5">
        <v>52421.574537857021</v>
      </c>
      <c r="R2055" s="5">
        <v>93933.045103013996</v>
      </c>
    </row>
    <row r="2056" spans="9:18">
      <c r="I2056" s="4">
        <v>2041</v>
      </c>
      <c r="J2056" s="5">
        <v>34933.039312618188</v>
      </c>
      <c r="K2056" s="5">
        <v>14611.618478071941</v>
      </c>
      <c r="L2056" s="5">
        <v>17845.207337527903</v>
      </c>
      <c r="M2056" s="5">
        <v>21712.71007234112</v>
      </c>
      <c r="N2056" s="5">
        <v>11751.639947035985</v>
      </c>
      <c r="O2056" s="5">
        <v>53504.725169095313</v>
      </c>
      <c r="P2056" s="5">
        <v>77603.711720266961</v>
      </c>
      <c r="Q2056" s="5">
        <v>22483.395143121877</v>
      </c>
      <c r="R2056" s="5">
        <v>76851.431017396084</v>
      </c>
    </row>
    <row r="2057" spans="9:18">
      <c r="I2057" s="4">
        <v>2042</v>
      </c>
      <c r="J2057" s="5">
        <v>14344.692898101612</v>
      </c>
      <c r="K2057" s="5">
        <v>15428.770955406064</v>
      </c>
      <c r="L2057" s="5">
        <v>23760.785349782636</v>
      </c>
      <c r="M2057" s="5">
        <v>29834.240613550006</v>
      </c>
      <c r="N2057" s="5">
        <v>27841.916587595573</v>
      </c>
      <c r="O2057" s="5">
        <v>9320.7026593487881</v>
      </c>
      <c r="P2057" s="5">
        <v>55119.366528283317</v>
      </c>
      <c r="Q2057" s="5">
        <v>22895.455950885695</v>
      </c>
      <c r="R2057" s="5">
        <v>54594.567438884274</v>
      </c>
    </row>
    <row r="2058" spans="9:18">
      <c r="I2058" s="4">
        <v>2043</v>
      </c>
      <c r="J2058" s="5">
        <v>13841.207384998772</v>
      </c>
      <c r="K2058" s="5">
        <v>95171.967522309933</v>
      </c>
      <c r="L2058" s="5">
        <v>17128.574519497746</v>
      </c>
      <c r="M2058" s="5">
        <v>21272.00214469912</v>
      </c>
      <c r="N2058" s="5">
        <v>41563.89847100406</v>
      </c>
      <c r="O2058" s="5">
        <v>3171.3006415671193</v>
      </c>
      <c r="P2058" s="5">
        <v>10180.109839011631</v>
      </c>
      <c r="Q2058" s="5">
        <v>100789.83462564547</v>
      </c>
      <c r="R2058" s="5">
        <v>18230.645544621442</v>
      </c>
    </row>
    <row r="2059" spans="9:18">
      <c r="I2059" s="4">
        <v>2044</v>
      </c>
      <c r="J2059" s="5">
        <v>9368.8270679249108</v>
      </c>
      <c r="K2059" s="5">
        <v>16199.334613834633</v>
      </c>
      <c r="L2059" s="5">
        <v>22018.381599979773</v>
      </c>
      <c r="M2059" s="5">
        <v>13139.022167648376</v>
      </c>
      <c r="N2059" s="5">
        <v>24020.875410266352</v>
      </c>
      <c r="O2059" s="5">
        <v>13966.178986479143</v>
      </c>
      <c r="P2059" s="5">
        <v>27373.102585108634</v>
      </c>
      <c r="Q2059" s="5">
        <v>37497.234505125656</v>
      </c>
      <c r="R2059" s="5">
        <v>39727.513802035661</v>
      </c>
    </row>
    <row r="2060" spans="9:18">
      <c r="I2060" s="4">
        <v>2045</v>
      </c>
      <c r="J2060" s="5">
        <v>15417.870921574262</v>
      </c>
      <c r="K2060" s="5">
        <v>17128.860847126922</v>
      </c>
      <c r="L2060" s="5">
        <v>17683.765335572589</v>
      </c>
      <c r="M2060" s="5">
        <v>21272.00214469912</v>
      </c>
      <c r="N2060" s="5">
        <v>21933.097106966918</v>
      </c>
      <c r="O2060" s="5">
        <v>62082.6862081785</v>
      </c>
      <c r="P2060" s="5">
        <v>32167.874670939738</v>
      </c>
      <c r="Q2060" s="5">
        <v>29432.473148002948</v>
      </c>
      <c r="R2060" s="5">
        <v>50287.76786557267</v>
      </c>
    </row>
    <row r="2061" spans="9:18">
      <c r="I2061" s="4">
        <v>2046</v>
      </c>
      <c r="J2061" s="5">
        <v>20002.201347927807</v>
      </c>
      <c r="K2061" s="5">
        <v>21218.439146892688</v>
      </c>
      <c r="L2061" s="5">
        <v>13417.453622029931</v>
      </c>
      <c r="M2061" s="5">
        <v>31554.722481137964</v>
      </c>
      <c r="N2061" s="5">
        <v>12523.573732460784</v>
      </c>
      <c r="O2061" s="5">
        <v>35865.625349531729</v>
      </c>
      <c r="P2061" s="5">
        <v>46514.467673254068</v>
      </c>
      <c r="Q2061" s="5">
        <v>9454.5906023793759</v>
      </c>
      <c r="R2061" s="5">
        <v>7879.038918914337</v>
      </c>
    </row>
    <row r="2062" spans="9:18">
      <c r="I2062" s="4">
        <v>2047</v>
      </c>
      <c r="J2062" s="5">
        <v>22812.564910649318</v>
      </c>
      <c r="K2062" s="5">
        <v>11857.447519815871</v>
      </c>
      <c r="L2062" s="5">
        <v>18475.258050488967</v>
      </c>
      <c r="M2062" s="5">
        <v>19430.369425783585</v>
      </c>
      <c r="N2062" s="5">
        <v>41563.89847100406</v>
      </c>
      <c r="O2062" s="5">
        <v>13966.178986479143</v>
      </c>
      <c r="P2062" s="5">
        <v>9633.1652908310007</v>
      </c>
      <c r="Q2062" s="5">
        <v>2356.8990887111336</v>
      </c>
      <c r="R2062" s="5">
        <v>90296.353221228885</v>
      </c>
    </row>
    <row r="2063" spans="9:18">
      <c r="I2063" s="4">
        <v>2048</v>
      </c>
      <c r="J2063" s="5">
        <v>11843.28062342474</v>
      </c>
      <c r="K2063" s="5">
        <v>15487.124352801369</v>
      </c>
      <c r="L2063" s="5">
        <v>17311.244744664215</v>
      </c>
      <c r="M2063" s="5">
        <v>13616.35938654862</v>
      </c>
      <c r="N2063" s="5">
        <v>19125.360074567652</v>
      </c>
      <c r="O2063" s="5">
        <v>9708.4497800977806</v>
      </c>
      <c r="P2063" s="5">
        <v>32155.527541400057</v>
      </c>
      <c r="Q2063" s="5">
        <v>2356.8990887111336</v>
      </c>
      <c r="R2063" s="5">
        <v>87776.138236389699</v>
      </c>
    </row>
    <row r="2064" spans="9:18">
      <c r="I2064" s="4">
        <v>2049</v>
      </c>
      <c r="J2064" s="5">
        <v>19048.674633640545</v>
      </c>
      <c r="K2064" s="5">
        <v>17495.743706488822</v>
      </c>
      <c r="L2064" s="5">
        <v>25007.552172398639</v>
      </c>
      <c r="M2064" s="5">
        <v>18816.787977140237</v>
      </c>
      <c r="N2064" s="5">
        <v>20292.069765667391</v>
      </c>
      <c r="O2064" s="5">
        <v>31172.963108652857</v>
      </c>
      <c r="P2064" s="5">
        <v>6275.8915673055426</v>
      </c>
      <c r="Q2064" s="5">
        <v>17153.530968450712</v>
      </c>
      <c r="R2064" s="5">
        <v>12116.34255245842</v>
      </c>
    </row>
    <row r="2065" spans="9:18">
      <c r="I2065" s="4">
        <v>2050</v>
      </c>
      <c r="J2065" s="5">
        <v>12701.339251949787</v>
      </c>
      <c r="K2065" s="5">
        <v>21218.439146892688</v>
      </c>
      <c r="L2065" s="5">
        <v>22412.045018675239</v>
      </c>
      <c r="M2065" s="5">
        <v>20041.623430301417</v>
      </c>
      <c r="N2065" s="5">
        <v>22735.120948269971</v>
      </c>
      <c r="O2065" s="5">
        <v>26268.613803794757</v>
      </c>
      <c r="P2065" s="5">
        <v>45161.732159568586</v>
      </c>
      <c r="Q2065" s="5">
        <v>11928.872068442162</v>
      </c>
      <c r="R2065" s="5">
        <v>44707.053087992797</v>
      </c>
    </row>
    <row r="2066" spans="9:18">
      <c r="I2066" s="4">
        <v>2051</v>
      </c>
      <c r="J2066" s="5">
        <v>22812.564910649318</v>
      </c>
      <c r="K2066" s="5">
        <v>16952.949313901812</v>
      </c>
      <c r="L2066" s="5">
        <v>15764.107424863063</v>
      </c>
      <c r="M2066" s="5">
        <v>22326.253555179093</v>
      </c>
      <c r="N2066" s="5">
        <v>26115.05281128412</v>
      </c>
      <c r="O2066" s="5">
        <v>32474.063027682765</v>
      </c>
      <c r="P2066" s="5">
        <v>8662.4232458952465</v>
      </c>
      <c r="Q2066" s="5">
        <v>37277.391668005912</v>
      </c>
      <c r="R2066" s="5">
        <v>40368.364083205248</v>
      </c>
    </row>
    <row r="2067" spans="9:18">
      <c r="I2067" s="4">
        <v>2052</v>
      </c>
      <c r="J2067" s="5">
        <v>12701.339251949787</v>
      </c>
      <c r="K2067" s="5">
        <v>21187.174639714212</v>
      </c>
      <c r="L2067" s="5">
        <v>22319.409576580376</v>
      </c>
      <c r="M2067" s="5">
        <v>12735.841453044006</v>
      </c>
      <c r="N2067" s="5">
        <v>23746.795665493762</v>
      </c>
      <c r="O2067" s="5">
        <v>53007.660727727191</v>
      </c>
      <c r="P2067" s="5">
        <v>9826.8369575407578</v>
      </c>
      <c r="Q2067" s="5">
        <v>129470.11441833655</v>
      </c>
      <c r="R2067" s="5">
        <v>17304.847214362417</v>
      </c>
    </row>
    <row r="2068" spans="9:18">
      <c r="I2068" s="4">
        <v>2053</v>
      </c>
      <c r="J2068" s="5">
        <v>73074.062486361407</v>
      </c>
      <c r="K2068" s="5">
        <v>19467.955014411935</v>
      </c>
      <c r="L2068" s="5">
        <v>16293.265064857471</v>
      </c>
      <c r="M2068" s="5">
        <v>19430.369425783585</v>
      </c>
      <c r="N2068" s="5">
        <v>48565.498233359976</v>
      </c>
      <c r="O2068" s="5">
        <v>21930.527973988665</v>
      </c>
      <c r="P2068" s="5">
        <v>66904.018529955298</v>
      </c>
      <c r="Q2068" s="5">
        <v>27789.973552634947</v>
      </c>
      <c r="R2068" s="5">
        <v>55106.806585409526</v>
      </c>
    </row>
    <row r="2069" spans="9:18">
      <c r="I2069" s="4">
        <v>2054</v>
      </c>
      <c r="J2069" s="5">
        <v>8580.4413740966302</v>
      </c>
      <c r="K2069" s="5">
        <v>15698.764831033119</v>
      </c>
      <c r="L2069" s="5">
        <v>18475.258050488967</v>
      </c>
      <c r="M2069" s="5">
        <v>23913.435663027711</v>
      </c>
      <c r="N2069" s="5">
        <v>13745.376566850549</v>
      </c>
      <c r="O2069" s="5">
        <v>25802.481365323994</v>
      </c>
      <c r="P2069" s="5">
        <v>14327.191387816954</v>
      </c>
      <c r="Q2069" s="5">
        <v>31855.809428519857</v>
      </c>
      <c r="R2069" s="5">
        <v>8046.7106309763258</v>
      </c>
    </row>
    <row r="2070" spans="9:18">
      <c r="I2070" s="4">
        <v>2055</v>
      </c>
      <c r="J2070" s="5">
        <v>13045.114546182727</v>
      </c>
      <c r="K2070" s="5">
        <v>19467.955014411935</v>
      </c>
      <c r="L2070" s="5">
        <v>16106.634875163341</v>
      </c>
      <c r="M2070" s="5">
        <v>17349.963215818931</v>
      </c>
      <c r="N2070" s="5">
        <v>16418.492928415813</v>
      </c>
      <c r="O2070" s="5">
        <v>3171.3006415671193</v>
      </c>
      <c r="P2070" s="5">
        <v>27820.721938889761</v>
      </c>
      <c r="Q2070" s="5">
        <v>20987.925664394581</v>
      </c>
      <c r="R2070" s="5">
        <v>93933.045103013996</v>
      </c>
    </row>
    <row r="2071" spans="9:18">
      <c r="I2071" s="4">
        <v>2056</v>
      </c>
      <c r="J2071" s="5">
        <v>12452.764985867625</v>
      </c>
      <c r="K2071" s="5">
        <v>8223.1266007477425</v>
      </c>
      <c r="L2071" s="5">
        <v>14691.846656953887</v>
      </c>
      <c r="M2071" s="5">
        <v>18879.640760542785</v>
      </c>
      <c r="N2071" s="5">
        <v>11635.644856128632</v>
      </c>
      <c r="O2071" s="5">
        <v>20721.57544042755</v>
      </c>
      <c r="P2071" s="5">
        <v>3831.1492650071077</v>
      </c>
      <c r="Q2071" s="5">
        <v>48866.209623168346</v>
      </c>
      <c r="R2071" s="5">
        <v>18230.645544621442</v>
      </c>
    </row>
    <row r="2072" spans="9:18">
      <c r="I2072" s="4">
        <v>2057</v>
      </c>
      <c r="J2072" s="5">
        <v>14344.692898101612</v>
      </c>
      <c r="K2072" s="5">
        <v>19467.955014411935</v>
      </c>
      <c r="L2072" s="5">
        <v>19224.583269019437</v>
      </c>
      <c r="M2072" s="5">
        <v>19433.64679949253</v>
      </c>
      <c r="N2072" s="5">
        <v>15804.474686449519</v>
      </c>
      <c r="O2072" s="5">
        <v>10746.295275180995</v>
      </c>
      <c r="P2072" s="5">
        <v>106091.28270624072</v>
      </c>
      <c r="Q2072" s="5">
        <v>8502.450657922871</v>
      </c>
      <c r="R2072" s="5">
        <v>6360.7905155660001</v>
      </c>
    </row>
    <row r="2073" spans="9:18">
      <c r="I2073" s="4">
        <v>2058</v>
      </c>
      <c r="J2073" s="5">
        <v>12035.382213755307</v>
      </c>
      <c r="K2073" s="5">
        <v>15782.544184844044</v>
      </c>
      <c r="L2073" s="5">
        <v>16106.634875163341</v>
      </c>
      <c r="M2073" s="5">
        <v>15586.009710351766</v>
      </c>
      <c r="N2073" s="5">
        <v>32184.535272543482</v>
      </c>
      <c r="O2073" s="5">
        <v>4231.3144655921506</v>
      </c>
      <c r="P2073" s="5">
        <v>36724.352187786957</v>
      </c>
      <c r="Q2073" s="5">
        <v>43417.41805414496</v>
      </c>
      <c r="R2073" s="5">
        <v>3433.6677391851467</v>
      </c>
    </row>
    <row r="2074" spans="9:18">
      <c r="I2074" s="4">
        <v>2059</v>
      </c>
      <c r="J2074" s="5">
        <v>12701.339251949787</v>
      </c>
      <c r="K2074" s="5">
        <v>14095.75230105142</v>
      </c>
      <c r="L2074" s="5">
        <v>15664.99858445921</v>
      </c>
      <c r="M2074" s="5">
        <v>23454.775510296178</v>
      </c>
      <c r="N2074" s="5">
        <v>26152.705108198839</v>
      </c>
      <c r="O2074" s="5">
        <v>40304.23053285561</v>
      </c>
      <c r="P2074" s="5">
        <v>54923.423457863879</v>
      </c>
      <c r="Q2074" s="5">
        <v>12253.299944531094</v>
      </c>
      <c r="R2074" s="5">
        <v>7952.6989268572033</v>
      </c>
    </row>
    <row r="2075" spans="9:18">
      <c r="I2075" s="4">
        <v>2060</v>
      </c>
      <c r="J2075" s="5">
        <v>14538.277247583976</v>
      </c>
      <c r="K2075" s="5">
        <v>24728.095385476983</v>
      </c>
      <c r="L2075" s="5">
        <v>15923.549351835489</v>
      </c>
      <c r="M2075" s="5">
        <v>10451.914120098167</v>
      </c>
      <c r="N2075" s="5">
        <v>17891.96347244953</v>
      </c>
      <c r="O2075" s="5">
        <v>31172.963108652857</v>
      </c>
      <c r="P2075" s="5">
        <v>66904.018529955298</v>
      </c>
      <c r="Q2075" s="5">
        <v>96632.959478514502</v>
      </c>
      <c r="R2075" s="5">
        <v>72640.340924600489</v>
      </c>
    </row>
    <row r="2076" spans="9:18">
      <c r="I2076" s="4">
        <v>2061</v>
      </c>
      <c r="J2076" s="5">
        <v>13918.242013140338</v>
      </c>
      <c r="K2076" s="5">
        <v>16199.334613834633</v>
      </c>
      <c r="L2076" s="5">
        <v>13622.976145621742</v>
      </c>
      <c r="M2076" s="5">
        <v>16510.442870615672</v>
      </c>
      <c r="N2076" s="5">
        <v>10882.757905166785</v>
      </c>
      <c r="O2076" s="5">
        <v>5444.7598502623823</v>
      </c>
      <c r="P2076" s="5">
        <v>6275.8915673055426</v>
      </c>
      <c r="Q2076" s="5">
        <v>28797.29222718185</v>
      </c>
      <c r="R2076" s="5">
        <v>7879.038918914337</v>
      </c>
    </row>
    <row r="2077" spans="9:18">
      <c r="I2077" s="4">
        <v>2062</v>
      </c>
      <c r="J2077" s="5">
        <v>20768.286261788198</v>
      </c>
      <c r="K2077" s="5">
        <v>34164.842952759042</v>
      </c>
      <c r="L2077" s="5">
        <v>17311.244744664215</v>
      </c>
      <c r="M2077" s="5">
        <v>29058.117767351498</v>
      </c>
      <c r="N2077" s="5">
        <v>24020.875410266352</v>
      </c>
      <c r="O2077" s="5">
        <v>27068.054847826614</v>
      </c>
      <c r="P2077" s="5">
        <v>14376.883105731285</v>
      </c>
      <c r="Q2077" s="5">
        <v>25156.033327562815</v>
      </c>
      <c r="R2077" s="5">
        <v>46004.399892616471</v>
      </c>
    </row>
    <row r="2078" spans="9:18">
      <c r="I2078" s="4">
        <v>2063</v>
      </c>
      <c r="J2078" s="5">
        <v>11036.461796239426</v>
      </c>
      <c r="K2078" s="5">
        <v>16081.362509465702</v>
      </c>
      <c r="L2078" s="5">
        <v>16293.265064857471</v>
      </c>
      <c r="M2078" s="5">
        <v>33862.836621974391</v>
      </c>
      <c r="N2078" s="5">
        <v>25424.029865101274</v>
      </c>
      <c r="O2078" s="5">
        <v>4231.3144655921506</v>
      </c>
      <c r="P2078" s="5">
        <v>17643.087208586294</v>
      </c>
      <c r="Q2078" s="5">
        <v>21421.044775857536</v>
      </c>
      <c r="R2078" s="5">
        <v>122304.95880137496</v>
      </c>
    </row>
    <row r="2079" spans="9:18">
      <c r="I2079" s="4">
        <v>2064</v>
      </c>
      <c r="J2079" s="5">
        <v>27392.038553726634</v>
      </c>
      <c r="K2079" s="5">
        <v>95171.967522309933</v>
      </c>
      <c r="L2079" s="5">
        <v>14175.160754078657</v>
      </c>
      <c r="M2079" s="5">
        <v>13616.35938654862</v>
      </c>
      <c r="N2079" s="5">
        <v>10882.757905166785</v>
      </c>
      <c r="O2079" s="5">
        <v>40581.847217937895</v>
      </c>
      <c r="P2079" s="5">
        <v>77603.711720266961</v>
      </c>
      <c r="Q2079" s="5">
        <v>71213.172792303565</v>
      </c>
      <c r="R2079" s="5">
        <v>18230.645544621442</v>
      </c>
    </row>
    <row r="2080" spans="9:18">
      <c r="I2080" s="4">
        <v>2065</v>
      </c>
      <c r="J2080" s="5">
        <v>17592.832480262863</v>
      </c>
      <c r="K2080" s="5">
        <v>6949.5708823216592</v>
      </c>
      <c r="L2080" s="5">
        <v>17845.207337527903</v>
      </c>
      <c r="M2080" s="5">
        <v>13139.022167648376</v>
      </c>
      <c r="N2080" s="5">
        <v>12297.015342318469</v>
      </c>
      <c r="O2080" s="5">
        <v>35865.625349531729</v>
      </c>
      <c r="P2080" s="5">
        <v>33715.790977629549</v>
      </c>
      <c r="Q2080" s="5">
        <v>71213.172792303565</v>
      </c>
      <c r="R2080" s="5">
        <v>55012.315589742022</v>
      </c>
    </row>
    <row r="2081" spans="9:18">
      <c r="I2081" s="4">
        <v>2066</v>
      </c>
      <c r="J2081" s="5">
        <v>15130.594750069789</v>
      </c>
      <c r="K2081" s="5">
        <v>18086.448513145526</v>
      </c>
      <c r="L2081" s="5">
        <v>16014.071850041886</v>
      </c>
      <c r="M2081" s="5">
        <v>24981.974172352908</v>
      </c>
      <c r="N2081" s="5">
        <v>12523.573732460784</v>
      </c>
      <c r="O2081" s="5">
        <v>27503.656957929088</v>
      </c>
      <c r="P2081" s="5">
        <v>35213.322626437533</v>
      </c>
      <c r="Q2081" s="5">
        <v>13214.632802255031</v>
      </c>
      <c r="R2081" s="5">
        <v>31715.273557891396</v>
      </c>
    </row>
    <row r="2082" spans="9:18">
      <c r="I2082" s="4">
        <v>2067</v>
      </c>
      <c r="J2082" s="5">
        <v>15786.811016780619</v>
      </c>
      <c r="K2082" s="5">
        <v>17128.860847126922</v>
      </c>
      <c r="L2082" s="5">
        <v>16106.634875163341</v>
      </c>
      <c r="M2082" s="5">
        <v>15202.972920708273</v>
      </c>
      <c r="N2082" s="5">
        <v>23043.345403059295</v>
      </c>
      <c r="O2082" s="5">
        <v>16505.600261180331</v>
      </c>
      <c r="P2082" s="5">
        <v>3017.2887813579896</v>
      </c>
      <c r="Q2082" s="5">
        <v>19541.409060825732</v>
      </c>
      <c r="R2082" s="5">
        <v>14079.827908007112</v>
      </c>
    </row>
    <row r="2083" spans="9:18">
      <c r="I2083" s="4">
        <v>2068</v>
      </c>
      <c r="J2083" s="5">
        <v>33627.941293959229</v>
      </c>
      <c r="K2083" s="5">
        <v>10931.803935361211</v>
      </c>
      <c r="L2083" s="5">
        <v>15832.5469007027</v>
      </c>
      <c r="M2083" s="5">
        <v>10111.451009425113</v>
      </c>
      <c r="N2083" s="5">
        <v>24020.875410266352</v>
      </c>
      <c r="O2083" s="5">
        <v>3171.3006415671193</v>
      </c>
      <c r="P2083" s="5">
        <v>33715.790977629549</v>
      </c>
      <c r="Q2083" s="5">
        <v>21421.044775857536</v>
      </c>
      <c r="R2083" s="5">
        <v>216919.53009911609</v>
      </c>
    </row>
    <row r="2084" spans="9:18">
      <c r="I2084" s="4">
        <v>2069</v>
      </c>
      <c r="J2084" s="5">
        <v>16016.491239086423</v>
      </c>
      <c r="K2084" s="5">
        <v>13719.930466819731</v>
      </c>
      <c r="L2084" s="5">
        <v>10752.183901283248</v>
      </c>
      <c r="M2084" s="5">
        <v>13022.686998540772</v>
      </c>
      <c r="N2084" s="5">
        <v>23583.581287126868</v>
      </c>
      <c r="O2084" s="5">
        <v>10676.618215263648</v>
      </c>
      <c r="P2084" s="5">
        <v>14327.191387816954</v>
      </c>
      <c r="Q2084" s="5">
        <v>30495.121067047665</v>
      </c>
      <c r="R2084" s="5">
        <v>14051.647494499957</v>
      </c>
    </row>
    <row r="2085" spans="9:18">
      <c r="I2085" s="4">
        <v>2070</v>
      </c>
      <c r="J2085" s="5">
        <v>16733.020222212988</v>
      </c>
      <c r="K2085" s="5">
        <v>14611.618478071941</v>
      </c>
      <c r="L2085" s="5">
        <v>15664.99858445921</v>
      </c>
      <c r="M2085" s="5">
        <v>21913.431401527439</v>
      </c>
      <c r="N2085" s="5">
        <v>15804.474686449519</v>
      </c>
      <c r="O2085" s="5">
        <v>45451.954570113048</v>
      </c>
      <c r="P2085" s="5">
        <v>16650.229067545235</v>
      </c>
      <c r="Q2085" s="5">
        <v>116445.46783345108</v>
      </c>
      <c r="R2085" s="5">
        <v>24722.972470599001</v>
      </c>
    </row>
    <row r="2086" spans="9:18">
      <c r="I2086" s="4">
        <v>2071</v>
      </c>
      <c r="J2086" s="5">
        <v>17679.321624063952</v>
      </c>
      <c r="K2086" s="5">
        <v>8223.1266007477425</v>
      </c>
      <c r="L2086" s="5">
        <v>16777.996633299583</v>
      </c>
      <c r="M2086" s="5">
        <v>15202.972920708273</v>
      </c>
      <c r="N2086" s="5">
        <v>18410.937863650517</v>
      </c>
      <c r="O2086" s="5">
        <v>16826.763259351828</v>
      </c>
      <c r="P2086" s="5">
        <v>14327.191387816954</v>
      </c>
      <c r="Q2086" s="5">
        <v>43417.41805414496</v>
      </c>
      <c r="R2086" s="5">
        <v>8720.6503563381029</v>
      </c>
    </row>
    <row r="2087" spans="9:18">
      <c r="I2087" s="4">
        <v>2072</v>
      </c>
      <c r="J2087" s="5">
        <v>11116.191595722205</v>
      </c>
      <c r="K2087" s="5">
        <v>12026.500118162745</v>
      </c>
      <c r="L2087" s="5">
        <v>18215.751370765771</v>
      </c>
      <c r="M2087" s="5">
        <v>20229.919588372999</v>
      </c>
      <c r="N2087" s="5">
        <v>37309.151967087455</v>
      </c>
      <c r="O2087" s="5">
        <v>4231.3144655921506</v>
      </c>
      <c r="P2087" s="5">
        <v>46514.467673254068</v>
      </c>
      <c r="Q2087" s="5">
        <v>48756.323642664109</v>
      </c>
      <c r="R2087" s="5">
        <v>86510.608303273053</v>
      </c>
    </row>
    <row r="2088" spans="9:18">
      <c r="I2088" s="4">
        <v>2073</v>
      </c>
      <c r="J2088" s="5">
        <v>22370.105711697011</v>
      </c>
      <c r="K2088" s="5">
        <v>15631.937142257386</v>
      </c>
      <c r="L2088" s="5">
        <v>14146.191653372813</v>
      </c>
      <c r="M2088" s="5">
        <v>25580.243606220469</v>
      </c>
      <c r="N2088" s="5">
        <v>16148.901635865295</v>
      </c>
      <c r="O2088" s="5">
        <v>66253.993323243907</v>
      </c>
      <c r="P2088" s="5">
        <v>22601.57564624758</v>
      </c>
      <c r="Q2088" s="5">
        <v>7457.1844090365566</v>
      </c>
      <c r="R2088" s="5">
        <v>3989.7956692889929</v>
      </c>
    </row>
    <row r="2089" spans="9:18">
      <c r="I2089" s="4">
        <v>2074</v>
      </c>
      <c r="J2089" s="5">
        <v>16788.081681455456</v>
      </c>
      <c r="K2089" s="5">
        <v>13652.224205833634</v>
      </c>
      <c r="L2089" s="5">
        <v>10752.183901283248</v>
      </c>
      <c r="M2089" s="5">
        <v>18816.787977140237</v>
      </c>
      <c r="N2089" s="5">
        <v>11635.644856128632</v>
      </c>
      <c r="O2089" s="5">
        <v>10746.295275180995</v>
      </c>
      <c r="P2089" s="5">
        <v>55152.110177667731</v>
      </c>
      <c r="Q2089" s="5">
        <v>116445.46783345108</v>
      </c>
      <c r="R2089" s="5">
        <v>39788.288251916689</v>
      </c>
    </row>
    <row r="2090" spans="9:18">
      <c r="I2090" s="4">
        <v>2075</v>
      </c>
      <c r="J2090" s="5">
        <v>29760.443016608337</v>
      </c>
      <c r="K2090" s="5">
        <v>6949.5708823216592</v>
      </c>
      <c r="L2090" s="5">
        <v>17920.486090689363</v>
      </c>
      <c r="M2090" s="5">
        <v>31472.019071027709</v>
      </c>
      <c r="N2090" s="5">
        <v>15658.063692994532</v>
      </c>
      <c r="O2090" s="5">
        <v>20991.103410982985</v>
      </c>
      <c r="P2090" s="5">
        <v>20403.656304140692</v>
      </c>
      <c r="Q2090" s="5">
        <v>21421.044775857536</v>
      </c>
      <c r="R2090" s="5">
        <v>72640.340924600489</v>
      </c>
    </row>
    <row r="2091" spans="9:18">
      <c r="I2091" s="4">
        <v>2076</v>
      </c>
      <c r="J2091" s="5">
        <v>22370.105711697011</v>
      </c>
      <c r="K2091" s="5">
        <v>53937.689698015136</v>
      </c>
      <c r="L2091" s="5">
        <v>16955.349467865559</v>
      </c>
      <c r="M2091" s="5">
        <v>29058.117767351498</v>
      </c>
      <c r="N2091" s="5">
        <v>23998.040874392525</v>
      </c>
      <c r="O2091" s="5">
        <v>20827.029306810669</v>
      </c>
      <c r="P2091" s="5">
        <v>17737.38315098183</v>
      </c>
      <c r="Q2091" s="5">
        <v>59134.059519022907</v>
      </c>
      <c r="R2091" s="5">
        <v>76851.431017396084</v>
      </c>
    </row>
    <row r="2092" spans="9:18">
      <c r="I2092" s="4">
        <v>2077</v>
      </c>
      <c r="J2092" s="5">
        <v>11843.28062342474</v>
      </c>
      <c r="K2092" s="5">
        <v>32073.547537933715</v>
      </c>
      <c r="L2092" s="5">
        <v>16071.478531535273</v>
      </c>
      <c r="M2092" s="5">
        <v>7334.8610818348589</v>
      </c>
      <c r="N2092" s="5">
        <v>16418.492928415813</v>
      </c>
      <c r="O2092" s="5">
        <v>6199.3195463515376</v>
      </c>
      <c r="P2092" s="5">
        <v>48123.003747643132</v>
      </c>
      <c r="Q2092" s="5">
        <v>9138.5169630896526</v>
      </c>
      <c r="R2092" s="5">
        <v>31715.273557891396</v>
      </c>
    </row>
    <row r="2093" spans="9:18">
      <c r="I2093" s="4">
        <v>2078</v>
      </c>
      <c r="J2093" s="5">
        <v>73074.062486361407</v>
      </c>
      <c r="K2093" s="5">
        <v>15129.619337591721</v>
      </c>
      <c r="L2093" s="5">
        <v>15161.007794371622</v>
      </c>
      <c r="M2093" s="5">
        <v>12426.949970383979</v>
      </c>
      <c r="N2093" s="5">
        <v>12523.573732460784</v>
      </c>
      <c r="O2093" s="5">
        <v>30656.031716467984</v>
      </c>
      <c r="P2093" s="5">
        <v>5735.6883097179207</v>
      </c>
      <c r="Q2093" s="5">
        <v>59134.059519022907</v>
      </c>
      <c r="R2093" s="5">
        <v>35232.418639121184</v>
      </c>
    </row>
    <row r="2094" spans="9:18">
      <c r="I2094" s="4">
        <v>2079</v>
      </c>
      <c r="J2094" s="5">
        <v>15064.079707240266</v>
      </c>
      <c r="K2094" s="5">
        <v>14674.169276244838</v>
      </c>
      <c r="L2094" s="5">
        <v>24256.352541181568</v>
      </c>
      <c r="M2094" s="5">
        <v>22326.253555179093</v>
      </c>
      <c r="N2094" s="5">
        <v>16418.492928415813</v>
      </c>
      <c r="O2094" s="5">
        <v>5444.7598502623823</v>
      </c>
      <c r="P2094" s="5">
        <v>36724.352187786957</v>
      </c>
      <c r="Q2094" s="5">
        <v>6386.5227360487288</v>
      </c>
      <c r="R2094" s="5">
        <v>33863.04333215439</v>
      </c>
    </row>
    <row r="2095" spans="9:18">
      <c r="I2095" s="4">
        <v>2080</v>
      </c>
      <c r="J2095" s="5">
        <v>7855.2948890116513</v>
      </c>
      <c r="K2095" s="5">
        <v>95171.967522309933</v>
      </c>
      <c r="L2095" s="5">
        <v>14811.370758813007</v>
      </c>
      <c r="M2095" s="5">
        <v>15202.972920708273</v>
      </c>
      <c r="N2095" s="5">
        <v>12297.015342318469</v>
      </c>
      <c r="O2095" s="5">
        <v>42492.261063288854</v>
      </c>
      <c r="P2095" s="5">
        <v>9482.0186426688688</v>
      </c>
      <c r="Q2095" s="5">
        <v>37802.358878968138</v>
      </c>
      <c r="R2095" s="5">
        <v>8046.7106309763258</v>
      </c>
    </row>
    <row r="2096" spans="9:18">
      <c r="I2096" s="4">
        <v>2081</v>
      </c>
      <c r="J2096" s="5">
        <v>15873.12561080002</v>
      </c>
      <c r="K2096" s="5">
        <v>15487.124352801369</v>
      </c>
      <c r="L2096" s="5">
        <v>16616.161224349555</v>
      </c>
      <c r="M2096" s="5">
        <v>18691.941789825862</v>
      </c>
      <c r="N2096" s="5">
        <v>11684.605182472778</v>
      </c>
      <c r="O2096" s="5">
        <v>45451.954570113048</v>
      </c>
      <c r="P2096" s="5">
        <v>9811.9720599964548</v>
      </c>
      <c r="Q2096" s="5">
        <v>37277.391668005912</v>
      </c>
      <c r="R2096" s="5">
        <v>39263.770877572199</v>
      </c>
    </row>
    <row r="2097" spans="9:18">
      <c r="I2097" s="4">
        <v>2082</v>
      </c>
      <c r="J2097" s="5">
        <v>73074.062486361407</v>
      </c>
      <c r="K2097" s="5">
        <v>11507.182177474708</v>
      </c>
      <c r="L2097" s="5">
        <v>13358.459356674217</v>
      </c>
      <c r="M2097" s="5">
        <v>21913.431401527439</v>
      </c>
      <c r="N2097" s="5">
        <v>20558.672182394013</v>
      </c>
      <c r="O2097" s="5">
        <v>8801.3667015774663</v>
      </c>
      <c r="P2097" s="5">
        <v>8662.4232458952465</v>
      </c>
      <c r="Q2097" s="5">
        <v>31974.553851773013</v>
      </c>
      <c r="R2097" s="5">
        <v>14706.681111065362</v>
      </c>
    </row>
    <row r="2098" spans="9:18">
      <c r="I2098" s="4">
        <v>2083</v>
      </c>
      <c r="J2098" s="5">
        <v>16788.081681455456</v>
      </c>
      <c r="K2098" s="5">
        <v>23934.551191616061</v>
      </c>
      <c r="L2098" s="5">
        <v>14316.474075738101</v>
      </c>
      <c r="M2098" s="5">
        <v>17370.588707072598</v>
      </c>
      <c r="N2098" s="5">
        <v>32184.535272543482</v>
      </c>
      <c r="O2098" s="5">
        <v>24258.192244316608</v>
      </c>
      <c r="P2098" s="5">
        <v>34768.042801665702</v>
      </c>
      <c r="Q2098" s="5">
        <v>7457.1844090365566</v>
      </c>
      <c r="R2098" s="5">
        <v>72561.496699005787</v>
      </c>
    </row>
    <row r="2099" spans="9:18">
      <c r="I2099" s="4">
        <v>2084</v>
      </c>
      <c r="J2099" s="5">
        <v>14594.990625703947</v>
      </c>
      <c r="K2099" s="5">
        <v>24728.095385476983</v>
      </c>
      <c r="L2099" s="5">
        <v>18215.751370765771</v>
      </c>
      <c r="M2099" s="5">
        <v>17349.963215818931</v>
      </c>
      <c r="N2099" s="5">
        <v>9209.4418830788036</v>
      </c>
      <c r="O2099" s="5">
        <v>26565.882515615398</v>
      </c>
      <c r="P2099" s="5">
        <v>9965.8330787532959</v>
      </c>
      <c r="Q2099" s="5">
        <v>28078.365156847896</v>
      </c>
      <c r="R2099" s="5">
        <v>33290.909836056817</v>
      </c>
    </row>
    <row r="2100" spans="9:18">
      <c r="I2100" s="4">
        <v>2085</v>
      </c>
      <c r="J2100" s="5">
        <v>14680.308400328413</v>
      </c>
      <c r="K2100" s="5">
        <v>14579.232378315752</v>
      </c>
      <c r="L2100" s="5">
        <v>22018.381599979773</v>
      </c>
      <c r="M2100" s="5">
        <v>29058.117767351498</v>
      </c>
      <c r="N2100" s="5">
        <v>23746.795665493762</v>
      </c>
      <c r="O2100" s="5">
        <v>30656.031716467984</v>
      </c>
      <c r="P2100" s="5">
        <v>35213.322626437533</v>
      </c>
      <c r="Q2100" s="5">
        <v>71213.172792303565</v>
      </c>
      <c r="R2100" s="5">
        <v>12130.167062525341</v>
      </c>
    </row>
    <row r="2101" spans="9:18">
      <c r="I2101" s="4">
        <v>2086</v>
      </c>
      <c r="J2101" s="5">
        <v>26634.853073396614</v>
      </c>
      <c r="K2101" s="5">
        <v>16081.362509465702</v>
      </c>
      <c r="L2101" s="5">
        <v>22319.409576580376</v>
      </c>
      <c r="M2101" s="5">
        <v>33862.836621974391</v>
      </c>
      <c r="N2101" s="5">
        <v>40377.252444397986</v>
      </c>
      <c r="O2101" s="5">
        <v>3171.3006415671193</v>
      </c>
      <c r="P2101" s="5">
        <v>3831.1492650071077</v>
      </c>
      <c r="Q2101" s="5">
        <v>8502.450657922871</v>
      </c>
      <c r="R2101" s="5">
        <v>23583.884732956092</v>
      </c>
    </row>
    <row r="2102" spans="9:18">
      <c r="I2102" s="4">
        <v>2087</v>
      </c>
      <c r="J2102" s="5">
        <v>16016.491239086423</v>
      </c>
      <c r="K2102" s="5">
        <v>18218.584572172625</v>
      </c>
      <c r="L2102" s="5">
        <v>18379.634651549037</v>
      </c>
      <c r="M2102" s="5">
        <v>13139.022167648376</v>
      </c>
      <c r="N2102" s="5">
        <v>25424.029865101274</v>
      </c>
      <c r="O2102" s="5">
        <v>26565.882515615398</v>
      </c>
      <c r="P2102" s="5">
        <v>36724.352187786957</v>
      </c>
      <c r="Q2102" s="5">
        <v>6386.5227360487288</v>
      </c>
      <c r="R2102" s="5">
        <v>39788.288251916689</v>
      </c>
    </row>
    <row r="2103" spans="9:18">
      <c r="I2103" s="4">
        <v>2088</v>
      </c>
      <c r="J2103" s="5">
        <v>16544.73779470181</v>
      </c>
      <c r="K2103" s="5">
        <v>53937.689698015136</v>
      </c>
      <c r="L2103" s="5">
        <v>27289.607394458035</v>
      </c>
      <c r="M2103" s="5">
        <v>12934.591863415189</v>
      </c>
      <c r="N2103" s="5">
        <v>42744.618431291936</v>
      </c>
      <c r="O2103" s="5">
        <v>24369.28567093279</v>
      </c>
      <c r="P2103" s="5">
        <v>33715.790977629549</v>
      </c>
      <c r="Q2103" s="5">
        <v>15663.43865741136</v>
      </c>
      <c r="R2103" s="5">
        <v>7201.7586694681067</v>
      </c>
    </row>
    <row r="2104" spans="9:18">
      <c r="I2104" s="4">
        <v>2089</v>
      </c>
      <c r="J2104" s="5">
        <v>16145.071869702888</v>
      </c>
      <c r="K2104" s="5">
        <v>16199.334613834633</v>
      </c>
      <c r="L2104" s="5">
        <v>17073.17760523731</v>
      </c>
      <c r="M2104" s="5">
        <v>11860.862376247747</v>
      </c>
      <c r="N2104" s="5">
        <v>21931.347680292267</v>
      </c>
      <c r="O2104" s="5">
        <v>15124.35050053727</v>
      </c>
      <c r="P2104" s="5">
        <v>12790.85158217316</v>
      </c>
      <c r="Q2104" s="5">
        <v>21421.044775857536</v>
      </c>
      <c r="R2104" s="5">
        <v>20236.767651156802</v>
      </c>
    </row>
    <row r="2105" spans="9:18">
      <c r="I2105" s="4">
        <v>2090</v>
      </c>
      <c r="J2105" s="5">
        <v>8580.4413740966302</v>
      </c>
      <c r="K2105" s="5">
        <v>21218.439146892688</v>
      </c>
      <c r="L2105" s="5">
        <v>14344.859750762502</v>
      </c>
      <c r="M2105" s="5">
        <v>10111.451009425113</v>
      </c>
      <c r="N2105" s="5">
        <v>23746.795665493762</v>
      </c>
      <c r="O2105" s="5">
        <v>16462.170789592048</v>
      </c>
      <c r="P2105" s="5">
        <v>29283.825979394511</v>
      </c>
      <c r="Q2105" s="5">
        <v>28797.29222718185</v>
      </c>
      <c r="R2105" s="5">
        <v>2180.6148629084787</v>
      </c>
    </row>
    <row r="2106" spans="9:18">
      <c r="I2106" s="4">
        <v>2091</v>
      </c>
      <c r="J2106" s="5">
        <v>16305.770155972396</v>
      </c>
      <c r="K2106" s="5">
        <v>12423.491400404893</v>
      </c>
      <c r="L2106" s="5">
        <v>17716.90539191998</v>
      </c>
      <c r="M2106" s="5">
        <v>11680.747299075838</v>
      </c>
      <c r="N2106" s="5">
        <v>21933.097106966918</v>
      </c>
      <c r="O2106" s="5">
        <v>83458.030763693328</v>
      </c>
      <c r="P2106" s="5">
        <v>44816.412248582856</v>
      </c>
      <c r="Q2106" s="5">
        <v>11928.872068442162</v>
      </c>
      <c r="R2106" s="5">
        <v>84289.422255274636</v>
      </c>
    </row>
    <row r="2107" spans="9:18">
      <c r="I2107" s="4">
        <v>2092</v>
      </c>
      <c r="J2107" s="5">
        <v>16016.491239086423</v>
      </c>
      <c r="K2107" s="5">
        <v>14854.898507619706</v>
      </c>
      <c r="L2107" s="5">
        <v>21428.663623484812</v>
      </c>
      <c r="M2107" s="5">
        <v>19795.661011456152</v>
      </c>
      <c r="N2107" s="5">
        <v>9563.1256545330361</v>
      </c>
      <c r="O2107" s="5">
        <v>41653.890350944224</v>
      </c>
      <c r="P2107" s="5">
        <v>17737.38315098183</v>
      </c>
      <c r="Q2107" s="5">
        <v>18097.768262249352</v>
      </c>
      <c r="R2107" s="5">
        <v>3311.4906988006405</v>
      </c>
    </row>
    <row r="2108" spans="9:18">
      <c r="I2108" s="4">
        <v>2093</v>
      </c>
      <c r="J2108" s="5">
        <v>13918.242013140338</v>
      </c>
      <c r="K2108" s="5">
        <v>11558.357574452555</v>
      </c>
      <c r="L2108" s="5">
        <v>17243.440968229323</v>
      </c>
      <c r="M2108" s="5">
        <v>21272.00214469912</v>
      </c>
      <c r="N2108" s="5">
        <v>13909.728487455486</v>
      </c>
      <c r="O2108" s="5">
        <v>30608.431994348266</v>
      </c>
      <c r="P2108" s="5">
        <v>16072.735485912413</v>
      </c>
      <c r="Q2108" s="5">
        <v>28797.29222718185</v>
      </c>
      <c r="R2108" s="5">
        <v>13258.538726001538</v>
      </c>
    </row>
    <row r="2109" spans="9:18">
      <c r="I2109" s="4">
        <v>2094</v>
      </c>
      <c r="J2109" s="5">
        <v>28085.9245102444</v>
      </c>
      <c r="K2109" s="5">
        <v>18821.113178054162</v>
      </c>
      <c r="L2109" s="5">
        <v>17683.765335572589</v>
      </c>
      <c r="M2109" s="5">
        <v>20185.026038758231</v>
      </c>
      <c r="N2109" s="5">
        <v>16148.901635865295</v>
      </c>
      <c r="O2109" s="5">
        <v>30608.431994348266</v>
      </c>
      <c r="P2109" s="5">
        <v>10180.109839011631</v>
      </c>
      <c r="Q2109" s="5">
        <v>6386.5227360487288</v>
      </c>
      <c r="R2109" s="5">
        <v>39788.288251916689</v>
      </c>
    </row>
    <row r="2110" spans="9:18">
      <c r="I2110" s="4">
        <v>2095</v>
      </c>
      <c r="J2110" s="5">
        <v>22188.291830993156</v>
      </c>
      <c r="K2110" s="5">
        <v>16873.752266014431</v>
      </c>
      <c r="L2110" s="5">
        <v>18379.634651549037</v>
      </c>
      <c r="M2110" s="5">
        <v>41403.687663920646</v>
      </c>
      <c r="N2110" s="5">
        <v>13745.376566850549</v>
      </c>
      <c r="O2110" s="5">
        <v>9320.7026593487881</v>
      </c>
      <c r="P2110" s="5">
        <v>21933.779100635442</v>
      </c>
      <c r="Q2110" s="5">
        <v>7457.1844090365566</v>
      </c>
      <c r="R2110" s="5">
        <v>12194.45251033065</v>
      </c>
    </row>
    <row r="2111" spans="9:18">
      <c r="I2111" s="4">
        <v>2096</v>
      </c>
      <c r="J2111" s="5">
        <v>15064.079707240266</v>
      </c>
      <c r="K2111" s="5">
        <v>16081.362509465702</v>
      </c>
      <c r="L2111" s="5">
        <v>15764.107424863063</v>
      </c>
      <c r="M2111" s="5">
        <v>17116.951435661951</v>
      </c>
      <c r="N2111" s="5">
        <v>11684.605182472778</v>
      </c>
      <c r="O2111" s="5">
        <v>27068.054847826614</v>
      </c>
      <c r="P2111" s="5">
        <v>32155.527541400057</v>
      </c>
      <c r="Q2111" s="5">
        <v>7349.2234634219121</v>
      </c>
      <c r="R2111" s="5">
        <v>18230.645544621442</v>
      </c>
    </row>
    <row r="2112" spans="9:18">
      <c r="I2112" s="4">
        <v>2097</v>
      </c>
      <c r="J2112" s="5">
        <v>22812.564910649318</v>
      </c>
      <c r="K2112" s="5">
        <v>10931.803935361211</v>
      </c>
      <c r="L2112" s="5">
        <v>18602.881797624486</v>
      </c>
      <c r="M2112" s="5">
        <v>23515.935489506261</v>
      </c>
      <c r="N2112" s="5">
        <v>26115.05281128412</v>
      </c>
      <c r="O2112" s="5">
        <v>5909.5347260996277</v>
      </c>
      <c r="P2112" s="5">
        <v>44816.412248582856</v>
      </c>
      <c r="Q2112" s="5">
        <v>59134.059519022907</v>
      </c>
      <c r="R2112" s="5">
        <v>122304.95880137496</v>
      </c>
    </row>
    <row r="2113" spans="9:18">
      <c r="I2113" s="4">
        <v>2098</v>
      </c>
      <c r="J2113" s="5">
        <v>20002.201347927807</v>
      </c>
      <c r="K2113" s="5">
        <v>56656.842992470461</v>
      </c>
      <c r="L2113" s="5">
        <v>17243.440968229323</v>
      </c>
      <c r="M2113" s="5">
        <v>14217.48832834715</v>
      </c>
      <c r="N2113" s="5">
        <v>6130.3882288404347</v>
      </c>
      <c r="O2113" s="5">
        <v>20721.57544042755</v>
      </c>
      <c r="P2113" s="5">
        <v>8069.5385577067918</v>
      </c>
      <c r="Q2113" s="5">
        <v>10151.908492905288</v>
      </c>
      <c r="R2113" s="5">
        <v>123773.40402252052</v>
      </c>
    </row>
    <row r="2114" spans="9:18">
      <c r="I2114" s="4">
        <v>2099</v>
      </c>
      <c r="J2114" s="5">
        <v>49463.324094345015</v>
      </c>
      <c r="K2114" s="5">
        <v>15391.837334808681</v>
      </c>
      <c r="L2114" s="5">
        <v>17845.207337527903</v>
      </c>
      <c r="M2114" s="5">
        <v>31460.745851561904</v>
      </c>
      <c r="N2114" s="5">
        <v>22868.569282757788</v>
      </c>
      <c r="O2114" s="5">
        <v>30608.431994348266</v>
      </c>
      <c r="P2114" s="5">
        <v>14376.883105731285</v>
      </c>
      <c r="Q2114" s="5">
        <v>35525.432376048877</v>
      </c>
      <c r="R2114" s="5">
        <v>27349.63499959607</v>
      </c>
    </row>
    <row r="2115" spans="9:18">
      <c r="I2115" s="4">
        <v>2100</v>
      </c>
      <c r="J2115" s="5">
        <v>43272.831879770602</v>
      </c>
      <c r="K2115" s="5">
        <v>14587.813833513306</v>
      </c>
      <c r="L2115" s="5">
        <v>16293.265064857471</v>
      </c>
      <c r="M2115" s="5">
        <v>12735.841453044006</v>
      </c>
      <c r="N2115" s="5">
        <v>18410.937863650517</v>
      </c>
      <c r="O2115" s="5">
        <v>24247.516962783076</v>
      </c>
      <c r="P2115" s="5">
        <v>16650.229067545235</v>
      </c>
      <c r="Q2115" s="5">
        <v>18097.768262249352</v>
      </c>
      <c r="R2115" s="5">
        <v>7952.6989268572033</v>
      </c>
    </row>
    <row r="2116" spans="9:18">
      <c r="I2116" s="4">
        <v>2101</v>
      </c>
      <c r="J2116" s="5">
        <v>14344.692898101612</v>
      </c>
      <c r="K2116" s="5">
        <v>13559.080695844099</v>
      </c>
      <c r="L2116" s="5">
        <v>34748.877779456467</v>
      </c>
      <c r="M2116" s="5">
        <v>23454.775510296178</v>
      </c>
      <c r="N2116" s="5">
        <v>41563.89847100406</v>
      </c>
      <c r="O2116" s="5">
        <v>94068.324736096256</v>
      </c>
      <c r="P2116" s="5">
        <v>66904.018529955298</v>
      </c>
      <c r="Q2116" s="5">
        <v>19315.033835554255</v>
      </c>
      <c r="R2116" s="5">
        <v>12194.45251033065</v>
      </c>
    </row>
    <row r="2117" spans="9:18">
      <c r="I2117" s="4">
        <v>2102</v>
      </c>
      <c r="J2117" s="5">
        <v>16544.73779470181</v>
      </c>
      <c r="K2117" s="5">
        <v>23934.551191616061</v>
      </c>
      <c r="L2117" s="5">
        <v>27289.607394458035</v>
      </c>
      <c r="M2117" s="5">
        <v>23913.435663027711</v>
      </c>
      <c r="N2117" s="5">
        <v>34295.124147811541</v>
      </c>
      <c r="O2117" s="5">
        <v>24247.516962783076</v>
      </c>
      <c r="P2117" s="5">
        <v>26541.896041444568</v>
      </c>
      <c r="Q2117" s="5">
        <v>9138.5169630896526</v>
      </c>
      <c r="R2117" s="5">
        <v>9913.4206865238284</v>
      </c>
    </row>
    <row r="2118" spans="9:18">
      <c r="I2118" s="4">
        <v>2103</v>
      </c>
      <c r="J2118" s="5">
        <v>19121.054099180623</v>
      </c>
      <c r="K2118" s="5">
        <v>16674.541027260992</v>
      </c>
      <c r="L2118" s="5">
        <v>13867.07093008449</v>
      </c>
      <c r="M2118" s="5">
        <v>7334.8610818348589</v>
      </c>
      <c r="N2118" s="5">
        <v>45581.602064432409</v>
      </c>
      <c r="O2118" s="5">
        <v>16524.769946939996</v>
      </c>
      <c r="P2118" s="5">
        <v>9482.0186426688688</v>
      </c>
      <c r="Q2118" s="5">
        <v>92068.726035424203</v>
      </c>
      <c r="R2118" s="5">
        <v>51358.6267760993</v>
      </c>
    </row>
    <row r="2119" spans="9:18">
      <c r="I2119" s="4">
        <v>2104</v>
      </c>
      <c r="J2119" s="5">
        <v>26634.853073396614</v>
      </c>
      <c r="K2119" s="5">
        <v>6949.5708823216592</v>
      </c>
      <c r="L2119" s="5">
        <v>15161.007794371622</v>
      </c>
      <c r="M2119" s="5">
        <v>23515.935489506261</v>
      </c>
      <c r="N2119" s="5">
        <v>25424.029865101274</v>
      </c>
      <c r="O2119" s="5">
        <v>4231.3144655921506</v>
      </c>
      <c r="P2119" s="5">
        <v>8662.4232458952465</v>
      </c>
      <c r="Q2119" s="5">
        <v>43417.41805414496</v>
      </c>
      <c r="R2119" s="5">
        <v>9913.4206865238284</v>
      </c>
    </row>
    <row r="2120" spans="9:18">
      <c r="I2120" s="4">
        <v>2105</v>
      </c>
      <c r="J2120" s="5">
        <v>16788.081681455456</v>
      </c>
      <c r="K2120" s="5">
        <v>11403.533194020869</v>
      </c>
      <c r="L2120" s="5">
        <v>16071.478531535273</v>
      </c>
      <c r="M2120" s="5">
        <v>12619.198742021435</v>
      </c>
      <c r="N2120" s="5">
        <v>8555.1229659096207</v>
      </c>
      <c r="O2120" s="5">
        <v>16572.483389649329</v>
      </c>
      <c r="P2120" s="5">
        <v>22601.57564624758</v>
      </c>
      <c r="Q2120" s="5">
        <v>18097.768262249352</v>
      </c>
      <c r="R2120" s="5">
        <v>18720.450716365784</v>
      </c>
    </row>
    <row r="2121" spans="9:18">
      <c r="I2121" s="4">
        <v>2106</v>
      </c>
      <c r="J2121" s="5">
        <v>11854.381651026555</v>
      </c>
      <c r="K2121" s="5">
        <v>14579.232378315752</v>
      </c>
      <c r="L2121" s="5">
        <v>15922.087958863045</v>
      </c>
      <c r="M2121" s="5">
        <v>12426.949970383979</v>
      </c>
      <c r="N2121" s="5">
        <v>22010.718648995869</v>
      </c>
      <c r="O2121" s="5">
        <v>9956.4031238965053</v>
      </c>
      <c r="P2121" s="5">
        <v>83536.241167211992</v>
      </c>
      <c r="Q2121" s="5">
        <v>9645.8788061228515</v>
      </c>
      <c r="R2121" s="5">
        <v>14079.827908007112</v>
      </c>
    </row>
    <row r="2122" spans="9:18">
      <c r="I2122" s="4">
        <v>2107</v>
      </c>
      <c r="J2122" s="5">
        <v>13045.114546182727</v>
      </c>
      <c r="K2122" s="5">
        <v>15782.544184844044</v>
      </c>
      <c r="L2122" s="5">
        <v>19224.583269019437</v>
      </c>
      <c r="M2122" s="5">
        <v>10142.860128720422</v>
      </c>
      <c r="N2122" s="5">
        <v>21009.255892677338</v>
      </c>
      <c r="O2122" s="5">
        <v>53504.725169095313</v>
      </c>
      <c r="P2122" s="5">
        <v>27708.613526855763</v>
      </c>
      <c r="Q2122" s="5">
        <v>9796.0979856104404</v>
      </c>
      <c r="R2122" s="5">
        <v>41418.225609677866</v>
      </c>
    </row>
    <row r="2123" spans="9:18">
      <c r="I2123" s="4">
        <v>2108</v>
      </c>
      <c r="J2123" s="5">
        <v>14017.326487344162</v>
      </c>
      <c r="K2123" s="5">
        <v>18086.448513145526</v>
      </c>
      <c r="L2123" s="5">
        <v>10896.494237357269</v>
      </c>
      <c r="M2123" s="5">
        <v>19433.64679949253</v>
      </c>
      <c r="N2123" s="5">
        <v>16148.901635865295</v>
      </c>
      <c r="O2123" s="5">
        <v>25644.588869829797</v>
      </c>
      <c r="P2123" s="5">
        <v>26541.896041444568</v>
      </c>
      <c r="Q2123" s="5">
        <v>11173.074396969254</v>
      </c>
      <c r="R2123" s="5">
        <v>8720.6503563381029</v>
      </c>
    </row>
    <row r="2124" spans="9:18">
      <c r="I2124" s="4">
        <v>2109</v>
      </c>
      <c r="J2124" s="5">
        <v>31053.540961463306</v>
      </c>
      <c r="K2124" s="5">
        <v>17495.743706488822</v>
      </c>
      <c r="L2124" s="5">
        <v>23760.785349782636</v>
      </c>
      <c r="M2124" s="5">
        <v>21913.431401527439</v>
      </c>
      <c r="N2124" s="5">
        <v>22010.718648995869</v>
      </c>
      <c r="O2124" s="5">
        <v>12110.196126281628</v>
      </c>
      <c r="P2124" s="5">
        <v>34768.042801665702</v>
      </c>
      <c r="Q2124" s="5">
        <v>19315.033835554255</v>
      </c>
      <c r="R2124" s="5">
        <v>7952.6989268572033</v>
      </c>
    </row>
    <row r="2125" spans="9:18">
      <c r="I2125" s="4">
        <v>2110</v>
      </c>
      <c r="J2125" s="5">
        <v>18650.249281571734</v>
      </c>
      <c r="K2125" s="5">
        <v>43843.85059185313</v>
      </c>
      <c r="L2125" s="5">
        <v>13037.115556745504</v>
      </c>
      <c r="M2125" s="5">
        <v>20788.503422877813</v>
      </c>
      <c r="N2125" s="5">
        <v>59876.136849941562</v>
      </c>
      <c r="O2125" s="5">
        <v>30608.431994348266</v>
      </c>
      <c r="P2125" s="5">
        <v>41657.50350099193</v>
      </c>
      <c r="Q2125" s="5">
        <v>54060.5331097772</v>
      </c>
      <c r="R2125" s="5">
        <v>3433.6677391851467</v>
      </c>
    </row>
    <row r="2126" spans="9:18">
      <c r="I2126" s="4">
        <v>2111</v>
      </c>
      <c r="J2126" s="5">
        <v>15554.996700302558</v>
      </c>
      <c r="K2126" s="5">
        <v>13559.080695844099</v>
      </c>
      <c r="L2126" s="5">
        <v>24256.352541181568</v>
      </c>
      <c r="M2126" s="5">
        <v>7334.8610818348589</v>
      </c>
      <c r="N2126" s="5">
        <v>57711.498171893618</v>
      </c>
      <c r="O2126" s="5">
        <v>16826.763259351828</v>
      </c>
      <c r="P2126" s="5">
        <v>46514.467673254068</v>
      </c>
      <c r="Q2126" s="5">
        <v>37497.234505125656</v>
      </c>
      <c r="R2126" s="5">
        <v>29295.938844292672</v>
      </c>
    </row>
    <row r="2127" spans="9:18">
      <c r="I2127" s="4">
        <v>2112</v>
      </c>
      <c r="J2127" s="5">
        <v>16305.770155972396</v>
      </c>
      <c r="K2127" s="5">
        <v>14854.898507619706</v>
      </c>
      <c r="L2127" s="5">
        <v>15225.811035017256</v>
      </c>
      <c r="M2127" s="5">
        <v>12934.591863415189</v>
      </c>
      <c r="N2127" s="5">
        <v>16418.492928415813</v>
      </c>
      <c r="O2127" s="5">
        <v>15936.062371781712</v>
      </c>
      <c r="P2127" s="5">
        <v>54923.423457863879</v>
      </c>
      <c r="Q2127" s="5">
        <v>30495.121067047665</v>
      </c>
      <c r="R2127" s="5">
        <v>84289.422255274636</v>
      </c>
    </row>
    <row r="2128" spans="9:18">
      <c r="I2128" s="4">
        <v>2113</v>
      </c>
      <c r="J2128" s="5">
        <v>19467.17453557903</v>
      </c>
      <c r="K2128" s="5">
        <v>9739.7813029644258</v>
      </c>
      <c r="L2128" s="5">
        <v>18379.634651549037</v>
      </c>
      <c r="M2128" s="5">
        <v>21272.00214469912</v>
      </c>
      <c r="N2128" s="5">
        <v>11952.903761138405</v>
      </c>
      <c r="O2128" s="5">
        <v>9320.7026593487881</v>
      </c>
      <c r="P2128" s="5">
        <v>13793.886507202402</v>
      </c>
      <c r="Q2128" s="5">
        <v>16591.881190929333</v>
      </c>
      <c r="R2128" s="5">
        <v>35232.418639121184</v>
      </c>
    </row>
    <row r="2129" spans="9:18">
      <c r="I2129" s="4">
        <v>2114</v>
      </c>
      <c r="J2129" s="5">
        <v>22812.564910649318</v>
      </c>
      <c r="K2129" s="5">
        <v>23327.217259521742</v>
      </c>
      <c r="L2129" s="5">
        <v>15746.942257105531</v>
      </c>
      <c r="M2129" s="5">
        <v>32497.510405113037</v>
      </c>
      <c r="N2129" s="5">
        <v>40377.252444397986</v>
      </c>
      <c r="O2129" s="5">
        <v>15936.062371781712</v>
      </c>
      <c r="P2129" s="5">
        <v>12639.596794453437</v>
      </c>
      <c r="Q2129" s="5">
        <v>12253.299944531094</v>
      </c>
      <c r="R2129" s="5">
        <v>14706.681111065362</v>
      </c>
    </row>
    <row r="2130" spans="9:18">
      <c r="I2130" s="4">
        <v>2115</v>
      </c>
      <c r="J2130" s="5">
        <v>15352.465904292809</v>
      </c>
      <c r="K2130" s="5">
        <v>13288.692555879701</v>
      </c>
      <c r="L2130" s="5">
        <v>18475.258050488967</v>
      </c>
      <c r="M2130" s="5">
        <v>19430.369425783585</v>
      </c>
      <c r="N2130" s="5">
        <v>19125.360074567652</v>
      </c>
      <c r="O2130" s="5">
        <v>8801.3667015774663</v>
      </c>
      <c r="P2130" s="5">
        <v>22708.601480587709</v>
      </c>
      <c r="Q2130" s="5">
        <v>15623.622662102793</v>
      </c>
      <c r="R2130" s="5">
        <v>2180.6148629084787</v>
      </c>
    </row>
    <row r="2131" spans="9:18">
      <c r="I2131" s="4">
        <v>2116</v>
      </c>
      <c r="J2131" s="5">
        <v>16733.020222212988</v>
      </c>
      <c r="K2131" s="5">
        <v>32294.121255311245</v>
      </c>
      <c r="L2131" s="5">
        <v>25389.332759288587</v>
      </c>
      <c r="M2131" s="5">
        <v>31472.019071027709</v>
      </c>
      <c r="N2131" s="5">
        <v>21617.945168312468</v>
      </c>
      <c r="O2131" s="5">
        <v>10369.402667058452</v>
      </c>
      <c r="P2131" s="5">
        <v>9811.9720599964548</v>
      </c>
      <c r="Q2131" s="5">
        <v>20883.852062640355</v>
      </c>
      <c r="R2131" s="5">
        <v>72640.340924600489</v>
      </c>
    </row>
    <row r="2132" spans="9:18">
      <c r="I2132" s="4">
        <v>2117</v>
      </c>
      <c r="J2132" s="5">
        <v>28085.9245102444</v>
      </c>
      <c r="K2132" s="5">
        <v>13559.080695844099</v>
      </c>
      <c r="L2132" s="5">
        <v>18215.751370765771</v>
      </c>
      <c r="M2132" s="5">
        <v>18043.539897080744</v>
      </c>
      <c r="N2132" s="5">
        <v>48565.498233359976</v>
      </c>
      <c r="O2132" s="5">
        <v>11282.178219986479</v>
      </c>
      <c r="P2132" s="5">
        <v>6275.8915673055426</v>
      </c>
      <c r="Q2132" s="5">
        <v>17493.456269945855</v>
      </c>
      <c r="R2132" s="5">
        <v>46004.399892616471</v>
      </c>
    </row>
    <row r="2133" spans="9:18">
      <c r="I2133" s="4">
        <v>2118</v>
      </c>
      <c r="J2133" s="5">
        <v>14344.692898101612</v>
      </c>
      <c r="K2133" s="5">
        <v>61827.107730316675</v>
      </c>
      <c r="L2133" s="5">
        <v>15471.738323660695</v>
      </c>
      <c r="M2133" s="5">
        <v>11680.747299075838</v>
      </c>
      <c r="N2133" s="5">
        <v>15786.177386596903</v>
      </c>
      <c r="O2133" s="5">
        <v>19430.912633256889</v>
      </c>
      <c r="P2133" s="5">
        <v>23769.190223735484</v>
      </c>
      <c r="Q2133" s="5">
        <v>4631.7430487757983</v>
      </c>
      <c r="R2133" s="5">
        <v>55106.806585409526</v>
      </c>
    </row>
    <row r="2134" spans="9:18">
      <c r="I2134" s="4">
        <v>2119</v>
      </c>
      <c r="J2134" s="5">
        <v>33627.941293959229</v>
      </c>
      <c r="K2134" s="5">
        <v>24728.095385476983</v>
      </c>
      <c r="L2134" s="5">
        <v>13867.07093008449</v>
      </c>
      <c r="M2134" s="5">
        <v>24981.974172352908</v>
      </c>
      <c r="N2134" s="5">
        <v>9563.1256545330361</v>
      </c>
      <c r="O2134" s="5">
        <v>26268.613803794757</v>
      </c>
      <c r="P2134" s="5">
        <v>55119.366528283317</v>
      </c>
      <c r="Q2134" s="5">
        <v>14064.158297039334</v>
      </c>
      <c r="R2134" s="5">
        <v>123773.40402252052</v>
      </c>
    </row>
    <row r="2135" spans="9:18">
      <c r="I2135" s="4">
        <v>2120</v>
      </c>
      <c r="J2135" s="5">
        <v>49463.324094345015</v>
      </c>
      <c r="K2135" s="5">
        <v>16873.752266014431</v>
      </c>
      <c r="L2135" s="5">
        <v>21428.663623484812</v>
      </c>
      <c r="M2135" s="5">
        <v>26477.996319655329</v>
      </c>
      <c r="N2135" s="5">
        <v>15804.474686449519</v>
      </c>
      <c r="O2135" s="5">
        <v>77417.02098927302</v>
      </c>
      <c r="P2135" s="5">
        <v>46514.467673254068</v>
      </c>
      <c r="Q2135" s="5">
        <v>70295.978314632754</v>
      </c>
      <c r="R2135" s="5">
        <v>76851.431017396084</v>
      </c>
    </row>
    <row r="2136" spans="9:18">
      <c r="I2136" s="4">
        <v>2121</v>
      </c>
      <c r="J2136" s="5">
        <v>18650.249281571734</v>
      </c>
      <c r="K2136" s="5">
        <v>12026.500118162745</v>
      </c>
      <c r="L2136" s="5">
        <v>13037.115556745504</v>
      </c>
      <c r="M2136" s="5">
        <v>32751.734100446065</v>
      </c>
      <c r="N2136" s="5">
        <v>11952.903761138405</v>
      </c>
      <c r="O2136" s="5">
        <v>10746.295275180995</v>
      </c>
      <c r="P2136" s="5">
        <v>22601.57564624758</v>
      </c>
      <c r="Q2136" s="5">
        <v>29432.473148002948</v>
      </c>
      <c r="R2136" s="5">
        <v>1535.701520095213</v>
      </c>
    </row>
    <row r="2137" spans="9:18">
      <c r="I2137" s="4">
        <v>2122</v>
      </c>
      <c r="J2137" s="5">
        <v>33627.941293959229</v>
      </c>
      <c r="K2137" s="5">
        <v>61827.107730316675</v>
      </c>
      <c r="L2137" s="5">
        <v>14146.191653372813</v>
      </c>
      <c r="M2137" s="5">
        <v>11680.747299075838</v>
      </c>
      <c r="N2137" s="5">
        <v>19125.360074567652</v>
      </c>
      <c r="O2137" s="5">
        <v>10738.305003664611</v>
      </c>
      <c r="P2137" s="5">
        <v>49519.098753410741</v>
      </c>
      <c r="Q2137" s="5">
        <v>96632.959478514502</v>
      </c>
      <c r="R2137" s="5">
        <v>33863.04333215439</v>
      </c>
    </row>
    <row r="2138" spans="9:18">
      <c r="I2138" s="4">
        <v>2123</v>
      </c>
      <c r="J2138" s="5">
        <v>14594.990625703947</v>
      </c>
      <c r="K2138" s="5">
        <v>35488.449387009874</v>
      </c>
      <c r="L2138" s="5">
        <v>16014.071850041886</v>
      </c>
      <c r="M2138" s="5">
        <v>12619.198742021435</v>
      </c>
      <c r="N2138" s="5">
        <v>9563.1256545330361</v>
      </c>
      <c r="O2138" s="5">
        <v>24369.28567093279</v>
      </c>
      <c r="P2138" s="5">
        <v>34814.458119125498</v>
      </c>
      <c r="Q2138" s="5">
        <v>8832.660767995616</v>
      </c>
      <c r="R2138" s="5">
        <v>89167.415757270224</v>
      </c>
    </row>
    <row r="2139" spans="9:18">
      <c r="I2139" s="4">
        <v>2124</v>
      </c>
      <c r="J2139" s="5">
        <v>16305.770155972396</v>
      </c>
      <c r="K2139" s="5">
        <v>9769.3659785458403</v>
      </c>
      <c r="L2139" s="5">
        <v>17693.864646288712</v>
      </c>
      <c r="M2139" s="5">
        <v>12426.949970383979</v>
      </c>
      <c r="N2139" s="5">
        <v>21909.120225822895</v>
      </c>
      <c r="O2139" s="5">
        <v>79848.944504816522</v>
      </c>
      <c r="P2139" s="5">
        <v>3930.0915591834291</v>
      </c>
      <c r="Q2139" s="5">
        <v>8832.660767995616</v>
      </c>
      <c r="R2139" s="5">
        <v>12116.34255245842</v>
      </c>
    </row>
    <row r="2140" spans="9:18">
      <c r="I2140" s="4">
        <v>2125</v>
      </c>
      <c r="J2140" s="5">
        <v>23517.429992060665</v>
      </c>
      <c r="K2140" s="5">
        <v>7753.2116148734594</v>
      </c>
      <c r="L2140" s="5">
        <v>15126.980926457318</v>
      </c>
      <c r="M2140" s="5">
        <v>13414.385151739983</v>
      </c>
      <c r="N2140" s="5">
        <v>26152.705108198839</v>
      </c>
      <c r="O2140" s="5">
        <v>55264.438774006347</v>
      </c>
      <c r="P2140" s="5">
        <v>40377.463755170742</v>
      </c>
      <c r="Q2140" s="5">
        <v>52421.574537857021</v>
      </c>
      <c r="R2140" s="5">
        <v>76851.431017396084</v>
      </c>
    </row>
    <row r="2141" spans="9:18">
      <c r="I2141" s="4">
        <v>2126</v>
      </c>
      <c r="J2141" s="5">
        <v>12701.339251949787</v>
      </c>
      <c r="K2141" s="5">
        <v>14095.75230105142</v>
      </c>
      <c r="L2141" s="5">
        <v>17920.486090689363</v>
      </c>
      <c r="M2141" s="5">
        <v>16842.379179328669</v>
      </c>
      <c r="N2141" s="5">
        <v>13511.694619545402</v>
      </c>
      <c r="O2141" s="5">
        <v>94068.324736096256</v>
      </c>
      <c r="P2141" s="5">
        <v>39054.462981000084</v>
      </c>
      <c r="Q2141" s="5">
        <v>53055.59182561023</v>
      </c>
      <c r="R2141" s="5">
        <v>182942.88598316166</v>
      </c>
    </row>
    <row r="2142" spans="9:18">
      <c r="I2142" s="4">
        <v>2127</v>
      </c>
      <c r="J2142" s="5">
        <v>33627.941293959229</v>
      </c>
      <c r="K2142" s="5">
        <v>14674.169276244838</v>
      </c>
      <c r="L2142" s="5">
        <v>15161.007794371622</v>
      </c>
      <c r="M2142" s="5">
        <v>41698.977215629871</v>
      </c>
      <c r="N2142" s="5">
        <v>17214.078970533748</v>
      </c>
      <c r="O2142" s="5">
        <v>10369.402667058452</v>
      </c>
      <c r="P2142" s="5">
        <v>32155.527541400057</v>
      </c>
      <c r="Q2142" s="5">
        <v>9796.0979856104404</v>
      </c>
      <c r="R2142" s="5">
        <v>24722.972470599001</v>
      </c>
    </row>
    <row r="2143" spans="9:18">
      <c r="I2143" s="4">
        <v>2128</v>
      </c>
      <c r="J2143" s="5">
        <v>12035.382213755307</v>
      </c>
      <c r="K2143" s="5">
        <v>34058.671324159091</v>
      </c>
      <c r="L2143" s="5">
        <v>16106.634875163341</v>
      </c>
      <c r="M2143" s="5">
        <v>16881.579299055</v>
      </c>
      <c r="N2143" s="5">
        <v>11604.12831603515</v>
      </c>
      <c r="O2143" s="5">
        <v>10746.295275180995</v>
      </c>
      <c r="P2143" s="5">
        <v>22601.57564624758</v>
      </c>
      <c r="Q2143" s="5">
        <v>28797.29222718185</v>
      </c>
      <c r="R2143" s="5">
        <v>123773.40402252052</v>
      </c>
    </row>
    <row r="2144" spans="9:18">
      <c r="I2144" s="4">
        <v>2129</v>
      </c>
      <c r="J2144" s="5">
        <v>14017.326487344162</v>
      </c>
      <c r="K2144" s="5">
        <v>61827.107730316675</v>
      </c>
      <c r="L2144" s="5">
        <v>13023.361770761438</v>
      </c>
      <c r="M2144" s="5">
        <v>11860.862376247747</v>
      </c>
      <c r="N2144" s="5">
        <v>18410.937863650517</v>
      </c>
      <c r="O2144" s="5">
        <v>59207.798737851255</v>
      </c>
      <c r="P2144" s="5">
        <v>32167.874670939738</v>
      </c>
      <c r="Q2144" s="5">
        <v>42044.890065817184</v>
      </c>
      <c r="R2144" s="5">
        <v>41056.152565483346</v>
      </c>
    </row>
    <row r="2145" spans="9:18">
      <c r="I2145" s="4">
        <v>2130</v>
      </c>
      <c r="J2145" s="5">
        <v>18650.249281571734</v>
      </c>
      <c r="K2145" s="5">
        <v>32073.547537933715</v>
      </c>
      <c r="L2145" s="5">
        <v>20698.842353987733</v>
      </c>
      <c r="M2145" s="5">
        <v>21712.71007234112</v>
      </c>
      <c r="N2145" s="5">
        <v>21931.347680292267</v>
      </c>
      <c r="O2145" s="5">
        <v>40942.522561879181</v>
      </c>
      <c r="P2145" s="5">
        <v>26541.896041444568</v>
      </c>
      <c r="Q2145" s="5">
        <v>27789.973552634947</v>
      </c>
      <c r="R2145" s="5">
        <v>84289.422255274636</v>
      </c>
    </row>
    <row r="2146" spans="9:18">
      <c r="I2146" s="4">
        <v>2131</v>
      </c>
      <c r="J2146" s="5">
        <v>28214.771032351968</v>
      </c>
      <c r="K2146" s="5">
        <v>13559.080695844099</v>
      </c>
      <c r="L2146" s="5">
        <v>16071.478531535273</v>
      </c>
      <c r="M2146" s="5">
        <v>21913.431401527439</v>
      </c>
      <c r="N2146" s="5">
        <v>13511.694619545402</v>
      </c>
      <c r="O2146" s="5">
        <v>13550.031670770122</v>
      </c>
      <c r="P2146" s="5">
        <v>10532.667493814919</v>
      </c>
      <c r="Q2146" s="5">
        <v>59134.059519022907</v>
      </c>
      <c r="R2146" s="5">
        <v>35232.418639121184</v>
      </c>
    </row>
    <row r="2147" spans="9:18">
      <c r="I2147" s="4">
        <v>2132</v>
      </c>
      <c r="J2147" s="5">
        <v>14710.037865351254</v>
      </c>
      <c r="K2147" s="5">
        <v>11149.572204897504</v>
      </c>
      <c r="L2147" s="5">
        <v>17845.207337527903</v>
      </c>
      <c r="M2147" s="5">
        <v>13011.820191946215</v>
      </c>
      <c r="N2147" s="5">
        <v>24769.339976495565</v>
      </c>
      <c r="O2147" s="5">
        <v>13117.417685535194</v>
      </c>
      <c r="P2147" s="5">
        <v>17974.179326980211</v>
      </c>
      <c r="Q2147" s="5">
        <v>116445.46783345108</v>
      </c>
      <c r="R2147" s="5">
        <v>16039.216896723072</v>
      </c>
    </row>
    <row r="2148" spans="9:18">
      <c r="I2148" s="4">
        <v>2133</v>
      </c>
      <c r="J2148" s="5">
        <v>21717.214093683677</v>
      </c>
      <c r="K2148" s="5">
        <v>11857.447519815871</v>
      </c>
      <c r="L2148" s="5">
        <v>19078.910217042379</v>
      </c>
      <c r="M2148" s="5">
        <v>33862.836621974391</v>
      </c>
      <c r="N2148" s="5">
        <v>14240.123545764454</v>
      </c>
      <c r="O2148" s="5">
        <v>13966.178986479143</v>
      </c>
      <c r="P2148" s="5">
        <v>20403.656304140692</v>
      </c>
      <c r="Q2148" s="5">
        <v>17493.456269945855</v>
      </c>
      <c r="R2148" s="5">
        <v>76851.431017396084</v>
      </c>
    </row>
    <row r="2149" spans="9:18">
      <c r="I2149" s="4">
        <v>2134</v>
      </c>
      <c r="J2149" s="5">
        <v>11843.28062342474</v>
      </c>
      <c r="K2149" s="5">
        <v>37822.375317881044</v>
      </c>
      <c r="L2149" s="5">
        <v>14796.875457021113</v>
      </c>
      <c r="M2149" s="5">
        <v>16842.379179328669</v>
      </c>
      <c r="N2149" s="5">
        <v>39672.376281023731</v>
      </c>
      <c r="O2149" s="5">
        <v>16524.769946939996</v>
      </c>
      <c r="P2149" s="5">
        <v>54923.423457863879</v>
      </c>
      <c r="Q2149" s="5">
        <v>35525.432376048877</v>
      </c>
      <c r="R2149" s="5">
        <v>41418.225609677866</v>
      </c>
    </row>
    <row r="2150" spans="9:18">
      <c r="I2150" s="4">
        <v>2135</v>
      </c>
      <c r="J2150" s="5">
        <v>14960.076233580705</v>
      </c>
      <c r="K2150" s="5">
        <v>16674.541027260992</v>
      </c>
      <c r="L2150" s="5">
        <v>13622.976145621742</v>
      </c>
      <c r="M2150" s="5">
        <v>20041.623430301417</v>
      </c>
      <c r="N2150" s="5">
        <v>21909.120225822895</v>
      </c>
      <c r="O2150" s="5">
        <v>32474.063027682765</v>
      </c>
      <c r="P2150" s="5">
        <v>3831.1492650071077</v>
      </c>
      <c r="Q2150" s="5">
        <v>11928.872068442162</v>
      </c>
      <c r="R2150" s="5">
        <v>7201.7586694681067</v>
      </c>
    </row>
    <row r="2151" spans="9:18">
      <c r="I2151" s="4">
        <v>2136</v>
      </c>
      <c r="J2151" s="5">
        <v>14710.037865351254</v>
      </c>
      <c r="K2151" s="5">
        <v>18218.584572172625</v>
      </c>
      <c r="L2151" s="5">
        <v>14344.859750762502</v>
      </c>
      <c r="M2151" s="5">
        <v>31472.019071027709</v>
      </c>
      <c r="N2151" s="5">
        <v>24314.043643333731</v>
      </c>
      <c r="O2151" s="5">
        <v>35286.662852302201</v>
      </c>
      <c r="P2151" s="5">
        <v>38771.994792132391</v>
      </c>
      <c r="Q2151" s="5">
        <v>20883.852062640355</v>
      </c>
      <c r="R2151" s="5">
        <v>27349.63499959607</v>
      </c>
    </row>
    <row r="2152" spans="9:18">
      <c r="I2152" s="4">
        <v>2137</v>
      </c>
      <c r="J2152" s="5">
        <v>28590.354879265724</v>
      </c>
      <c r="K2152" s="5">
        <v>12423.491400404893</v>
      </c>
      <c r="L2152" s="5">
        <v>16106.634875163341</v>
      </c>
      <c r="M2152" s="5">
        <v>10451.914120098167</v>
      </c>
      <c r="N2152" s="5">
        <v>13511.694619545402</v>
      </c>
      <c r="O2152" s="5">
        <v>6199.3195463515376</v>
      </c>
      <c r="P2152" s="5">
        <v>3831.1492650071077</v>
      </c>
      <c r="Q2152" s="5">
        <v>53055.59182561023</v>
      </c>
      <c r="R2152" s="5">
        <v>7952.6989268572033</v>
      </c>
    </row>
    <row r="2153" spans="9:18">
      <c r="I2153" s="4">
        <v>2138</v>
      </c>
      <c r="J2153" s="5">
        <v>14538.277247583976</v>
      </c>
      <c r="K2153" s="5">
        <v>15347.101709242541</v>
      </c>
      <c r="L2153" s="5">
        <v>14175.160754078657</v>
      </c>
      <c r="M2153" s="5">
        <v>12934.591863415189</v>
      </c>
      <c r="N2153" s="5">
        <v>42744.618431291936</v>
      </c>
      <c r="O2153" s="5">
        <v>10270.120415297655</v>
      </c>
      <c r="P2153" s="5">
        <v>23769.190223735484</v>
      </c>
      <c r="Q2153" s="5">
        <v>35525.432376048877</v>
      </c>
      <c r="R2153" s="5">
        <v>50287.76786557267</v>
      </c>
    </row>
    <row r="2154" spans="9:18">
      <c r="I2154" s="4">
        <v>2139</v>
      </c>
      <c r="J2154" s="5">
        <v>17592.832480262863</v>
      </c>
      <c r="K2154" s="5">
        <v>6949.5708823216592</v>
      </c>
      <c r="L2154" s="5">
        <v>22162.138529251199</v>
      </c>
      <c r="M2154" s="5">
        <v>19795.661011456152</v>
      </c>
      <c r="N2154" s="5">
        <v>6130.3882288404347</v>
      </c>
      <c r="O2154" s="5">
        <v>16524.769946939996</v>
      </c>
      <c r="P2154" s="5">
        <v>106091.28270624072</v>
      </c>
      <c r="Q2154" s="5">
        <v>8832.660767995616</v>
      </c>
      <c r="R2154" s="5">
        <v>12130.167062525341</v>
      </c>
    </row>
    <row r="2155" spans="9:18">
      <c r="I2155" s="4">
        <v>2140</v>
      </c>
      <c r="J2155" s="5">
        <v>16459.003095225507</v>
      </c>
      <c r="K2155" s="5">
        <v>16081.362509465702</v>
      </c>
      <c r="L2155" s="5">
        <v>14146.191653372813</v>
      </c>
      <c r="M2155" s="5">
        <v>15346.383801976139</v>
      </c>
      <c r="N2155" s="5">
        <v>27833.630848857778</v>
      </c>
      <c r="O2155" s="5">
        <v>30876.675913171162</v>
      </c>
      <c r="P2155" s="5">
        <v>28537.545734403488</v>
      </c>
      <c r="Q2155" s="5">
        <v>28567.61306643406</v>
      </c>
      <c r="R2155" s="5">
        <v>31715.273557891396</v>
      </c>
    </row>
    <row r="2156" spans="9:18">
      <c r="I2156" s="4">
        <v>2141</v>
      </c>
      <c r="J2156" s="5">
        <v>13447.638004246244</v>
      </c>
      <c r="K2156" s="5">
        <v>7753.2116148734594</v>
      </c>
      <c r="L2156" s="5">
        <v>14649.721476864312</v>
      </c>
      <c r="M2156" s="5">
        <v>24981.974172352908</v>
      </c>
      <c r="N2156" s="5">
        <v>25549.748582175915</v>
      </c>
      <c r="O2156" s="5">
        <v>25644.588869829797</v>
      </c>
      <c r="P2156" s="5">
        <v>46514.467673254068</v>
      </c>
      <c r="Q2156" s="5">
        <v>30266.563414010914</v>
      </c>
      <c r="R2156" s="5">
        <v>55106.806585409526</v>
      </c>
    </row>
    <row r="2157" spans="9:18">
      <c r="I2157" s="4">
        <v>2142</v>
      </c>
      <c r="J2157" s="5">
        <v>11854.381651026555</v>
      </c>
      <c r="K2157" s="5">
        <v>32073.547537933715</v>
      </c>
      <c r="L2157" s="5">
        <v>17693.864646288712</v>
      </c>
      <c r="M2157" s="5">
        <v>12735.841453044006</v>
      </c>
      <c r="N2157" s="5">
        <v>13909.728487455486</v>
      </c>
      <c r="O2157" s="5">
        <v>31172.963108652857</v>
      </c>
      <c r="P2157" s="5">
        <v>27373.102585108634</v>
      </c>
      <c r="Q2157" s="5">
        <v>11928.872068442162</v>
      </c>
      <c r="R2157" s="5">
        <v>2071.5141323269809</v>
      </c>
    </row>
    <row r="2158" spans="9:18">
      <c r="I2158" s="4">
        <v>2143</v>
      </c>
      <c r="J2158" s="5">
        <v>23517.429992060665</v>
      </c>
      <c r="K2158" s="5">
        <v>14017.262946034314</v>
      </c>
      <c r="L2158" s="5">
        <v>15126.980926457318</v>
      </c>
      <c r="M2158" s="5">
        <v>14432.283063351901</v>
      </c>
      <c r="N2158" s="5">
        <v>23746.795665493762</v>
      </c>
      <c r="O2158" s="5">
        <v>9869.5889207969612</v>
      </c>
      <c r="P2158" s="5">
        <v>34768.042801665702</v>
      </c>
      <c r="Q2158" s="5">
        <v>73941.636731325911</v>
      </c>
      <c r="R2158" s="5">
        <v>216919.53009911609</v>
      </c>
    </row>
    <row r="2159" spans="9:18">
      <c r="I2159" s="4">
        <v>2144</v>
      </c>
      <c r="J2159" s="5">
        <v>16788.081681455456</v>
      </c>
      <c r="K2159" s="5">
        <v>95171.967522309933</v>
      </c>
      <c r="L2159" s="5">
        <v>15471.738323660695</v>
      </c>
      <c r="M2159" s="5">
        <v>19433.64679949253</v>
      </c>
      <c r="N2159" s="5">
        <v>23746.795665493762</v>
      </c>
      <c r="O2159" s="5">
        <v>15936.062371781712</v>
      </c>
      <c r="P2159" s="5">
        <v>24349.301972630979</v>
      </c>
      <c r="Q2159" s="5">
        <v>16591.881190929333</v>
      </c>
      <c r="R2159" s="5">
        <v>122304.95880137496</v>
      </c>
    </row>
    <row r="2160" spans="9:18">
      <c r="I2160" s="4">
        <v>2145</v>
      </c>
      <c r="J2160" s="5">
        <v>16016.491239086423</v>
      </c>
      <c r="K2160" s="5">
        <v>15391.837334808681</v>
      </c>
      <c r="L2160" s="5">
        <v>17128.574519497746</v>
      </c>
      <c r="M2160" s="5">
        <v>12934.591863415189</v>
      </c>
      <c r="N2160" s="5">
        <v>13909.728487455486</v>
      </c>
      <c r="O2160" s="5">
        <v>26565.882515615398</v>
      </c>
      <c r="P2160" s="5">
        <v>8662.4232458952465</v>
      </c>
      <c r="Q2160" s="5">
        <v>53055.59182561023</v>
      </c>
      <c r="R2160" s="5">
        <v>12116.34255245842</v>
      </c>
    </row>
    <row r="2161" spans="9:18">
      <c r="I2161" s="4">
        <v>2146</v>
      </c>
      <c r="J2161" s="5">
        <v>15130.594750069789</v>
      </c>
      <c r="K2161" s="5">
        <v>11403.533194020869</v>
      </c>
      <c r="L2161" s="5">
        <v>11827.803406885578</v>
      </c>
      <c r="M2161" s="5">
        <v>41698.977215629871</v>
      </c>
      <c r="N2161" s="5">
        <v>23283.854578052265</v>
      </c>
      <c r="O2161" s="5">
        <v>16572.483389649329</v>
      </c>
      <c r="P2161" s="5">
        <v>54292.749740228588</v>
      </c>
      <c r="Q2161" s="5">
        <v>116445.46783345108</v>
      </c>
      <c r="R2161" s="5">
        <v>62674.060343500474</v>
      </c>
    </row>
    <row r="2162" spans="9:18">
      <c r="I2162" s="4">
        <v>2147</v>
      </c>
      <c r="J2162" s="5">
        <v>15873.12561080002</v>
      </c>
      <c r="K2162" s="5">
        <v>15051.330276415061</v>
      </c>
      <c r="L2162" s="5">
        <v>23760.785349782636</v>
      </c>
      <c r="M2162" s="5">
        <v>18043.539897080744</v>
      </c>
      <c r="N2162" s="5">
        <v>22511.351424689696</v>
      </c>
      <c r="O2162" s="5">
        <v>13117.417685535194</v>
      </c>
      <c r="P2162" s="5">
        <v>3831.1492650071077</v>
      </c>
      <c r="Q2162" s="5">
        <v>31618.396253255491</v>
      </c>
      <c r="R2162" s="5">
        <v>17304.847214362417</v>
      </c>
    </row>
    <row r="2163" spans="9:18">
      <c r="I2163" s="4">
        <v>2148</v>
      </c>
      <c r="J2163" s="5">
        <v>15648.665245032147</v>
      </c>
      <c r="K2163" s="5">
        <v>61827.107730316675</v>
      </c>
      <c r="L2163" s="5">
        <v>16451.333928028147</v>
      </c>
      <c r="M2163" s="5">
        <v>15346.383801976139</v>
      </c>
      <c r="N2163" s="5">
        <v>21933.097106966918</v>
      </c>
      <c r="O2163" s="5">
        <v>14371.728352806511</v>
      </c>
      <c r="P2163" s="5">
        <v>14376.883105731285</v>
      </c>
      <c r="Q2163" s="5">
        <v>15663.43865741136</v>
      </c>
      <c r="R2163" s="5">
        <v>8046.7106309763258</v>
      </c>
    </row>
    <row r="2164" spans="9:18">
      <c r="I2164" s="4">
        <v>2149</v>
      </c>
      <c r="J2164" s="5">
        <v>14749.343145806102</v>
      </c>
      <c r="K2164" s="5">
        <v>15782.544184844044</v>
      </c>
      <c r="L2164" s="5">
        <v>21954.536591034263</v>
      </c>
      <c r="M2164" s="5">
        <v>16500.222621933419</v>
      </c>
      <c r="N2164" s="5">
        <v>23998.040874392525</v>
      </c>
      <c r="O2164" s="5">
        <v>31172.963108652857</v>
      </c>
      <c r="P2164" s="5">
        <v>8662.4232458952465</v>
      </c>
      <c r="Q2164" s="5">
        <v>79566.621912742485</v>
      </c>
      <c r="R2164" s="5">
        <v>12116.34255245842</v>
      </c>
    </row>
    <row r="2165" spans="9:18">
      <c r="I2165" s="4">
        <v>2150</v>
      </c>
      <c r="J2165" s="5">
        <v>16016.491239086423</v>
      </c>
      <c r="K2165" s="5">
        <v>26110.948843472826</v>
      </c>
      <c r="L2165" s="5">
        <v>14175.160754078657</v>
      </c>
      <c r="M2165" s="5">
        <v>31554.722481137964</v>
      </c>
      <c r="N2165" s="5">
        <v>15658.063692994532</v>
      </c>
      <c r="O2165" s="5">
        <v>5909.5347260996277</v>
      </c>
      <c r="P2165" s="5">
        <v>13793.886507202402</v>
      </c>
      <c r="Q2165" s="5">
        <v>100789.83462564547</v>
      </c>
      <c r="R2165" s="5">
        <v>72561.496699005787</v>
      </c>
    </row>
    <row r="2166" spans="9:18">
      <c r="I2166" s="4">
        <v>2151</v>
      </c>
      <c r="J2166" s="5">
        <v>15417.870921574262</v>
      </c>
      <c r="K2166" s="5">
        <v>9769.3659785458403</v>
      </c>
      <c r="L2166" s="5">
        <v>14364.472927446199</v>
      </c>
      <c r="M2166" s="5">
        <v>21072.983263501868</v>
      </c>
      <c r="N2166" s="5">
        <v>24314.043643333731</v>
      </c>
      <c r="O2166" s="5">
        <v>24247.516962783076</v>
      </c>
      <c r="P2166" s="5">
        <v>23769.190223735484</v>
      </c>
      <c r="Q2166" s="5">
        <v>19315.033835554255</v>
      </c>
      <c r="R2166" s="5">
        <v>84289.422255274636</v>
      </c>
    </row>
    <row r="2167" spans="9:18">
      <c r="I2167" s="4">
        <v>2152</v>
      </c>
      <c r="J2167" s="5">
        <v>21717.214093683677</v>
      </c>
      <c r="K2167" s="5">
        <v>14497.035717129334</v>
      </c>
      <c r="L2167" s="5">
        <v>13023.361770761438</v>
      </c>
      <c r="M2167" s="5">
        <v>19433.64679949253</v>
      </c>
      <c r="N2167" s="5">
        <v>25424.029865101274</v>
      </c>
      <c r="O2167" s="5">
        <v>30876.675913171162</v>
      </c>
      <c r="P2167" s="5">
        <v>32155.527541400057</v>
      </c>
      <c r="Q2167" s="5">
        <v>59964.86015574776</v>
      </c>
      <c r="R2167" s="5">
        <v>7201.7586694681067</v>
      </c>
    </row>
    <row r="2168" spans="9:18">
      <c r="I2168" s="4">
        <v>2153</v>
      </c>
      <c r="J2168" s="5">
        <v>15623.733864199699</v>
      </c>
      <c r="K2168" s="5">
        <v>14351.415257675473</v>
      </c>
      <c r="L2168" s="5">
        <v>19189.275558866306</v>
      </c>
      <c r="M2168" s="5">
        <v>16510.442870615672</v>
      </c>
      <c r="N2168" s="5">
        <v>39672.376281023731</v>
      </c>
      <c r="O2168" s="5">
        <v>20489.622805425737</v>
      </c>
      <c r="P2168" s="5">
        <v>10966.822219855034</v>
      </c>
      <c r="Q2168" s="5">
        <v>4631.7430487757983</v>
      </c>
      <c r="R2168" s="5">
        <v>24831.679362998926</v>
      </c>
    </row>
    <row r="2169" spans="9:18">
      <c r="I2169" s="4">
        <v>2154</v>
      </c>
      <c r="J2169" s="5">
        <v>14710.037865351254</v>
      </c>
      <c r="K2169" s="5">
        <v>56656.842992470461</v>
      </c>
      <c r="L2169" s="5">
        <v>14146.191653372813</v>
      </c>
      <c r="M2169" s="5">
        <v>17370.588707072598</v>
      </c>
      <c r="N2169" s="5">
        <v>8104.6265149430556</v>
      </c>
      <c r="O2169" s="5">
        <v>20721.57544042755</v>
      </c>
      <c r="P2169" s="5">
        <v>14376.883105731285</v>
      </c>
      <c r="Q2169" s="5">
        <v>9454.5906023793759</v>
      </c>
      <c r="R2169" s="5">
        <v>17687.533637716911</v>
      </c>
    </row>
    <row r="2170" spans="9:18">
      <c r="I2170" s="4">
        <v>2155</v>
      </c>
      <c r="J2170" s="5">
        <v>15081.728672246438</v>
      </c>
      <c r="K2170" s="5">
        <v>22732.797143159998</v>
      </c>
      <c r="L2170" s="5">
        <v>14344.859750762502</v>
      </c>
      <c r="M2170" s="5">
        <v>15346.383801976139</v>
      </c>
      <c r="N2170" s="5">
        <v>23043.345403059295</v>
      </c>
      <c r="O2170" s="5">
        <v>16524.769946939996</v>
      </c>
      <c r="P2170" s="5">
        <v>12639.596794453437</v>
      </c>
      <c r="Q2170" s="5">
        <v>37101.531383212743</v>
      </c>
      <c r="R2170" s="5">
        <v>7952.6989268572033</v>
      </c>
    </row>
    <row r="2171" spans="9:18">
      <c r="I2171" s="4">
        <v>2156</v>
      </c>
      <c r="J2171" s="5">
        <v>15081.728672246438</v>
      </c>
      <c r="K2171" s="5">
        <v>21218.439146892688</v>
      </c>
      <c r="L2171" s="5">
        <v>24256.352541181568</v>
      </c>
      <c r="M2171" s="5">
        <v>41698.977215629871</v>
      </c>
      <c r="N2171" s="5">
        <v>42744.618431291936</v>
      </c>
      <c r="O2171" s="5">
        <v>8121.6248378263163</v>
      </c>
      <c r="P2171" s="5">
        <v>20403.656304140692</v>
      </c>
      <c r="Q2171" s="5">
        <v>56069.347629295014</v>
      </c>
      <c r="R2171" s="5">
        <v>122304.95880137496</v>
      </c>
    </row>
    <row r="2172" spans="9:18">
      <c r="I2172" s="4">
        <v>2157</v>
      </c>
      <c r="J2172" s="5">
        <v>12701.339251949787</v>
      </c>
      <c r="K2172" s="5">
        <v>15631.937142257386</v>
      </c>
      <c r="L2172" s="5">
        <v>14610.165745300763</v>
      </c>
      <c r="M2172" s="5">
        <v>30785.663999045999</v>
      </c>
      <c r="N2172" s="5">
        <v>51261.622558090799</v>
      </c>
      <c r="O2172" s="5">
        <v>13117.417685535194</v>
      </c>
      <c r="P2172" s="5">
        <v>29283.825979394511</v>
      </c>
      <c r="Q2172" s="5">
        <v>42044.890065817184</v>
      </c>
      <c r="R2172" s="5">
        <v>76851.431017396084</v>
      </c>
    </row>
    <row r="2173" spans="9:18">
      <c r="I2173" s="4">
        <v>2158</v>
      </c>
      <c r="J2173" s="5">
        <v>15352.465904292809</v>
      </c>
      <c r="K2173" s="5">
        <v>12423.491400404893</v>
      </c>
      <c r="L2173" s="5">
        <v>15651.346103181355</v>
      </c>
      <c r="M2173" s="5">
        <v>41403.687663920646</v>
      </c>
      <c r="N2173" s="5">
        <v>37309.151967087455</v>
      </c>
      <c r="O2173" s="5">
        <v>53504.725169095313</v>
      </c>
      <c r="P2173" s="5">
        <v>46514.467673254068</v>
      </c>
      <c r="Q2173" s="5">
        <v>59964.86015574776</v>
      </c>
      <c r="R2173" s="5">
        <v>2071.5141323269809</v>
      </c>
    </row>
    <row r="2174" spans="9:18">
      <c r="I2174" s="4">
        <v>2159</v>
      </c>
      <c r="J2174" s="5">
        <v>14710.037865351254</v>
      </c>
      <c r="K2174" s="5">
        <v>34164.842952759042</v>
      </c>
      <c r="L2174" s="5">
        <v>14796.875457021113</v>
      </c>
      <c r="M2174" s="5">
        <v>12934.591863415189</v>
      </c>
      <c r="N2174" s="5">
        <v>25424.029865101274</v>
      </c>
      <c r="O2174" s="5">
        <v>16524.769946939996</v>
      </c>
      <c r="P2174" s="5">
        <v>14327.191387816954</v>
      </c>
      <c r="Q2174" s="5">
        <v>148345.62878828164</v>
      </c>
      <c r="R2174" s="5">
        <v>30571.564004538617</v>
      </c>
    </row>
    <row r="2175" spans="9:18">
      <c r="I2175" s="4">
        <v>2160</v>
      </c>
      <c r="J2175" s="5">
        <v>15064.079707240266</v>
      </c>
      <c r="K2175" s="5">
        <v>12777.667398488715</v>
      </c>
      <c r="L2175" s="5">
        <v>14316.474075738101</v>
      </c>
      <c r="M2175" s="5">
        <v>21712.71007234112</v>
      </c>
      <c r="N2175" s="5">
        <v>59876.136849941562</v>
      </c>
      <c r="O2175" s="5">
        <v>20721.57544042755</v>
      </c>
      <c r="P2175" s="5">
        <v>14327.191387816954</v>
      </c>
      <c r="Q2175" s="5">
        <v>31855.809428519857</v>
      </c>
      <c r="R2175" s="5">
        <v>1535.701520095213</v>
      </c>
    </row>
    <row r="2176" spans="9:18">
      <c r="I2176" s="4">
        <v>2161</v>
      </c>
      <c r="J2176" s="5">
        <v>16416.142496463777</v>
      </c>
      <c r="K2176" s="5">
        <v>14017.262946034314</v>
      </c>
      <c r="L2176" s="5">
        <v>24256.352541181568</v>
      </c>
      <c r="M2176" s="5">
        <v>41698.977215629871</v>
      </c>
      <c r="N2176" s="5">
        <v>23008.246229813707</v>
      </c>
      <c r="O2176" s="5">
        <v>62082.6862081785</v>
      </c>
      <c r="P2176" s="5">
        <v>21039.927746191301</v>
      </c>
      <c r="Q2176" s="5">
        <v>4631.7430487757983</v>
      </c>
      <c r="R2176" s="5">
        <v>39263.770877572199</v>
      </c>
    </row>
    <row r="2177" spans="9:18">
      <c r="I2177" s="4">
        <v>2162</v>
      </c>
      <c r="J2177" s="5">
        <v>14750.660273177687</v>
      </c>
      <c r="K2177" s="5">
        <v>14587.813833513306</v>
      </c>
      <c r="L2177" s="5">
        <v>17243.440968229323</v>
      </c>
      <c r="M2177" s="5">
        <v>21712.71007234112</v>
      </c>
      <c r="N2177" s="5">
        <v>21933.097106966918</v>
      </c>
      <c r="O2177" s="5">
        <v>40304.23053285561</v>
      </c>
      <c r="P2177" s="5">
        <v>29283.825979394511</v>
      </c>
      <c r="Q2177" s="5">
        <v>28776.080424849053</v>
      </c>
      <c r="R2177" s="5">
        <v>216919.53009911609</v>
      </c>
    </row>
    <row r="2178" spans="9:18">
      <c r="I2178" s="4">
        <v>2163</v>
      </c>
      <c r="J2178" s="5">
        <v>14671.176405938595</v>
      </c>
      <c r="K2178" s="5">
        <v>32294.121255311245</v>
      </c>
      <c r="L2178" s="5">
        <v>22162.138529251199</v>
      </c>
      <c r="M2178" s="5">
        <v>31460.745851561904</v>
      </c>
      <c r="N2178" s="5">
        <v>14921.795973817481</v>
      </c>
      <c r="O2178" s="5">
        <v>8801.3667015774663</v>
      </c>
      <c r="P2178" s="5">
        <v>77603.711720266961</v>
      </c>
      <c r="Q2178" s="5">
        <v>68168.482468129529</v>
      </c>
      <c r="R2178" s="5">
        <v>93933.045103013996</v>
      </c>
    </row>
    <row r="2179" spans="9:18">
      <c r="I2179" s="4">
        <v>2164</v>
      </c>
      <c r="J2179" s="5">
        <v>16416.142496463777</v>
      </c>
      <c r="K2179" s="5">
        <v>43843.85059185313</v>
      </c>
      <c r="L2179" s="5">
        <v>13867.07093008449</v>
      </c>
      <c r="M2179" s="5">
        <v>20550.782384061673</v>
      </c>
      <c r="N2179" s="5">
        <v>26115.05281128412</v>
      </c>
      <c r="O2179" s="5">
        <v>11282.178219986479</v>
      </c>
      <c r="P2179" s="5">
        <v>8069.5385577067918</v>
      </c>
      <c r="Q2179" s="5">
        <v>9796.0979856104404</v>
      </c>
      <c r="R2179" s="5">
        <v>87776.138236389699</v>
      </c>
    </row>
    <row r="2180" spans="9:18">
      <c r="I2180" s="4">
        <v>2165</v>
      </c>
      <c r="J2180" s="5">
        <v>11854.381651026555</v>
      </c>
      <c r="K2180" s="5">
        <v>15428.770955406064</v>
      </c>
      <c r="L2180" s="5">
        <v>14649.721476864312</v>
      </c>
      <c r="M2180" s="5">
        <v>12735.841453044006</v>
      </c>
      <c r="N2180" s="5">
        <v>23043.345403059295</v>
      </c>
      <c r="O2180" s="5">
        <v>27195.510785031525</v>
      </c>
      <c r="P2180" s="5">
        <v>16574.429708560569</v>
      </c>
      <c r="Q2180" s="5">
        <v>148345.62878828164</v>
      </c>
      <c r="R2180" s="5">
        <v>39727.513802035661</v>
      </c>
    </row>
    <row r="2181" spans="9:18">
      <c r="I2181" s="4">
        <v>2166</v>
      </c>
      <c r="J2181" s="5">
        <v>14749.343145806102</v>
      </c>
      <c r="K2181" s="5">
        <v>18086.448513145526</v>
      </c>
      <c r="L2181" s="5">
        <v>27144.958215276103</v>
      </c>
      <c r="M2181" s="5">
        <v>19262.243095117232</v>
      </c>
      <c r="N2181" s="5">
        <v>9989.086510768735</v>
      </c>
      <c r="O2181" s="5">
        <v>32474.063027682765</v>
      </c>
      <c r="P2181" s="5">
        <v>48123.003747643132</v>
      </c>
      <c r="Q2181" s="5">
        <v>19541.409060825732</v>
      </c>
      <c r="R2181" s="5">
        <v>31715.273557891396</v>
      </c>
    </row>
    <row r="2182" spans="9:18">
      <c r="I2182" s="4">
        <v>2167</v>
      </c>
      <c r="J2182" s="5">
        <v>17592.832480262863</v>
      </c>
      <c r="K2182" s="5">
        <v>14611.618478071941</v>
      </c>
      <c r="L2182" s="5">
        <v>15764.107424863063</v>
      </c>
      <c r="M2182" s="5">
        <v>33862.836621974391</v>
      </c>
      <c r="N2182" s="5">
        <v>16581.915858379376</v>
      </c>
      <c r="O2182" s="5">
        <v>30656.031716467984</v>
      </c>
      <c r="P2182" s="5">
        <v>28537.545734403488</v>
      </c>
      <c r="Q2182" s="5">
        <v>73941.636731325911</v>
      </c>
      <c r="R2182" s="5">
        <v>20236.767651156802</v>
      </c>
    </row>
    <row r="2183" spans="9:18">
      <c r="I2183" s="4">
        <v>2168</v>
      </c>
      <c r="J2183" s="5">
        <v>15064.079707240266</v>
      </c>
      <c r="K2183" s="5">
        <v>26110.948843472826</v>
      </c>
      <c r="L2183" s="5">
        <v>21954.536591034263</v>
      </c>
      <c r="M2183" s="5">
        <v>14432.283063351901</v>
      </c>
      <c r="N2183" s="5">
        <v>39672.376281023731</v>
      </c>
      <c r="O2183" s="5">
        <v>8121.6248378263163</v>
      </c>
      <c r="P2183" s="5">
        <v>14773.185437294762</v>
      </c>
      <c r="Q2183" s="5">
        <v>8502.450657922871</v>
      </c>
      <c r="R2183" s="5">
        <v>20236.767651156802</v>
      </c>
    </row>
    <row r="2184" spans="9:18">
      <c r="I2184" s="4">
        <v>2169</v>
      </c>
      <c r="J2184" s="5">
        <v>12035.382213755307</v>
      </c>
      <c r="K2184" s="5">
        <v>30552.499930043898</v>
      </c>
      <c r="L2184" s="5">
        <v>15161.007794371622</v>
      </c>
      <c r="M2184" s="5">
        <v>15346.383801976139</v>
      </c>
      <c r="N2184" s="5">
        <v>23583.581287126868</v>
      </c>
      <c r="O2184" s="5">
        <v>27062.73412298776</v>
      </c>
      <c r="P2184" s="5">
        <v>17737.38315098183</v>
      </c>
      <c r="Q2184" s="5">
        <v>7349.2234634219121</v>
      </c>
      <c r="R2184" s="5">
        <v>41418.225609677866</v>
      </c>
    </row>
    <row r="2185" spans="9:18">
      <c r="I2185" s="4">
        <v>2170</v>
      </c>
      <c r="J2185" s="5">
        <v>33627.941293959229</v>
      </c>
      <c r="K2185" s="5">
        <v>34058.671324159091</v>
      </c>
      <c r="L2185" s="5">
        <v>16293.265064857471</v>
      </c>
      <c r="M2185" s="5">
        <v>11860.862376247747</v>
      </c>
      <c r="N2185" s="5">
        <v>21909.120225822895</v>
      </c>
      <c r="O2185" s="5">
        <v>13966.178986479143</v>
      </c>
      <c r="P2185" s="5">
        <v>35569.894390728325</v>
      </c>
      <c r="Q2185" s="5">
        <v>17234.335939857254</v>
      </c>
      <c r="R2185" s="5">
        <v>46004.399892616471</v>
      </c>
    </row>
    <row r="2186" spans="9:18">
      <c r="I2186" s="4">
        <v>2171</v>
      </c>
      <c r="J2186" s="5">
        <v>21888.821432026474</v>
      </c>
      <c r="K2186" s="5">
        <v>12777.667398488715</v>
      </c>
      <c r="L2186" s="5">
        <v>14042.41908879921</v>
      </c>
      <c r="M2186" s="5">
        <v>19433.64679949253</v>
      </c>
      <c r="N2186" s="5">
        <v>8104.6265149430556</v>
      </c>
      <c r="O2186" s="5">
        <v>20930.098352661731</v>
      </c>
      <c r="P2186" s="5">
        <v>17737.38315098183</v>
      </c>
      <c r="Q2186" s="5">
        <v>31974.553851773013</v>
      </c>
      <c r="R2186" s="5">
        <v>65420.116221752483</v>
      </c>
    </row>
    <row r="2187" spans="9:18">
      <c r="I2187" s="4">
        <v>2172</v>
      </c>
      <c r="J2187" s="5">
        <v>13918.242013140338</v>
      </c>
      <c r="K2187" s="5">
        <v>26110.948843472826</v>
      </c>
      <c r="L2187" s="5">
        <v>10752.183901283248</v>
      </c>
      <c r="M2187" s="5">
        <v>19097.39635881727</v>
      </c>
      <c r="N2187" s="5">
        <v>39406.658185292261</v>
      </c>
      <c r="O2187" s="5">
        <v>41653.890350944224</v>
      </c>
      <c r="P2187" s="5">
        <v>9826.8369575407578</v>
      </c>
      <c r="Q2187" s="5">
        <v>11928.872068442162</v>
      </c>
      <c r="R2187" s="5">
        <v>12194.45251033065</v>
      </c>
    </row>
    <row r="2188" spans="9:18">
      <c r="I2188" s="4">
        <v>2173</v>
      </c>
      <c r="J2188" s="5">
        <v>11843.28062342474</v>
      </c>
      <c r="K2188" s="5">
        <v>12026.500118162745</v>
      </c>
      <c r="L2188" s="5">
        <v>14042.41908879921</v>
      </c>
      <c r="M2188" s="5">
        <v>12934.591863415189</v>
      </c>
      <c r="N2188" s="5">
        <v>15130.853682762778</v>
      </c>
      <c r="O2188" s="5">
        <v>16524.769946939996</v>
      </c>
      <c r="P2188" s="5">
        <v>34814.458119125498</v>
      </c>
      <c r="Q2188" s="5">
        <v>71213.172792303565</v>
      </c>
      <c r="R2188" s="5">
        <v>54594.567438884274</v>
      </c>
    </row>
    <row r="2189" spans="9:18">
      <c r="I2189" s="4">
        <v>2174</v>
      </c>
      <c r="J2189" s="5">
        <v>16733.020222212988</v>
      </c>
      <c r="K2189" s="5">
        <v>14351.415257675473</v>
      </c>
      <c r="L2189" s="5">
        <v>24256.352541181568</v>
      </c>
      <c r="M2189" s="5">
        <v>22815.60259636537</v>
      </c>
      <c r="N2189" s="5">
        <v>36962.805083900916</v>
      </c>
      <c r="O2189" s="5">
        <v>16524.769946939996</v>
      </c>
      <c r="P2189" s="5">
        <v>32155.527541400057</v>
      </c>
      <c r="Q2189" s="5">
        <v>148345.62878828164</v>
      </c>
      <c r="R2189" s="5">
        <v>93933.045103013996</v>
      </c>
    </row>
    <row r="2190" spans="9:18">
      <c r="I2190" s="4">
        <v>2175</v>
      </c>
      <c r="J2190" s="5">
        <v>73074.062486361407</v>
      </c>
      <c r="K2190" s="5">
        <v>32294.121255311245</v>
      </c>
      <c r="L2190" s="5">
        <v>19189.275558866306</v>
      </c>
      <c r="M2190" s="5">
        <v>15346.383801976139</v>
      </c>
      <c r="N2190" s="5">
        <v>16148.901635865295</v>
      </c>
      <c r="O2190" s="5">
        <v>77417.02098927302</v>
      </c>
      <c r="P2190" s="5">
        <v>3017.2887813579896</v>
      </c>
      <c r="Q2190" s="5">
        <v>31618.396253255491</v>
      </c>
      <c r="R2190" s="5">
        <v>39727.513802035661</v>
      </c>
    </row>
    <row r="2191" spans="9:18">
      <c r="I2191" s="4">
        <v>2176</v>
      </c>
      <c r="J2191" s="5">
        <v>9405.362381917912</v>
      </c>
      <c r="K2191" s="5">
        <v>9739.7813029644258</v>
      </c>
      <c r="L2191" s="5">
        <v>16777.996633299583</v>
      </c>
      <c r="M2191" s="5">
        <v>19097.39635881727</v>
      </c>
      <c r="N2191" s="5">
        <v>4770.4216775830728</v>
      </c>
      <c r="O2191" s="5">
        <v>67717.30633712461</v>
      </c>
      <c r="P2191" s="5">
        <v>22601.57564624758</v>
      </c>
      <c r="Q2191" s="5">
        <v>42044.890065817184</v>
      </c>
      <c r="R2191" s="5">
        <v>65420.116221752483</v>
      </c>
    </row>
    <row r="2192" spans="9:18">
      <c r="I2192" s="4">
        <v>2177</v>
      </c>
      <c r="J2192" s="5">
        <v>28085.9245102444</v>
      </c>
      <c r="K2192" s="5">
        <v>16674.541027260992</v>
      </c>
      <c r="L2192" s="5">
        <v>27144.958215276103</v>
      </c>
      <c r="M2192" s="5">
        <v>12619.198742021435</v>
      </c>
      <c r="N2192" s="5">
        <v>59876.136849941562</v>
      </c>
      <c r="O2192" s="5">
        <v>66253.993323243907</v>
      </c>
      <c r="P2192" s="5">
        <v>22601.57564624758</v>
      </c>
      <c r="Q2192" s="5">
        <v>8880.8074399558282</v>
      </c>
      <c r="R2192" s="5">
        <v>7201.7586694681067</v>
      </c>
    </row>
    <row r="2193" spans="9:18">
      <c r="I2193" s="4">
        <v>2178</v>
      </c>
      <c r="J2193" s="5">
        <v>16416.142496463777</v>
      </c>
      <c r="K2193" s="5">
        <v>22732.797143159998</v>
      </c>
      <c r="L2193" s="5">
        <v>16014.071850041886</v>
      </c>
      <c r="M2193" s="5">
        <v>16842.379179328669</v>
      </c>
      <c r="N2193" s="5">
        <v>21617.945168312468</v>
      </c>
      <c r="O2193" s="5">
        <v>35286.662852302201</v>
      </c>
      <c r="P2193" s="5">
        <v>38024.168395914428</v>
      </c>
      <c r="Q2193" s="5">
        <v>19541.409060825732</v>
      </c>
      <c r="R2193" s="5">
        <v>90296.353221228885</v>
      </c>
    </row>
    <row r="2194" spans="9:18">
      <c r="I2194" s="4">
        <v>2179</v>
      </c>
      <c r="J2194" s="5">
        <v>16511.332839561353</v>
      </c>
      <c r="K2194" s="5">
        <v>12777.667398488715</v>
      </c>
      <c r="L2194" s="5">
        <v>17578.712723867691</v>
      </c>
      <c r="M2194" s="5">
        <v>22815.60259636537</v>
      </c>
      <c r="N2194" s="5">
        <v>26115.05281128412</v>
      </c>
      <c r="O2194" s="5">
        <v>24369.28567093279</v>
      </c>
      <c r="P2194" s="5">
        <v>17737.38315098183</v>
      </c>
      <c r="Q2194" s="5">
        <v>17153.530968450712</v>
      </c>
      <c r="R2194" s="5">
        <v>7952.6989268572033</v>
      </c>
    </row>
    <row r="2195" spans="9:18">
      <c r="I2195" s="4">
        <v>2180</v>
      </c>
      <c r="J2195" s="5">
        <v>15554.996700302558</v>
      </c>
      <c r="K2195" s="5">
        <v>17003.901855709089</v>
      </c>
      <c r="L2195" s="5">
        <v>14691.846656953887</v>
      </c>
      <c r="M2195" s="5">
        <v>15586.009710351766</v>
      </c>
      <c r="N2195" s="5">
        <v>9989.086510768735</v>
      </c>
      <c r="O2195" s="5">
        <v>27084.483614751469</v>
      </c>
      <c r="P2195" s="5">
        <v>33715.790977629549</v>
      </c>
      <c r="Q2195" s="5">
        <v>116445.46783345108</v>
      </c>
      <c r="R2195" s="5">
        <v>7394.6358885760465</v>
      </c>
    </row>
    <row r="2196" spans="9:18">
      <c r="I2196" s="4">
        <v>2181</v>
      </c>
      <c r="J2196" s="5">
        <v>15352.465904292809</v>
      </c>
      <c r="K2196" s="5">
        <v>16273.14570113692</v>
      </c>
      <c r="L2196" s="5">
        <v>16451.333928028147</v>
      </c>
      <c r="M2196" s="5">
        <v>14432.283063351901</v>
      </c>
      <c r="N2196" s="5">
        <v>23746.795665493762</v>
      </c>
      <c r="O2196" s="5">
        <v>13550.031670770122</v>
      </c>
      <c r="P2196" s="5">
        <v>17996.895987204196</v>
      </c>
      <c r="Q2196" s="5">
        <v>21421.044775857536</v>
      </c>
      <c r="R2196" s="5">
        <v>41056.152565483346</v>
      </c>
    </row>
    <row r="2197" spans="9:18">
      <c r="I2197" s="4">
        <v>2182</v>
      </c>
      <c r="J2197" s="5">
        <v>22370.105711697011</v>
      </c>
      <c r="K2197" s="5">
        <v>13520.836427679104</v>
      </c>
      <c r="L2197" s="5">
        <v>14264.23790876064</v>
      </c>
      <c r="M2197" s="5">
        <v>12987.517521908694</v>
      </c>
      <c r="N2197" s="5">
        <v>22511.351424689696</v>
      </c>
      <c r="O2197" s="5">
        <v>40942.522561879181</v>
      </c>
      <c r="P2197" s="5">
        <v>32155.527541400057</v>
      </c>
      <c r="Q2197" s="5">
        <v>31855.809428519857</v>
      </c>
      <c r="R2197" s="5">
        <v>39788.288251916689</v>
      </c>
    </row>
    <row r="2198" spans="9:18">
      <c r="I2198" s="4">
        <v>2183</v>
      </c>
      <c r="J2198" s="5">
        <v>34933.039312618188</v>
      </c>
      <c r="K2198" s="5">
        <v>18218.584572172625</v>
      </c>
      <c r="L2198" s="5">
        <v>14815.394001212817</v>
      </c>
      <c r="M2198" s="5">
        <v>19042.78605337895</v>
      </c>
      <c r="N2198" s="5">
        <v>23283.854578052265</v>
      </c>
      <c r="O2198" s="5">
        <v>10676.618215263648</v>
      </c>
      <c r="P2198" s="5">
        <v>54100.778483493887</v>
      </c>
      <c r="Q2198" s="5">
        <v>22895.455950885695</v>
      </c>
      <c r="R2198" s="5">
        <v>96845.299789249824</v>
      </c>
    </row>
    <row r="2199" spans="9:18">
      <c r="I2199" s="4">
        <v>2184</v>
      </c>
      <c r="J2199" s="5">
        <v>15081.728672246438</v>
      </c>
      <c r="K2199" s="5">
        <v>21958.925144875713</v>
      </c>
      <c r="L2199" s="5">
        <v>15471.738323660695</v>
      </c>
      <c r="M2199" s="5">
        <v>13642.678686731051</v>
      </c>
      <c r="N2199" s="5">
        <v>15251.140047572881</v>
      </c>
      <c r="O2199" s="5">
        <v>51330.340277512776</v>
      </c>
      <c r="P2199" s="5">
        <v>38771.994792132391</v>
      </c>
      <c r="Q2199" s="5">
        <v>148345.62878828164</v>
      </c>
      <c r="R2199" s="5">
        <v>17687.533637716911</v>
      </c>
    </row>
    <row r="2200" spans="9:18">
      <c r="I2200" s="4">
        <v>2185</v>
      </c>
      <c r="J2200" s="5">
        <v>13045.114546182727</v>
      </c>
      <c r="K2200" s="5">
        <v>6949.5708823216592</v>
      </c>
      <c r="L2200" s="5">
        <v>16017.890956041876</v>
      </c>
      <c r="M2200" s="5">
        <v>18691.941789825862</v>
      </c>
      <c r="N2200" s="5">
        <v>27841.916587595573</v>
      </c>
      <c r="O2200" s="5">
        <v>27195.510785031525</v>
      </c>
      <c r="P2200" s="5">
        <v>9633.1652908310007</v>
      </c>
      <c r="Q2200" s="5">
        <v>129470.11441833655</v>
      </c>
      <c r="R2200" s="5">
        <v>17991.870496434763</v>
      </c>
    </row>
    <row r="2201" spans="9:18">
      <c r="I2201" s="4">
        <v>2186</v>
      </c>
      <c r="J2201" s="5">
        <v>20768.286261788198</v>
      </c>
      <c r="K2201" s="5">
        <v>30552.499930043898</v>
      </c>
      <c r="L2201" s="5">
        <v>16955.349467865559</v>
      </c>
      <c r="M2201" s="5">
        <v>32751.734100446065</v>
      </c>
      <c r="N2201" s="5">
        <v>26115.05281128412</v>
      </c>
      <c r="O2201" s="5">
        <v>20489.622805425737</v>
      </c>
      <c r="P2201" s="5">
        <v>8662.4232458952465</v>
      </c>
      <c r="Q2201" s="5">
        <v>71213.172792303565</v>
      </c>
      <c r="R2201" s="5">
        <v>81423.874800517297</v>
      </c>
    </row>
    <row r="2202" spans="9:18">
      <c r="I2202" s="4">
        <v>2187</v>
      </c>
      <c r="J2202" s="5">
        <v>49463.324094345015</v>
      </c>
      <c r="K2202" s="5">
        <v>11206.053243692098</v>
      </c>
      <c r="L2202" s="5">
        <v>19359.475411188432</v>
      </c>
      <c r="M2202" s="5">
        <v>41403.687663920646</v>
      </c>
      <c r="N2202" s="5">
        <v>9989.086510768735</v>
      </c>
      <c r="O2202" s="5">
        <v>12110.196126281628</v>
      </c>
      <c r="P2202" s="5">
        <v>25258.981945036445</v>
      </c>
      <c r="Q2202" s="5">
        <v>13865.641566869812</v>
      </c>
      <c r="R2202" s="5">
        <v>72561.496699005787</v>
      </c>
    </row>
    <row r="2203" spans="9:18">
      <c r="I2203" s="4">
        <v>2188</v>
      </c>
      <c r="J2203" s="5">
        <v>14671.176405938595</v>
      </c>
      <c r="K2203" s="5">
        <v>35488.449387009874</v>
      </c>
      <c r="L2203" s="5">
        <v>14264.23790876064</v>
      </c>
      <c r="M2203" s="5">
        <v>22326.253555179093</v>
      </c>
      <c r="N2203" s="5">
        <v>22511.351424689696</v>
      </c>
      <c r="O2203" s="5">
        <v>3171.3006415671193</v>
      </c>
      <c r="P2203" s="5">
        <v>77603.711720266961</v>
      </c>
      <c r="Q2203" s="5">
        <v>16591.881190929333</v>
      </c>
      <c r="R2203" s="5">
        <v>17991.870496434763</v>
      </c>
    </row>
    <row r="2204" spans="9:18">
      <c r="I2204" s="4">
        <v>2189</v>
      </c>
      <c r="J2204" s="5">
        <v>14420.293087375476</v>
      </c>
      <c r="K2204" s="5">
        <v>8223.1266007477425</v>
      </c>
      <c r="L2204" s="5">
        <v>15126.980926457318</v>
      </c>
      <c r="M2204" s="5">
        <v>16500.222621933419</v>
      </c>
      <c r="N2204" s="5">
        <v>63974.903847153939</v>
      </c>
      <c r="O2204" s="5">
        <v>14371.728352806511</v>
      </c>
      <c r="P2204" s="5">
        <v>14327.191387816954</v>
      </c>
      <c r="Q2204" s="5">
        <v>59134.059519022907</v>
      </c>
      <c r="R2204" s="5">
        <v>26783.439354489365</v>
      </c>
    </row>
    <row r="2205" spans="9:18">
      <c r="I2205" s="4">
        <v>2190</v>
      </c>
      <c r="J2205" s="5">
        <v>15064.079707240266</v>
      </c>
      <c r="K2205" s="5">
        <v>35705.595198125673</v>
      </c>
      <c r="L2205" s="5">
        <v>22412.045018675239</v>
      </c>
      <c r="M2205" s="5">
        <v>13414.385151739983</v>
      </c>
      <c r="N2205" s="5">
        <v>15786.177386596903</v>
      </c>
      <c r="O2205" s="5">
        <v>83458.030763693328</v>
      </c>
      <c r="P2205" s="5">
        <v>3930.0915591834291</v>
      </c>
      <c r="Q2205" s="5">
        <v>19541.409060825732</v>
      </c>
      <c r="R2205" s="5">
        <v>261393.32711858812</v>
      </c>
    </row>
    <row r="2206" spans="9:18">
      <c r="I2206" s="4">
        <v>2191</v>
      </c>
      <c r="J2206" s="5">
        <v>13045.114546182727</v>
      </c>
      <c r="K2206" s="5">
        <v>11507.182177474708</v>
      </c>
      <c r="L2206" s="5">
        <v>13358.459356674217</v>
      </c>
      <c r="M2206" s="5">
        <v>24981.974172352908</v>
      </c>
      <c r="N2206" s="5">
        <v>37309.151967087455</v>
      </c>
      <c r="O2206" s="5">
        <v>19430.912633256889</v>
      </c>
      <c r="P2206" s="5">
        <v>13793.886507202402</v>
      </c>
      <c r="Q2206" s="5">
        <v>22145.301831504508</v>
      </c>
      <c r="R2206" s="5">
        <v>12130.167062525341</v>
      </c>
    </row>
    <row r="2207" spans="9:18">
      <c r="I2207" s="4">
        <v>2192</v>
      </c>
      <c r="J2207" s="5">
        <v>16416.142496463777</v>
      </c>
      <c r="K2207" s="5">
        <v>34058.671324159091</v>
      </c>
      <c r="L2207" s="5">
        <v>24256.352541181568</v>
      </c>
      <c r="M2207" s="5">
        <v>15586.009710351766</v>
      </c>
      <c r="N2207" s="5">
        <v>25424.029865101274</v>
      </c>
      <c r="O2207" s="5">
        <v>13550.031670770122</v>
      </c>
      <c r="P2207" s="5">
        <v>83536.241167211992</v>
      </c>
      <c r="Q2207" s="5">
        <v>11928.872068442162</v>
      </c>
      <c r="R2207" s="5">
        <v>7201.7586694681067</v>
      </c>
    </row>
    <row r="2208" spans="9:18">
      <c r="I2208" s="4">
        <v>2193</v>
      </c>
      <c r="J2208" s="5">
        <v>28214.771032351968</v>
      </c>
      <c r="K2208" s="5">
        <v>16132.555399908759</v>
      </c>
      <c r="L2208" s="5">
        <v>14146.191653372813</v>
      </c>
      <c r="M2208" s="5">
        <v>20550.782384061673</v>
      </c>
      <c r="N2208" s="5">
        <v>8555.1229659096207</v>
      </c>
      <c r="O2208" s="5">
        <v>19430.912633256889</v>
      </c>
      <c r="P2208" s="5">
        <v>9482.0186426688688</v>
      </c>
      <c r="Q2208" s="5">
        <v>52545.991451361173</v>
      </c>
      <c r="R2208" s="5">
        <v>55106.806585409526</v>
      </c>
    </row>
    <row r="2209" spans="9:18">
      <c r="I2209" s="4">
        <v>2194</v>
      </c>
      <c r="J2209" s="5">
        <v>15554.996700302558</v>
      </c>
      <c r="K2209" s="5">
        <v>23327.217259521742</v>
      </c>
      <c r="L2209" s="5">
        <v>14610.165745300763</v>
      </c>
      <c r="M2209" s="5">
        <v>23913.435663027711</v>
      </c>
      <c r="N2209" s="5">
        <v>15804.474686449519</v>
      </c>
      <c r="O2209" s="5">
        <v>13966.178986479143</v>
      </c>
      <c r="P2209" s="5">
        <v>29283.825979394511</v>
      </c>
      <c r="Q2209" s="5">
        <v>52545.991451361173</v>
      </c>
      <c r="R2209" s="5">
        <v>182942.88598316166</v>
      </c>
    </row>
    <row r="2210" spans="9:18">
      <c r="I2210" s="4">
        <v>2195</v>
      </c>
      <c r="J2210" s="5">
        <v>15648.665245032147</v>
      </c>
      <c r="K2210" s="5">
        <v>12777.667398488715</v>
      </c>
      <c r="L2210" s="5">
        <v>16577.562442697115</v>
      </c>
      <c r="M2210" s="5">
        <v>29834.240613550006</v>
      </c>
      <c r="N2210" s="5">
        <v>11684.605182472778</v>
      </c>
      <c r="O2210" s="5">
        <v>40581.847217937895</v>
      </c>
      <c r="P2210" s="5">
        <v>17643.087208586294</v>
      </c>
      <c r="Q2210" s="5">
        <v>8502.450657922871</v>
      </c>
      <c r="R2210" s="5">
        <v>55106.806585409526</v>
      </c>
    </row>
    <row r="2211" spans="9:18">
      <c r="I2211" s="4">
        <v>2196</v>
      </c>
      <c r="J2211" s="5">
        <v>16544.73779470181</v>
      </c>
      <c r="K2211" s="5">
        <v>16132.555399908759</v>
      </c>
      <c r="L2211" s="5">
        <v>21954.536591034263</v>
      </c>
      <c r="M2211" s="5">
        <v>13616.35938654862</v>
      </c>
      <c r="N2211" s="5">
        <v>21617.945168312468</v>
      </c>
      <c r="O2211" s="5">
        <v>28431.436490368542</v>
      </c>
      <c r="P2211" s="5">
        <v>63015.124693769802</v>
      </c>
      <c r="Q2211" s="5">
        <v>30495.121067047665</v>
      </c>
      <c r="R2211" s="5">
        <v>17304.847214362417</v>
      </c>
    </row>
    <row r="2212" spans="9:18">
      <c r="I2212" s="4">
        <v>2197</v>
      </c>
      <c r="J2212" s="5">
        <v>15623.733864199699</v>
      </c>
      <c r="K2212" s="5">
        <v>15347.101709242541</v>
      </c>
      <c r="L2212" s="5">
        <v>16293.265064857471</v>
      </c>
      <c r="M2212" s="5">
        <v>21833.004790208965</v>
      </c>
      <c r="N2212" s="5">
        <v>11251.634703629026</v>
      </c>
      <c r="O2212" s="5">
        <v>16826.763259351828</v>
      </c>
      <c r="P2212" s="5">
        <v>38771.994792132391</v>
      </c>
      <c r="Q2212" s="5">
        <v>3909.239690544402</v>
      </c>
      <c r="R2212" s="5">
        <v>16039.216896723072</v>
      </c>
    </row>
    <row r="2213" spans="9:18">
      <c r="I2213" s="4">
        <v>2198</v>
      </c>
      <c r="J2213" s="5">
        <v>12701.339251949787</v>
      </c>
      <c r="K2213" s="5">
        <v>16674.541027260992</v>
      </c>
      <c r="L2213" s="5">
        <v>25007.552172398639</v>
      </c>
      <c r="M2213" s="5">
        <v>23067.94260629595</v>
      </c>
      <c r="N2213" s="5">
        <v>12297.015342318469</v>
      </c>
      <c r="O2213" s="5">
        <v>19430.912633256889</v>
      </c>
      <c r="P2213" s="5">
        <v>34768.042801665702</v>
      </c>
      <c r="Q2213" s="5">
        <v>59964.86015574776</v>
      </c>
      <c r="R2213" s="5">
        <v>24831.679362998926</v>
      </c>
    </row>
    <row r="2214" spans="9:18">
      <c r="I2214" s="4">
        <v>2199</v>
      </c>
      <c r="J2214" s="5">
        <v>13663.281817546009</v>
      </c>
      <c r="K2214" s="5">
        <v>11558.357574452555</v>
      </c>
      <c r="L2214" s="5">
        <v>16577.562442697115</v>
      </c>
      <c r="M2214" s="5">
        <v>18177.175180585615</v>
      </c>
      <c r="N2214" s="5">
        <v>24020.875410266352</v>
      </c>
      <c r="O2214" s="5">
        <v>32474.063027682765</v>
      </c>
      <c r="P2214" s="5">
        <v>35213.322626437533</v>
      </c>
      <c r="Q2214" s="5">
        <v>129470.11441833655</v>
      </c>
      <c r="R2214" s="5">
        <v>7879.038918914337</v>
      </c>
    </row>
    <row r="2215" spans="9:18">
      <c r="I2215" s="4">
        <v>2200</v>
      </c>
      <c r="J2215" s="5">
        <v>43272.831879770602</v>
      </c>
      <c r="K2215" s="5">
        <v>16273.14570113692</v>
      </c>
      <c r="L2215" s="5">
        <v>17578.712723867691</v>
      </c>
      <c r="M2215" s="5">
        <v>29041.83725675238</v>
      </c>
      <c r="N2215" s="5">
        <v>57711.498171893618</v>
      </c>
      <c r="O2215" s="5">
        <v>4231.3144655921506</v>
      </c>
      <c r="P2215" s="5">
        <v>17974.179326980211</v>
      </c>
      <c r="Q2215" s="5">
        <v>12451.066014448154</v>
      </c>
      <c r="R2215" s="5">
        <v>87776.138236389699</v>
      </c>
    </row>
    <row r="2216" spans="9:18">
      <c r="I2216" s="4">
        <v>2201</v>
      </c>
      <c r="J2216" s="5">
        <v>15352.465904292809</v>
      </c>
      <c r="K2216" s="5">
        <v>17903.387243834499</v>
      </c>
      <c r="L2216" s="5">
        <v>16955.349467865559</v>
      </c>
      <c r="M2216" s="5">
        <v>29834.240613550006</v>
      </c>
      <c r="N2216" s="5">
        <v>25549.748582175915</v>
      </c>
      <c r="O2216" s="5">
        <v>35286.662852302201</v>
      </c>
      <c r="P2216" s="5">
        <v>25258.981945036445</v>
      </c>
      <c r="Q2216" s="5">
        <v>8474.2603471579441</v>
      </c>
      <c r="R2216" s="5">
        <v>39788.288251916689</v>
      </c>
    </row>
    <row r="2217" spans="9:18">
      <c r="I2217" s="4">
        <v>2202</v>
      </c>
      <c r="J2217" s="5">
        <v>19121.054099180623</v>
      </c>
      <c r="K2217" s="5">
        <v>15391.837334808681</v>
      </c>
      <c r="L2217" s="5">
        <v>19189.275558866306</v>
      </c>
      <c r="M2217" s="5">
        <v>42282.977640783138</v>
      </c>
      <c r="N2217" s="5">
        <v>21933.097106966918</v>
      </c>
      <c r="O2217" s="5">
        <v>59207.798737851255</v>
      </c>
      <c r="P2217" s="5">
        <v>24349.301972630979</v>
      </c>
      <c r="Q2217" s="5">
        <v>22483.395143121877</v>
      </c>
      <c r="R2217" s="5">
        <v>40368.364083205248</v>
      </c>
    </row>
    <row r="2218" spans="9:18">
      <c r="I2218" s="4">
        <v>2203</v>
      </c>
      <c r="J2218" s="5">
        <v>27392.038553726634</v>
      </c>
      <c r="K2218" s="5">
        <v>15347.101709242541</v>
      </c>
      <c r="L2218" s="5">
        <v>17311.244744664215</v>
      </c>
      <c r="M2218" s="5">
        <v>21833.004790208965</v>
      </c>
      <c r="N2218" s="5">
        <v>20583.564383988036</v>
      </c>
      <c r="O2218" s="5">
        <v>10676.618215263648</v>
      </c>
      <c r="P2218" s="5">
        <v>9826.8369575407578</v>
      </c>
      <c r="Q2218" s="5">
        <v>28567.61306643406</v>
      </c>
      <c r="R2218" s="5">
        <v>24722.972470599001</v>
      </c>
    </row>
    <row r="2219" spans="9:18">
      <c r="I2219" s="4">
        <v>2204</v>
      </c>
      <c r="J2219" s="5">
        <v>22812.564910649318</v>
      </c>
      <c r="K2219" s="5">
        <v>14674.169276244838</v>
      </c>
      <c r="L2219" s="5">
        <v>10896.494237357269</v>
      </c>
      <c r="M2219" s="5">
        <v>13139.022167648376</v>
      </c>
      <c r="N2219" s="5">
        <v>23998.040874392525</v>
      </c>
      <c r="O2219" s="5">
        <v>3171.3006415671193</v>
      </c>
      <c r="P2219" s="5">
        <v>27452.975716953504</v>
      </c>
      <c r="Q2219" s="5">
        <v>31902.904306425251</v>
      </c>
      <c r="R2219" s="5">
        <v>96845.299789249824</v>
      </c>
    </row>
    <row r="2220" spans="9:18">
      <c r="I2220" s="4">
        <v>2205</v>
      </c>
      <c r="J2220" s="5">
        <v>29760.443016608337</v>
      </c>
      <c r="K2220" s="5">
        <v>11206.053243692098</v>
      </c>
      <c r="L2220" s="5">
        <v>16017.890956041876</v>
      </c>
      <c r="M2220" s="5">
        <v>7334.8610818348589</v>
      </c>
      <c r="N2220" s="5">
        <v>4770.4216775830728</v>
      </c>
      <c r="O2220" s="5">
        <v>21930.527973988665</v>
      </c>
      <c r="P2220" s="5">
        <v>3930.0915591834291</v>
      </c>
      <c r="Q2220" s="5">
        <v>22145.301831504508</v>
      </c>
      <c r="R2220" s="5">
        <v>2071.5141323269809</v>
      </c>
    </row>
    <row r="2221" spans="9:18">
      <c r="I2221" s="4">
        <v>2206</v>
      </c>
      <c r="J2221" s="5">
        <v>16156.372629961115</v>
      </c>
      <c r="K2221" s="5">
        <v>21218.439146892688</v>
      </c>
      <c r="L2221" s="5">
        <v>18634.523182776735</v>
      </c>
      <c r="M2221" s="5">
        <v>13022.686998540772</v>
      </c>
      <c r="N2221" s="5">
        <v>16148.901635865295</v>
      </c>
      <c r="O2221" s="5">
        <v>9708.4497800977806</v>
      </c>
      <c r="P2221" s="5">
        <v>9633.1652908310007</v>
      </c>
      <c r="Q2221" s="5">
        <v>52545.991451361173</v>
      </c>
      <c r="R2221" s="5">
        <v>14079.827908007112</v>
      </c>
    </row>
    <row r="2222" spans="9:18">
      <c r="I2222" s="4">
        <v>2207</v>
      </c>
      <c r="J2222" s="5">
        <v>28085.9245102444</v>
      </c>
      <c r="K2222" s="5">
        <v>32294.121255311245</v>
      </c>
      <c r="L2222" s="5">
        <v>13417.453622029931</v>
      </c>
      <c r="M2222" s="5">
        <v>18177.175180585615</v>
      </c>
      <c r="N2222" s="5">
        <v>23008.246229813707</v>
      </c>
      <c r="O2222" s="5">
        <v>25644.588869829797</v>
      </c>
      <c r="P2222" s="5">
        <v>10532.667493814919</v>
      </c>
      <c r="Q2222" s="5">
        <v>73941.636731325911</v>
      </c>
      <c r="R2222" s="5">
        <v>13258.538726001538</v>
      </c>
    </row>
    <row r="2223" spans="9:18">
      <c r="I2223" s="4">
        <v>2208</v>
      </c>
      <c r="J2223" s="5">
        <v>14076.209333698853</v>
      </c>
      <c r="K2223" s="5">
        <v>14878.52734402675</v>
      </c>
      <c r="L2223" s="5">
        <v>13867.07093008449</v>
      </c>
      <c r="M2223" s="5">
        <v>11860.862376247747</v>
      </c>
      <c r="N2223" s="5">
        <v>14240.123545764454</v>
      </c>
      <c r="O2223" s="5">
        <v>33720.545907536376</v>
      </c>
      <c r="P2223" s="5">
        <v>16072.735485912413</v>
      </c>
      <c r="Q2223" s="5">
        <v>35525.432376048877</v>
      </c>
      <c r="R2223" s="5">
        <v>39263.770877572199</v>
      </c>
    </row>
    <row r="2224" spans="9:18">
      <c r="I2224" s="4">
        <v>2209</v>
      </c>
      <c r="J2224" s="5">
        <v>33627.941293959229</v>
      </c>
      <c r="K2224" s="5">
        <v>20887.307279900142</v>
      </c>
      <c r="L2224" s="5">
        <v>18475.258050488967</v>
      </c>
      <c r="M2224" s="5">
        <v>21272.00214469912</v>
      </c>
      <c r="N2224" s="5">
        <v>39406.658185292261</v>
      </c>
      <c r="O2224" s="5">
        <v>16462.170789592048</v>
      </c>
      <c r="P2224" s="5">
        <v>27452.975716953504</v>
      </c>
      <c r="Q2224" s="5">
        <v>15623.622662102793</v>
      </c>
      <c r="R2224" s="5">
        <v>3311.4906988006405</v>
      </c>
    </row>
    <row r="2225" spans="9:18">
      <c r="I2225" s="4">
        <v>2210</v>
      </c>
      <c r="J2225" s="5">
        <v>13841.207384998772</v>
      </c>
      <c r="K2225" s="5">
        <v>18086.448513145526</v>
      </c>
      <c r="L2225" s="5">
        <v>16014.071850041886</v>
      </c>
      <c r="M2225" s="5">
        <v>23515.935489506261</v>
      </c>
      <c r="N2225" s="5">
        <v>20718.434293991453</v>
      </c>
      <c r="O2225" s="5">
        <v>62082.6862081785</v>
      </c>
      <c r="P2225" s="5">
        <v>14376.883105731285</v>
      </c>
      <c r="Q2225" s="5">
        <v>8502.450657922871</v>
      </c>
      <c r="R2225" s="5">
        <v>91403.228438796665</v>
      </c>
    </row>
    <row r="2226" spans="9:18">
      <c r="I2226" s="4">
        <v>2211</v>
      </c>
      <c r="J2226" s="5">
        <v>9405.362381917912</v>
      </c>
      <c r="K2226" s="5">
        <v>16665.1498926479</v>
      </c>
      <c r="L2226" s="5">
        <v>17311.244744664215</v>
      </c>
      <c r="M2226" s="5">
        <v>15346.383801976139</v>
      </c>
      <c r="N2226" s="5">
        <v>11684.605182472778</v>
      </c>
      <c r="O2226" s="5">
        <v>20489.622805425737</v>
      </c>
      <c r="P2226" s="5">
        <v>16650.229067545235</v>
      </c>
      <c r="Q2226" s="5">
        <v>20987.925664394581</v>
      </c>
      <c r="R2226" s="5">
        <v>54594.567438884274</v>
      </c>
    </row>
    <row r="2227" spans="9:18">
      <c r="I2227" s="4">
        <v>2212</v>
      </c>
      <c r="J2227" s="5">
        <v>16305.770155972396</v>
      </c>
      <c r="K2227" s="5">
        <v>11149.572204897504</v>
      </c>
      <c r="L2227" s="5">
        <v>16071.260291253868</v>
      </c>
      <c r="M2227" s="5">
        <v>19890.009981657669</v>
      </c>
      <c r="N2227" s="5">
        <v>23998.040874392525</v>
      </c>
      <c r="O2227" s="5">
        <v>51330.340277512776</v>
      </c>
      <c r="P2227" s="5">
        <v>63015.124693769802</v>
      </c>
      <c r="Q2227" s="5">
        <v>12253.299944531094</v>
      </c>
      <c r="R2227" s="5">
        <v>8720.6503563381029</v>
      </c>
    </row>
    <row r="2228" spans="9:18">
      <c r="I2228" s="4">
        <v>2213</v>
      </c>
      <c r="J2228" s="5">
        <v>15554.996700302558</v>
      </c>
      <c r="K2228" s="5">
        <v>13288.692555879701</v>
      </c>
      <c r="L2228" s="5">
        <v>16777.996633299583</v>
      </c>
      <c r="M2228" s="5">
        <v>14660.631931099009</v>
      </c>
      <c r="N2228" s="5">
        <v>29468.83360104046</v>
      </c>
      <c r="O2228" s="5">
        <v>41653.890350944224</v>
      </c>
      <c r="P2228" s="5">
        <v>5836.7810663002319</v>
      </c>
      <c r="Q2228" s="5">
        <v>129470.11441833655</v>
      </c>
      <c r="R2228" s="5">
        <v>33290.909836056817</v>
      </c>
    </row>
    <row r="2229" spans="9:18">
      <c r="I2229" s="4">
        <v>2214</v>
      </c>
      <c r="J2229" s="5">
        <v>49463.324094345015</v>
      </c>
      <c r="K2229" s="5">
        <v>12423.491400404893</v>
      </c>
      <c r="L2229" s="5">
        <v>13417.453622029931</v>
      </c>
      <c r="M2229" s="5">
        <v>18816.787977140237</v>
      </c>
      <c r="N2229" s="5">
        <v>18367.429489032103</v>
      </c>
      <c r="O2229" s="5">
        <v>25644.588869829797</v>
      </c>
      <c r="P2229" s="5">
        <v>66904.018529955298</v>
      </c>
      <c r="Q2229" s="5">
        <v>8832.660767995616</v>
      </c>
      <c r="R2229" s="5">
        <v>17991.870496434763</v>
      </c>
    </row>
    <row r="2230" spans="9:18">
      <c r="I2230" s="4">
        <v>2215</v>
      </c>
      <c r="J2230" s="5">
        <v>22370.105711697011</v>
      </c>
      <c r="K2230" s="5">
        <v>14878.52734402675</v>
      </c>
      <c r="L2230" s="5">
        <v>21725.131459372977</v>
      </c>
      <c r="M2230" s="5">
        <v>22815.60259636537</v>
      </c>
      <c r="N2230" s="5">
        <v>28426.778914975595</v>
      </c>
      <c r="O2230" s="5">
        <v>13840.304699955392</v>
      </c>
      <c r="P2230" s="5">
        <v>36724.352187786957</v>
      </c>
      <c r="Q2230" s="5">
        <v>70295.978314632754</v>
      </c>
      <c r="R2230" s="5">
        <v>33863.04333215439</v>
      </c>
    </row>
    <row r="2231" spans="9:18">
      <c r="I2231" s="4">
        <v>2216</v>
      </c>
      <c r="J2231" s="5">
        <v>20768.286261788198</v>
      </c>
      <c r="K2231" s="5">
        <v>16273.14570113692</v>
      </c>
      <c r="L2231" s="5">
        <v>15664.99858445921</v>
      </c>
      <c r="M2231" s="5">
        <v>16881.579299055</v>
      </c>
      <c r="N2231" s="5">
        <v>25424.029865101274</v>
      </c>
      <c r="O2231" s="5">
        <v>66253.993323243907</v>
      </c>
      <c r="P2231" s="5">
        <v>17996.895987204196</v>
      </c>
      <c r="Q2231" s="5">
        <v>18097.768262249352</v>
      </c>
      <c r="R2231" s="5">
        <v>12194.45251033065</v>
      </c>
    </row>
    <row r="2232" spans="9:18">
      <c r="I2232" s="4">
        <v>2217</v>
      </c>
      <c r="J2232" s="5">
        <v>15081.728672246438</v>
      </c>
      <c r="K2232" s="5">
        <v>21218.439146892688</v>
      </c>
      <c r="L2232" s="5">
        <v>17845.207337527903</v>
      </c>
      <c r="M2232" s="5">
        <v>19097.39635881727</v>
      </c>
      <c r="N2232" s="5">
        <v>32184.535272543482</v>
      </c>
      <c r="O2232" s="5">
        <v>13613.378495715853</v>
      </c>
      <c r="P2232" s="5">
        <v>17643.087208586294</v>
      </c>
      <c r="Q2232" s="5">
        <v>12253.299944531094</v>
      </c>
      <c r="R2232" s="5">
        <v>19133.693426869788</v>
      </c>
    </row>
    <row r="2233" spans="9:18">
      <c r="I2233" s="4">
        <v>2218</v>
      </c>
      <c r="J2233" s="5">
        <v>7855.2948890116513</v>
      </c>
      <c r="K2233" s="5">
        <v>16952.949313901812</v>
      </c>
      <c r="L2233" s="5">
        <v>14042.41908879921</v>
      </c>
      <c r="M2233" s="5">
        <v>29058.117767351498</v>
      </c>
      <c r="N2233" s="5">
        <v>24020.875410266352</v>
      </c>
      <c r="O2233" s="5">
        <v>40942.522561879181</v>
      </c>
      <c r="P2233" s="5">
        <v>41657.50350099193</v>
      </c>
      <c r="Q2233" s="5">
        <v>35525.432376048877</v>
      </c>
      <c r="R2233" s="5">
        <v>216919.53009911609</v>
      </c>
    </row>
    <row r="2234" spans="9:18">
      <c r="I2234" s="4">
        <v>2219</v>
      </c>
      <c r="J2234" s="5">
        <v>29760.443016608337</v>
      </c>
      <c r="K2234" s="5">
        <v>9739.7813029644258</v>
      </c>
      <c r="L2234" s="5">
        <v>15832.5469007027</v>
      </c>
      <c r="M2234" s="5">
        <v>24981.974172352908</v>
      </c>
      <c r="N2234" s="5">
        <v>48565.498233359976</v>
      </c>
      <c r="O2234" s="5">
        <v>6199.3195463515376</v>
      </c>
      <c r="P2234" s="5">
        <v>27820.721938889761</v>
      </c>
      <c r="Q2234" s="5">
        <v>37802.358878968138</v>
      </c>
      <c r="R2234" s="5">
        <v>123773.40402252052</v>
      </c>
    </row>
    <row r="2235" spans="9:18">
      <c r="I2235" s="4">
        <v>2220</v>
      </c>
      <c r="J2235" s="5">
        <v>28214.771032351968</v>
      </c>
      <c r="K2235" s="5">
        <v>16934.093371663999</v>
      </c>
      <c r="L2235" s="5">
        <v>14146.191653372813</v>
      </c>
      <c r="M2235" s="5">
        <v>23067.94260629595</v>
      </c>
      <c r="N2235" s="5">
        <v>26115.05281128412</v>
      </c>
      <c r="O2235" s="5">
        <v>9320.7026593487881</v>
      </c>
      <c r="P2235" s="5">
        <v>27373.102585108634</v>
      </c>
      <c r="Q2235" s="5">
        <v>43417.41805414496</v>
      </c>
      <c r="R2235" s="5">
        <v>39788.288251916689</v>
      </c>
    </row>
    <row r="2236" spans="9:18">
      <c r="I2236" s="4">
        <v>2221</v>
      </c>
      <c r="J2236" s="5">
        <v>22188.291830993156</v>
      </c>
      <c r="K2236" s="5">
        <v>15129.619337591721</v>
      </c>
      <c r="L2236" s="5">
        <v>21725.131459372977</v>
      </c>
      <c r="M2236" s="5">
        <v>37411.178129764201</v>
      </c>
      <c r="N2236" s="5">
        <v>20558.672182394013</v>
      </c>
      <c r="O2236" s="5">
        <v>8024.6340027919978</v>
      </c>
      <c r="P2236" s="5">
        <v>9811.9720599964548</v>
      </c>
      <c r="Q2236" s="5">
        <v>16591.881190929333</v>
      </c>
      <c r="R2236" s="5">
        <v>181970.23111012415</v>
      </c>
    </row>
    <row r="2237" spans="9:18">
      <c r="I2237" s="4">
        <v>2222</v>
      </c>
      <c r="J2237" s="5">
        <v>13391.049101507895</v>
      </c>
      <c r="K2237" s="5">
        <v>13288.692555879701</v>
      </c>
      <c r="L2237" s="5">
        <v>19189.275558866306</v>
      </c>
      <c r="M2237" s="5">
        <v>18691.941789825862</v>
      </c>
      <c r="N2237" s="5">
        <v>42744.618431291936</v>
      </c>
      <c r="O2237" s="5">
        <v>53028.643350899503</v>
      </c>
      <c r="P2237" s="5">
        <v>40377.463755170742</v>
      </c>
      <c r="Q2237" s="5">
        <v>129470.11441833655</v>
      </c>
      <c r="R2237" s="5">
        <v>50287.76786557267</v>
      </c>
    </row>
    <row r="2238" spans="9:18">
      <c r="I2238" s="4">
        <v>2223</v>
      </c>
      <c r="J2238" s="5">
        <v>13663.281817546009</v>
      </c>
      <c r="K2238" s="5">
        <v>15631.937142257386</v>
      </c>
      <c r="L2238" s="5">
        <v>16472.138192556791</v>
      </c>
      <c r="M2238" s="5">
        <v>37411.178129764201</v>
      </c>
      <c r="N2238" s="5">
        <v>28426.778914975595</v>
      </c>
      <c r="O2238" s="5">
        <v>16826.763259351828</v>
      </c>
      <c r="P2238" s="5">
        <v>17643.087208586294</v>
      </c>
      <c r="Q2238" s="5">
        <v>20883.852062640355</v>
      </c>
      <c r="R2238" s="5">
        <v>40368.364083205248</v>
      </c>
    </row>
    <row r="2239" spans="9:18">
      <c r="I2239" s="4">
        <v>2224</v>
      </c>
      <c r="J2239" s="5">
        <v>8580.4413740966302</v>
      </c>
      <c r="K2239" s="5">
        <v>14136.873097602549</v>
      </c>
      <c r="L2239" s="5">
        <v>10896.494237357269</v>
      </c>
      <c r="M2239" s="5">
        <v>7334.8610818348589</v>
      </c>
      <c r="N2239" s="5">
        <v>39406.658185292261</v>
      </c>
      <c r="O2239" s="5">
        <v>25644.588869829797</v>
      </c>
      <c r="P2239" s="5">
        <v>45161.732159568586</v>
      </c>
      <c r="Q2239" s="5">
        <v>18097.768262249352</v>
      </c>
      <c r="R2239" s="5">
        <v>18349.337771428582</v>
      </c>
    </row>
    <row r="2240" spans="9:18">
      <c r="I2240" s="4">
        <v>2225</v>
      </c>
      <c r="J2240" s="5">
        <v>14960.076233580705</v>
      </c>
      <c r="K2240" s="5">
        <v>15487.124352801369</v>
      </c>
      <c r="L2240" s="5">
        <v>21954.536591034263</v>
      </c>
      <c r="M2240" s="5">
        <v>13414.385151739983</v>
      </c>
      <c r="N2240" s="5">
        <v>18367.429489032103</v>
      </c>
      <c r="O2240" s="5">
        <v>9869.5889207969612</v>
      </c>
      <c r="P2240" s="5">
        <v>44646.134934589521</v>
      </c>
      <c r="Q2240" s="5">
        <v>22483.395143121877</v>
      </c>
      <c r="R2240" s="5">
        <v>51358.6267760993</v>
      </c>
    </row>
    <row r="2241" spans="9:18">
      <c r="I2241" s="4">
        <v>2226</v>
      </c>
      <c r="J2241" s="5">
        <v>31053.540961463306</v>
      </c>
      <c r="K2241" s="5">
        <v>16199.334613834633</v>
      </c>
      <c r="L2241" s="5">
        <v>13867.07093008449</v>
      </c>
      <c r="M2241" s="5">
        <v>7334.8610818348589</v>
      </c>
      <c r="N2241" s="5">
        <v>15804.474686449519</v>
      </c>
      <c r="O2241" s="5">
        <v>20827.029306810669</v>
      </c>
      <c r="P2241" s="5">
        <v>55152.110177667731</v>
      </c>
      <c r="Q2241" s="5">
        <v>48756.323642664109</v>
      </c>
      <c r="R2241" s="5">
        <v>23583.884732956092</v>
      </c>
    </row>
    <row r="2242" spans="9:18">
      <c r="I2242" s="4">
        <v>2227</v>
      </c>
      <c r="J2242" s="5">
        <v>20002.201347927807</v>
      </c>
      <c r="K2242" s="5">
        <v>23543.914024953676</v>
      </c>
      <c r="L2242" s="5">
        <v>14042.41908879921</v>
      </c>
      <c r="M2242" s="5">
        <v>12987.517521908694</v>
      </c>
      <c r="N2242" s="5">
        <v>40377.252444397986</v>
      </c>
      <c r="O2242" s="5">
        <v>12110.196126281628</v>
      </c>
      <c r="P2242" s="5">
        <v>17643.087208586294</v>
      </c>
      <c r="Q2242" s="5">
        <v>59134.059519022907</v>
      </c>
      <c r="R2242" s="5">
        <v>41056.152565483346</v>
      </c>
    </row>
    <row r="2243" spans="9:18">
      <c r="I2243" s="4">
        <v>2228</v>
      </c>
      <c r="J2243" s="5">
        <v>13918.242013140338</v>
      </c>
      <c r="K2243" s="5">
        <v>21218.439146892688</v>
      </c>
      <c r="L2243" s="5">
        <v>13023.361770761438</v>
      </c>
      <c r="M2243" s="5">
        <v>20550.782384061673</v>
      </c>
      <c r="N2243" s="5">
        <v>21009.255892677338</v>
      </c>
      <c r="O2243" s="5">
        <v>27068.054847826614</v>
      </c>
      <c r="P2243" s="5">
        <v>29283.825979394511</v>
      </c>
      <c r="Q2243" s="5">
        <v>59964.86015574776</v>
      </c>
      <c r="R2243" s="5">
        <v>59414.886464347241</v>
      </c>
    </row>
    <row r="2244" spans="9:18">
      <c r="I2244" s="4">
        <v>2229</v>
      </c>
      <c r="J2244" s="5">
        <v>16156.372629961115</v>
      </c>
      <c r="K2244" s="5">
        <v>14878.52734402675</v>
      </c>
      <c r="L2244" s="5">
        <v>15161.007794371622</v>
      </c>
      <c r="M2244" s="5">
        <v>22815.60259636537</v>
      </c>
      <c r="N2244" s="5">
        <v>16418.492928415813</v>
      </c>
      <c r="O2244" s="5">
        <v>16524.769946939996</v>
      </c>
      <c r="P2244" s="5">
        <v>41657.50350099193</v>
      </c>
      <c r="Q2244" s="5">
        <v>42044.890065817184</v>
      </c>
      <c r="R2244" s="5">
        <v>5865.9802599669383</v>
      </c>
    </row>
    <row r="2245" spans="9:18">
      <c r="I2245" s="4">
        <v>2230</v>
      </c>
      <c r="J2245" s="5">
        <v>15873.12561080002</v>
      </c>
      <c r="K2245" s="5">
        <v>6949.5708823216592</v>
      </c>
      <c r="L2245" s="5">
        <v>14316.474075738101</v>
      </c>
      <c r="M2245" s="5">
        <v>19795.661011456152</v>
      </c>
      <c r="N2245" s="5">
        <v>21931.347680292267</v>
      </c>
      <c r="O2245" s="5">
        <v>66253.993323243907</v>
      </c>
      <c r="P2245" s="5">
        <v>38771.994792132391</v>
      </c>
      <c r="Q2245" s="5">
        <v>54060.5331097772</v>
      </c>
      <c r="R2245" s="5">
        <v>302760.11878714536</v>
      </c>
    </row>
    <row r="2246" spans="9:18">
      <c r="I2246" s="4">
        <v>2231</v>
      </c>
      <c r="J2246" s="5">
        <v>11843.28062342474</v>
      </c>
      <c r="K2246" s="5">
        <v>53937.689698015136</v>
      </c>
      <c r="L2246" s="5">
        <v>14691.846656953887</v>
      </c>
      <c r="M2246" s="5">
        <v>17370.588707072598</v>
      </c>
      <c r="N2246" s="5">
        <v>36962.805083900916</v>
      </c>
      <c r="O2246" s="5">
        <v>16505.600261180331</v>
      </c>
      <c r="P2246" s="5">
        <v>33715.790977629549</v>
      </c>
      <c r="Q2246" s="5">
        <v>8502.450657922871</v>
      </c>
      <c r="R2246" s="5">
        <v>182942.88598316166</v>
      </c>
    </row>
    <row r="2247" spans="9:18">
      <c r="I2247" s="4">
        <v>2232</v>
      </c>
      <c r="J2247" s="5">
        <v>11116.191595722205</v>
      </c>
      <c r="K2247" s="5">
        <v>20887.307279900142</v>
      </c>
      <c r="L2247" s="5">
        <v>16014.071850041886</v>
      </c>
      <c r="M2247" s="5">
        <v>13642.678686731051</v>
      </c>
      <c r="N2247" s="5">
        <v>19125.360074567652</v>
      </c>
      <c r="O2247" s="5">
        <v>79848.944504816522</v>
      </c>
      <c r="P2247" s="5">
        <v>54292.749740228588</v>
      </c>
      <c r="Q2247" s="5">
        <v>19541.409060825732</v>
      </c>
      <c r="R2247" s="5">
        <v>3989.7956692889929</v>
      </c>
    </row>
    <row r="2248" spans="9:18">
      <c r="I2248" s="4">
        <v>2233</v>
      </c>
      <c r="J2248" s="5">
        <v>14749.343145806102</v>
      </c>
      <c r="K2248" s="5">
        <v>18218.584572172625</v>
      </c>
      <c r="L2248" s="5">
        <v>14811.370758813007</v>
      </c>
      <c r="M2248" s="5">
        <v>17116.951435661951</v>
      </c>
      <c r="N2248" s="5">
        <v>26565.664379767408</v>
      </c>
      <c r="O2248" s="5">
        <v>35286.662852302201</v>
      </c>
      <c r="P2248" s="5">
        <v>54100.778483493887</v>
      </c>
      <c r="Q2248" s="5">
        <v>4631.7430487757983</v>
      </c>
      <c r="R2248" s="5">
        <v>40368.364083205248</v>
      </c>
    </row>
    <row r="2249" spans="9:18">
      <c r="I2249" s="4">
        <v>2234</v>
      </c>
      <c r="J2249" s="5">
        <v>21717.214093683677</v>
      </c>
      <c r="K2249" s="5">
        <v>13719.930466819731</v>
      </c>
      <c r="L2249" s="5">
        <v>14316.474075738101</v>
      </c>
      <c r="M2249" s="5">
        <v>26477.996319655329</v>
      </c>
      <c r="N2249" s="5">
        <v>59876.136849941562</v>
      </c>
      <c r="O2249" s="5">
        <v>10270.120415297655</v>
      </c>
      <c r="P2249" s="5">
        <v>16574.429708560569</v>
      </c>
      <c r="Q2249" s="5">
        <v>37497.234505125656</v>
      </c>
      <c r="R2249" s="5">
        <v>302760.11878714536</v>
      </c>
    </row>
    <row r="2250" spans="9:18">
      <c r="I2250" s="4">
        <v>2235</v>
      </c>
      <c r="J2250" s="5">
        <v>7855.2948890116513</v>
      </c>
      <c r="K2250" s="5">
        <v>15487.124352801369</v>
      </c>
      <c r="L2250" s="5">
        <v>22412.045018675239</v>
      </c>
      <c r="M2250" s="5">
        <v>23454.775510296178</v>
      </c>
      <c r="N2250" s="5">
        <v>32184.535272543482</v>
      </c>
      <c r="O2250" s="5">
        <v>30608.431994348266</v>
      </c>
      <c r="P2250" s="5">
        <v>34768.042801665702</v>
      </c>
      <c r="Q2250" s="5">
        <v>59964.86015574776</v>
      </c>
      <c r="R2250" s="5">
        <v>86510.608303273053</v>
      </c>
    </row>
    <row r="2251" spans="9:18">
      <c r="I2251" s="4">
        <v>2236</v>
      </c>
      <c r="J2251" s="5">
        <v>19467.17453557903</v>
      </c>
      <c r="K2251" s="5">
        <v>14351.415257675473</v>
      </c>
      <c r="L2251" s="5">
        <v>19359.475411188432</v>
      </c>
      <c r="M2251" s="5">
        <v>18879.640760542785</v>
      </c>
      <c r="N2251" s="5">
        <v>11635.644856128632</v>
      </c>
      <c r="O2251" s="5">
        <v>62082.6862081785</v>
      </c>
      <c r="P2251" s="5">
        <v>32155.527541400057</v>
      </c>
      <c r="Q2251" s="5">
        <v>28797.29222718185</v>
      </c>
      <c r="R2251" s="5">
        <v>7394.6358885760465</v>
      </c>
    </row>
    <row r="2252" spans="9:18">
      <c r="I2252" s="4">
        <v>2237</v>
      </c>
      <c r="J2252" s="5">
        <v>49463.324094345015</v>
      </c>
      <c r="K2252" s="5">
        <v>18821.113178054162</v>
      </c>
      <c r="L2252" s="5">
        <v>27289.607394458035</v>
      </c>
      <c r="M2252" s="5">
        <v>7334.8610818348589</v>
      </c>
      <c r="N2252" s="5">
        <v>12523.573732460784</v>
      </c>
      <c r="O2252" s="5">
        <v>12110.196126281628</v>
      </c>
      <c r="P2252" s="5">
        <v>12639.596794453437</v>
      </c>
      <c r="Q2252" s="5">
        <v>30266.563414010914</v>
      </c>
      <c r="R2252" s="5">
        <v>24831.679362998926</v>
      </c>
    </row>
    <row r="2253" spans="9:18">
      <c r="I2253" s="4">
        <v>2238</v>
      </c>
      <c r="J2253" s="5">
        <v>13663.281817546009</v>
      </c>
      <c r="K2253" s="5">
        <v>16605.655749562578</v>
      </c>
      <c r="L2253" s="5">
        <v>15651.346103181355</v>
      </c>
      <c r="M2253" s="5">
        <v>16500.222621933419</v>
      </c>
      <c r="N2253" s="5">
        <v>34295.124147811541</v>
      </c>
      <c r="O2253" s="5">
        <v>28431.436490368542</v>
      </c>
      <c r="P2253" s="5">
        <v>83536.241167211992</v>
      </c>
      <c r="Q2253" s="5">
        <v>27018.509959127641</v>
      </c>
      <c r="R2253" s="5">
        <v>12116.34255245842</v>
      </c>
    </row>
    <row r="2254" spans="9:18">
      <c r="I2254" s="4">
        <v>2239</v>
      </c>
      <c r="J2254" s="5">
        <v>16145.071869702888</v>
      </c>
      <c r="K2254" s="5">
        <v>14136.873097602549</v>
      </c>
      <c r="L2254" s="5">
        <v>14175.160754078657</v>
      </c>
      <c r="M2254" s="5">
        <v>14432.283063351901</v>
      </c>
      <c r="N2254" s="5">
        <v>28426.778914975595</v>
      </c>
      <c r="O2254" s="5">
        <v>10270.120415297655</v>
      </c>
      <c r="P2254" s="5">
        <v>14327.191387816954</v>
      </c>
      <c r="Q2254" s="5">
        <v>73941.636731325911</v>
      </c>
      <c r="R2254" s="5">
        <v>16039.216896723072</v>
      </c>
    </row>
    <row r="2255" spans="9:18">
      <c r="I2255" s="4">
        <v>2240</v>
      </c>
      <c r="J2255" s="5">
        <v>14671.176405938595</v>
      </c>
      <c r="K2255" s="5">
        <v>18218.584572172625</v>
      </c>
      <c r="L2255" s="5">
        <v>15487.970507365942</v>
      </c>
      <c r="M2255" s="5">
        <v>19262.243095117232</v>
      </c>
      <c r="N2255" s="5">
        <v>11635.644856128632</v>
      </c>
      <c r="O2255" s="5">
        <v>5444.7598502623823</v>
      </c>
      <c r="P2255" s="5">
        <v>33715.790977629549</v>
      </c>
      <c r="Q2255" s="5">
        <v>37101.531383212743</v>
      </c>
      <c r="R2255" s="5">
        <v>8130.5639219412278</v>
      </c>
    </row>
    <row r="2256" spans="9:18">
      <c r="I2256" s="4">
        <v>2241</v>
      </c>
      <c r="J2256" s="5">
        <v>15786.811016780619</v>
      </c>
      <c r="K2256" s="5">
        <v>17903.387243834499</v>
      </c>
      <c r="L2256" s="5">
        <v>15922.087958863045</v>
      </c>
      <c r="M2256" s="5">
        <v>21332.072353846772</v>
      </c>
      <c r="N2256" s="5">
        <v>24020.875410266352</v>
      </c>
      <c r="O2256" s="5">
        <v>3171.3006415671193</v>
      </c>
      <c r="P2256" s="5">
        <v>17737.38315098183</v>
      </c>
      <c r="Q2256" s="5">
        <v>48866.209623168346</v>
      </c>
      <c r="R2256" s="5">
        <v>13258.538726001538</v>
      </c>
    </row>
    <row r="2257" spans="9:18">
      <c r="I2257" s="4">
        <v>2242</v>
      </c>
      <c r="J2257" s="5">
        <v>12888.204629170894</v>
      </c>
      <c r="K2257" s="5">
        <v>16934.093371663999</v>
      </c>
      <c r="L2257" s="5">
        <v>17073.17760523731</v>
      </c>
      <c r="M2257" s="5">
        <v>18177.175180585615</v>
      </c>
      <c r="N2257" s="5">
        <v>22868.569282757788</v>
      </c>
      <c r="O2257" s="5">
        <v>32474.063027682765</v>
      </c>
      <c r="P2257" s="5">
        <v>18862.487147419793</v>
      </c>
      <c r="Q2257" s="5">
        <v>48756.323642664109</v>
      </c>
      <c r="R2257" s="5">
        <v>181970.23111012415</v>
      </c>
    </row>
    <row r="2258" spans="9:18">
      <c r="I2258" s="4">
        <v>2243</v>
      </c>
      <c r="J2258" s="5">
        <v>12035.382213755307</v>
      </c>
      <c r="K2258" s="5">
        <v>15347.101709242541</v>
      </c>
      <c r="L2258" s="5">
        <v>17683.765335572589</v>
      </c>
      <c r="M2258" s="5">
        <v>16001.653036457456</v>
      </c>
      <c r="N2258" s="5">
        <v>26115.05281128412</v>
      </c>
      <c r="O2258" s="5">
        <v>24369.28567093279</v>
      </c>
      <c r="P2258" s="5">
        <v>16650.229067545235</v>
      </c>
      <c r="Q2258" s="5">
        <v>31019.493883163672</v>
      </c>
      <c r="R2258" s="5">
        <v>41056.152565483346</v>
      </c>
    </row>
    <row r="2259" spans="9:18">
      <c r="I2259" s="4">
        <v>2244</v>
      </c>
      <c r="J2259" s="5">
        <v>14594.990625703947</v>
      </c>
      <c r="K2259" s="5">
        <v>34164.842952759042</v>
      </c>
      <c r="L2259" s="5">
        <v>15759.954187048656</v>
      </c>
      <c r="M2259" s="5">
        <v>25580.243606220469</v>
      </c>
      <c r="N2259" s="5">
        <v>21909.120225822895</v>
      </c>
      <c r="O2259" s="5">
        <v>5909.5347260996277</v>
      </c>
      <c r="P2259" s="5">
        <v>16072.735485912413</v>
      </c>
      <c r="Q2259" s="5">
        <v>44911.749632594299</v>
      </c>
      <c r="R2259" s="5">
        <v>261393.32711858812</v>
      </c>
    </row>
    <row r="2260" spans="9:18">
      <c r="I2260" s="4">
        <v>2245</v>
      </c>
      <c r="J2260" s="5">
        <v>13918.242013140338</v>
      </c>
      <c r="K2260" s="5">
        <v>20887.307279900142</v>
      </c>
      <c r="L2260" s="5">
        <v>15359.132481533357</v>
      </c>
      <c r="M2260" s="5">
        <v>14660.631931099009</v>
      </c>
      <c r="N2260" s="5">
        <v>59876.136849941562</v>
      </c>
      <c r="O2260" s="5">
        <v>28431.436490368542</v>
      </c>
      <c r="P2260" s="5">
        <v>9811.9720599964548</v>
      </c>
      <c r="Q2260" s="5">
        <v>43417.41805414496</v>
      </c>
      <c r="R2260" s="5">
        <v>6681.1887184356683</v>
      </c>
    </row>
    <row r="2261" spans="9:18">
      <c r="I2261" s="4">
        <v>2246</v>
      </c>
      <c r="J2261" s="5">
        <v>16305.770155972396</v>
      </c>
      <c r="K2261" s="5">
        <v>13331.01856102917</v>
      </c>
      <c r="L2261" s="5">
        <v>27144.958215276103</v>
      </c>
      <c r="M2261" s="5">
        <v>10142.860128720422</v>
      </c>
      <c r="N2261" s="5">
        <v>11788.341482962171</v>
      </c>
      <c r="O2261" s="5">
        <v>5444.7598502623823</v>
      </c>
      <c r="P2261" s="5">
        <v>38771.994792132391</v>
      </c>
      <c r="Q2261" s="5">
        <v>31855.809428519857</v>
      </c>
      <c r="R2261" s="5">
        <v>55106.806585409526</v>
      </c>
    </row>
    <row r="2262" spans="9:18">
      <c r="I2262" s="4">
        <v>2247</v>
      </c>
      <c r="J2262" s="5">
        <v>34933.039312618188</v>
      </c>
      <c r="K2262" s="5">
        <v>32073.547537933715</v>
      </c>
      <c r="L2262" s="5">
        <v>16017.890956041876</v>
      </c>
      <c r="M2262" s="5">
        <v>30830.81083227017</v>
      </c>
      <c r="N2262" s="5">
        <v>11751.639947035985</v>
      </c>
      <c r="O2262" s="5">
        <v>10746.295275180995</v>
      </c>
      <c r="P2262" s="5">
        <v>20391.123772341358</v>
      </c>
      <c r="Q2262" s="5">
        <v>30266.563414010914</v>
      </c>
      <c r="R2262" s="5">
        <v>7784.2246210242874</v>
      </c>
    </row>
    <row r="2263" spans="9:18">
      <c r="I2263" s="4">
        <v>2248</v>
      </c>
      <c r="J2263" s="5">
        <v>11936.262457073821</v>
      </c>
      <c r="K2263" s="5">
        <v>35705.595198125673</v>
      </c>
      <c r="L2263" s="5">
        <v>10896.494237357269</v>
      </c>
      <c r="M2263" s="5">
        <v>37411.178129764201</v>
      </c>
      <c r="N2263" s="5">
        <v>22511.351424689696</v>
      </c>
      <c r="O2263" s="5">
        <v>45451.954570113048</v>
      </c>
      <c r="P2263" s="5">
        <v>3831.1492650071077</v>
      </c>
      <c r="Q2263" s="5">
        <v>71213.172792303565</v>
      </c>
      <c r="R2263" s="5">
        <v>46004.399892616471</v>
      </c>
    </row>
    <row r="2264" spans="9:18">
      <c r="I2264" s="4">
        <v>2249</v>
      </c>
      <c r="J2264" s="5">
        <v>8580.4413740966302</v>
      </c>
      <c r="K2264" s="5">
        <v>21527.93129974293</v>
      </c>
      <c r="L2264" s="5">
        <v>18810.091753970282</v>
      </c>
      <c r="M2264" s="5">
        <v>19097.39635881727</v>
      </c>
      <c r="N2264" s="5">
        <v>10882.757905166785</v>
      </c>
      <c r="O2264" s="5">
        <v>8121.6248378263163</v>
      </c>
      <c r="P2264" s="5">
        <v>66904.018529955298</v>
      </c>
      <c r="Q2264" s="5">
        <v>116445.46783345108</v>
      </c>
      <c r="R2264" s="5">
        <v>35232.418639121184</v>
      </c>
    </row>
    <row r="2265" spans="9:18">
      <c r="I2265" s="4">
        <v>2250</v>
      </c>
      <c r="J2265" s="5">
        <v>16416.142496463777</v>
      </c>
      <c r="K2265" s="5">
        <v>16665.1498926479</v>
      </c>
      <c r="L2265" s="5">
        <v>14344.859750762502</v>
      </c>
      <c r="M2265" s="5">
        <v>17116.951435661951</v>
      </c>
      <c r="N2265" s="5">
        <v>63974.903847153939</v>
      </c>
      <c r="O2265" s="5">
        <v>66253.993323243907</v>
      </c>
      <c r="P2265" s="5">
        <v>26541.896041444568</v>
      </c>
      <c r="Q2265" s="5">
        <v>18097.768262249352</v>
      </c>
      <c r="R2265" s="5">
        <v>3433.6677391851467</v>
      </c>
    </row>
    <row r="2266" spans="9:18">
      <c r="I2266" s="4">
        <v>2251</v>
      </c>
      <c r="J2266" s="5">
        <v>7855.2948890116513</v>
      </c>
      <c r="K2266" s="5">
        <v>14017.262946034314</v>
      </c>
      <c r="L2266" s="5">
        <v>17073.17760523731</v>
      </c>
      <c r="M2266" s="5">
        <v>23067.94260629595</v>
      </c>
      <c r="N2266" s="5">
        <v>15786.177386596903</v>
      </c>
      <c r="O2266" s="5">
        <v>20827.029306810669</v>
      </c>
      <c r="P2266" s="5">
        <v>10733.318076105543</v>
      </c>
      <c r="Q2266" s="5">
        <v>2356.8990887111336</v>
      </c>
      <c r="R2266" s="5">
        <v>123773.40402252052</v>
      </c>
    </row>
    <row r="2267" spans="9:18">
      <c r="I2267" s="4">
        <v>2252</v>
      </c>
      <c r="J2267" s="5">
        <v>14749.343145806102</v>
      </c>
      <c r="K2267" s="5">
        <v>35705.595198125673</v>
      </c>
      <c r="L2267" s="5">
        <v>15225.811035017256</v>
      </c>
      <c r="M2267" s="5">
        <v>22326.253555179093</v>
      </c>
      <c r="N2267" s="5">
        <v>20558.672182394013</v>
      </c>
      <c r="O2267" s="5">
        <v>12110.196126281628</v>
      </c>
      <c r="P2267" s="5">
        <v>20391.123772341358</v>
      </c>
      <c r="Q2267" s="5">
        <v>7349.2234634219121</v>
      </c>
      <c r="R2267" s="5">
        <v>13258.538726001538</v>
      </c>
    </row>
    <row r="2268" spans="9:18">
      <c r="I2268" s="4">
        <v>2253</v>
      </c>
      <c r="J2268" s="5">
        <v>31559.699247539775</v>
      </c>
      <c r="K2268" s="5">
        <v>32294.121255311245</v>
      </c>
      <c r="L2268" s="5">
        <v>11827.803406885578</v>
      </c>
      <c r="M2268" s="5">
        <v>17542.15972125496</v>
      </c>
      <c r="N2268" s="5">
        <v>16418.492928415813</v>
      </c>
      <c r="O2268" s="5">
        <v>67717.30633712461</v>
      </c>
      <c r="P2268" s="5">
        <v>45161.732159568586</v>
      </c>
      <c r="Q2268" s="5">
        <v>129470.11441833655</v>
      </c>
      <c r="R2268" s="5">
        <v>55106.806585409526</v>
      </c>
    </row>
    <row r="2269" spans="9:18">
      <c r="I2269" s="4">
        <v>2254</v>
      </c>
      <c r="J2269" s="5">
        <v>28169.050633834027</v>
      </c>
      <c r="K2269" s="5">
        <v>17495.743706488822</v>
      </c>
      <c r="L2269" s="5">
        <v>34748.877779456467</v>
      </c>
      <c r="M2269" s="5">
        <v>18043.539897080744</v>
      </c>
      <c r="N2269" s="5">
        <v>11604.12831603515</v>
      </c>
      <c r="O2269" s="5">
        <v>10369.402667058452</v>
      </c>
      <c r="P2269" s="5">
        <v>10966.822219855034</v>
      </c>
      <c r="Q2269" s="5">
        <v>28078.365156847896</v>
      </c>
      <c r="R2269" s="5">
        <v>17304.847214362417</v>
      </c>
    </row>
    <row r="2270" spans="9:18">
      <c r="I2270" s="4">
        <v>2255</v>
      </c>
      <c r="J2270" s="5">
        <v>8580.4413740966302</v>
      </c>
      <c r="K2270" s="5">
        <v>9739.7813029644258</v>
      </c>
      <c r="L2270" s="5">
        <v>19189.275558866306</v>
      </c>
      <c r="M2270" s="5">
        <v>14432.283063351901</v>
      </c>
      <c r="N2270" s="5">
        <v>16581.915858379376</v>
      </c>
      <c r="O2270" s="5">
        <v>27195.510785031525</v>
      </c>
      <c r="P2270" s="5">
        <v>21813.848941464526</v>
      </c>
      <c r="Q2270" s="5">
        <v>22483.395143121877</v>
      </c>
      <c r="R2270" s="5">
        <v>90296.353221228885</v>
      </c>
    </row>
    <row r="2271" spans="9:18">
      <c r="I2271" s="4">
        <v>2256</v>
      </c>
      <c r="J2271" s="5">
        <v>22370.105711697011</v>
      </c>
      <c r="K2271" s="5">
        <v>95171.967522309933</v>
      </c>
      <c r="L2271" s="5">
        <v>19359.475411188432</v>
      </c>
      <c r="M2271" s="5">
        <v>22961.931350882205</v>
      </c>
      <c r="N2271" s="5">
        <v>46248.895746171031</v>
      </c>
      <c r="O2271" s="5">
        <v>5909.5347260996277</v>
      </c>
      <c r="P2271" s="5">
        <v>54100.778483493887</v>
      </c>
      <c r="Q2271" s="5">
        <v>17234.335939857254</v>
      </c>
      <c r="R2271" s="5">
        <v>17991.870496434763</v>
      </c>
    </row>
    <row r="2272" spans="9:18">
      <c r="I2272" s="4">
        <v>2257</v>
      </c>
      <c r="J2272" s="5">
        <v>16088.430030489333</v>
      </c>
      <c r="K2272" s="5">
        <v>53937.689698015136</v>
      </c>
      <c r="L2272" s="5">
        <v>17128.574519497746</v>
      </c>
      <c r="M2272" s="5">
        <v>19097.39635881727</v>
      </c>
      <c r="N2272" s="5">
        <v>27841.916587595573</v>
      </c>
      <c r="O2272" s="5">
        <v>24369.28567093279</v>
      </c>
      <c r="P2272" s="5">
        <v>12790.85158217316</v>
      </c>
      <c r="Q2272" s="5">
        <v>68168.482468129529</v>
      </c>
      <c r="R2272" s="5">
        <v>5865.9802599669383</v>
      </c>
    </row>
    <row r="2273" spans="9:18">
      <c r="I2273" s="4">
        <v>2258</v>
      </c>
      <c r="J2273" s="5">
        <v>16733.020222212988</v>
      </c>
      <c r="K2273" s="5">
        <v>13288.692555879701</v>
      </c>
      <c r="L2273" s="5">
        <v>21725.131459372977</v>
      </c>
      <c r="M2273" s="5">
        <v>16842.379179328669</v>
      </c>
      <c r="N2273" s="5">
        <v>9563.1256545330361</v>
      </c>
      <c r="O2273" s="5">
        <v>6199.3195463515376</v>
      </c>
      <c r="P2273" s="5">
        <v>25258.981945036445</v>
      </c>
      <c r="Q2273" s="5">
        <v>48756.323642664109</v>
      </c>
      <c r="R2273" s="5">
        <v>41418.225609677866</v>
      </c>
    </row>
    <row r="2274" spans="9:18">
      <c r="I2274" s="4">
        <v>2259</v>
      </c>
      <c r="J2274" s="5">
        <v>11854.381651026555</v>
      </c>
      <c r="K2274" s="5">
        <v>13288.692555879701</v>
      </c>
      <c r="L2274" s="5">
        <v>16472.138192556791</v>
      </c>
      <c r="M2274" s="5">
        <v>19262.243095117232</v>
      </c>
      <c r="N2274" s="5">
        <v>22010.718648995869</v>
      </c>
      <c r="O2274" s="5">
        <v>51330.340277512776</v>
      </c>
      <c r="P2274" s="5">
        <v>9482.0186426688688</v>
      </c>
      <c r="Q2274" s="5">
        <v>37802.358878968138</v>
      </c>
      <c r="R2274" s="5">
        <v>51358.6267760993</v>
      </c>
    </row>
    <row r="2275" spans="9:18">
      <c r="I2275" s="4">
        <v>2260</v>
      </c>
      <c r="J2275" s="5">
        <v>34933.039312618188</v>
      </c>
      <c r="K2275" s="5">
        <v>12423.491400404893</v>
      </c>
      <c r="L2275" s="5">
        <v>18215.751370765771</v>
      </c>
      <c r="M2275" s="5">
        <v>21913.431401527439</v>
      </c>
      <c r="N2275" s="5">
        <v>16148.901635865295</v>
      </c>
      <c r="O2275" s="5">
        <v>13550.031670770122</v>
      </c>
      <c r="P2275" s="5">
        <v>55152.110177667731</v>
      </c>
      <c r="Q2275" s="5">
        <v>27789.973552634947</v>
      </c>
      <c r="R2275" s="5">
        <v>91403.228438796665</v>
      </c>
    </row>
    <row r="2276" spans="9:18">
      <c r="I2276" s="4">
        <v>2261</v>
      </c>
      <c r="J2276" s="5">
        <v>12452.764985867625</v>
      </c>
      <c r="K2276" s="5">
        <v>32073.547537933715</v>
      </c>
      <c r="L2276" s="5">
        <v>17128.574519497746</v>
      </c>
      <c r="M2276" s="5">
        <v>32751.734100446065</v>
      </c>
      <c r="N2276" s="5">
        <v>25549.748582175915</v>
      </c>
      <c r="O2276" s="5">
        <v>13966.178986479143</v>
      </c>
      <c r="P2276" s="5">
        <v>9047.5556949992188</v>
      </c>
      <c r="Q2276" s="5">
        <v>31902.904306425251</v>
      </c>
      <c r="R2276" s="5">
        <v>39727.513802035661</v>
      </c>
    </row>
    <row r="2277" spans="9:18">
      <c r="I2277" s="4">
        <v>2262</v>
      </c>
      <c r="J2277" s="5">
        <v>16145.071869702888</v>
      </c>
      <c r="K2277" s="5">
        <v>16674.541027260992</v>
      </c>
      <c r="L2277" s="5">
        <v>16106.634875163341</v>
      </c>
      <c r="M2277" s="5">
        <v>19151.339770278159</v>
      </c>
      <c r="N2277" s="5">
        <v>15130.853682762778</v>
      </c>
      <c r="O2277" s="5">
        <v>20489.622805425737</v>
      </c>
      <c r="P2277" s="5">
        <v>23769.190223735484</v>
      </c>
      <c r="Q2277" s="5">
        <v>9796.0979856104404</v>
      </c>
      <c r="R2277" s="5">
        <v>96845.299789249824</v>
      </c>
    </row>
    <row r="2278" spans="9:18">
      <c r="I2278" s="4">
        <v>2263</v>
      </c>
      <c r="J2278" s="5">
        <v>22188.291830993156</v>
      </c>
      <c r="K2278" s="5">
        <v>11206.053243692098</v>
      </c>
      <c r="L2278" s="5">
        <v>15764.107424863063</v>
      </c>
      <c r="M2278" s="5">
        <v>12735.841453044006</v>
      </c>
      <c r="N2278" s="5">
        <v>59876.136849941562</v>
      </c>
      <c r="O2278" s="5">
        <v>16462.170789592048</v>
      </c>
      <c r="P2278" s="5">
        <v>66904.018529955298</v>
      </c>
      <c r="Q2278" s="5">
        <v>19315.033835554255</v>
      </c>
      <c r="R2278" s="5">
        <v>35232.418639121184</v>
      </c>
    </row>
    <row r="2279" spans="9:18">
      <c r="I2279" s="4">
        <v>2264</v>
      </c>
      <c r="J2279" s="5">
        <v>16166.107684907736</v>
      </c>
      <c r="K2279" s="5">
        <v>20887.307279900142</v>
      </c>
      <c r="L2279" s="5">
        <v>19189.275558866306</v>
      </c>
      <c r="M2279" s="5">
        <v>23908.621352410395</v>
      </c>
      <c r="N2279" s="5">
        <v>21933.097106966918</v>
      </c>
      <c r="O2279" s="5">
        <v>9956.4031238965053</v>
      </c>
      <c r="P2279" s="5">
        <v>27452.975716953504</v>
      </c>
      <c r="Q2279" s="5">
        <v>52421.574537857021</v>
      </c>
      <c r="R2279" s="5">
        <v>7784.2246210242874</v>
      </c>
    </row>
    <row r="2280" spans="9:18">
      <c r="I2280" s="4">
        <v>2265</v>
      </c>
      <c r="J2280" s="5">
        <v>21150.169973104224</v>
      </c>
      <c r="K2280" s="5">
        <v>14497.035717129334</v>
      </c>
      <c r="L2280" s="5">
        <v>15759.954187048656</v>
      </c>
      <c r="M2280" s="5">
        <v>23067.94260629595</v>
      </c>
      <c r="N2280" s="5">
        <v>15804.474686449519</v>
      </c>
      <c r="O2280" s="5">
        <v>15124.35050053727</v>
      </c>
      <c r="P2280" s="5">
        <v>55119.366528283317</v>
      </c>
      <c r="Q2280" s="5">
        <v>20987.925664394581</v>
      </c>
      <c r="R2280" s="5">
        <v>18720.450716365784</v>
      </c>
    </row>
    <row r="2281" spans="9:18">
      <c r="I2281" s="4">
        <v>2266</v>
      </c>
      <c r="J2281" s="5">
        <v>11854.381651026555</v>
      </c>
      <c r="K2281" s="5">
        <v>14674.169276244838</v>
      </c>
      <c r="L2281" s="5">
        <v>15471.738323660695</v>
      </c>
      <c r="M2281" s="5">
        <v>12426.949970383979</v>
      </c>
      <c r="N2281" s="5">
        <v>11604.12831603515</v>
      </c>
      <c r="O2281" s="5">
        <v>21930.527973988665</v>
      </c>
      <c r="P2281" s="5">
        <v>3017.2887813579896</v>
      </c>
      <c r="Q2281" s="5">
        <v>7457.1844090365566</v>
      </c>
      <c r="R2281" s="5">
        <v>41418.225609677866</v>
      </c>
    </row>
    <row r="2282" spans="9:18">
      <c r="I2282" s="4">
        <v>2267</v>
      </c>
      <c r="J2282" s="5">
        <v>22812.564910649318</v>
      </c>
      <c r="K2282" s="5">
        <v>23543.914024953676</v>
      </c>
      <c r="L2282" s="5">
        <v>22162.138529251199</v>
      </c>
      <c r="M2282" s="5">
        <v>26477.996319655329</v>
      </c>
      <c r="N2282" s="5">
        <v>15658.063692994532</v>
      </c>
      <c r="O2282" s="5">
        <v>10746.295275180995</v>
      </c>
      <c r="P2282" s="5">
        <v>9482.0186426688688</v>
      </c>
      <c r="Q2282" s="5">
        <v>6386.5227360487288</v>
      </c>
      <c r="R2282" s="5">
        <v>8105.1944146993656</v>
      </c>
    </row>
    <row r="2283" spans="9:18">
      <c r="I2283" s="4">
        <v>2268</v>
      </c>
      <c r="J2283" s="5">
        <v>27392.038553726634</v>
      </c>
      <c r="K2283" s="5">
        <v>11149.572204897504</v>
      </c>
      <c r="L2283" s="5">
        <v>19189.275558866306</v>
      </c>
      <c r="M2283" s="5">
        <v>30785.663999045999</v>
      </c>
      <c r="N2283" s="5">
        <v>21933.097106966918</v>
      </c>
      <c r="O2283" s="5">
        <v>5909.5347260996277</v>
      </c>
      <c r="P2283" s="5">
        <v>23769.190223735484</v>
      </c>
      <c r="Q2283" s="5">
        <v>8502.450657922871</v>
      </c>
      <c r="R2283" s="5">
        <v>50287.76786557267</v>
      </c>
    </row>
    <row r="2284" spans="9:18">
      <c r="I2284" s="4">
        <v>2269</v>
      </c>
      <c r="J2284" s="5">
        <v>16733.020222212988</v>
      </c>
      <c r="K2284" s="5">
        <v>21187.174639714212</v>
      </c>
      <c r="L2284" s="5">
        <v>16071.478531535273</v>
      </c>
      <c r="M2284" s="5">
        <v>32497.510405113037</v>
      </c>
      <c r="N2284" s="5">
        <v>16581.915858379376</v>
      </c>
      <c r="O2284" s="5">
        <v>20991.103410982985</v>
      </c>
      <c r="P2284" s="5">
        <v>26541.896041444568</v>
      </c>
      <c r="Q2284" s="5">
        <v>8502.450657922871</v>
      </c>
      <c r="R2284" s="5">
        <v>17991.870496434763</v>
      </c>
    </row>
    <row r="2285" spans="9:18">
      <c r="I2285" s="4">
        <v>2270</v>
      </c>
      <c r="J2285" s="5">
        <v>22188.291830993156</v>
      </c>
      <c r="K2285" s="5">
        <v>17003.901855709089</v>
      </c>
      <c r="L2285" s="5">
        <v>16451.333928028147</v>
      </c>
      <c r="M2285" s="5">
        <v>23454.775510296178</v>
      </c>
      <c r="N2285" s="5">
        <v>15251.140047572881</v>
      </c>
      <c r="O2285" s="5">
        <v>13840.304699955392</v>
      </c>
      <c r="P2285" s="5">
        <v>26126.807131356076</v>
      </c>
      <c r="Q2285" s="5">
        <v>37073.980790337926</v>
      </c>
      <c r="R2285" s="5">
        <v>93933.045103013996</v>
      </c>
    </row>
    <row r="2286" spans="9:18">
      <c r="I2286" s="4">
        <v>2271</v>
      </c>
      <c r="J2286" s="5">
        <v>21888.821432026474</v>
      </c>
      <c r="K2286" s="5">
        <v>23327.217259521742</v>
      </c>
      <c r="L2286" s="5">
        <v>14649.721476864312</v>
      </c>
      <c r="M2286" s="5">
        <v>14432.283063351901</v>
      </c>
      <c r="N2286" s="5">
        <v>18410.937863650517</v>
      </c>
      <c r="O2286" s="5">
        <v>10270.120415297655</v>
      </c>
      <c r="P2286" s="5">
        <v>17643.087208586294</v>
      </c>
      <c r="Q2286" s="5">
        <v>100789.83462564547</v>
      </c>
      <c r="R2286" s="5">
        <v>10885.018205103002</v>
      </c>
    </row>
    <row r="2287" spans="9:18">
      <c r="I2287" s="4">
        <v>2272</v>
      </c>
      <c r="J2287" s="5">
        <v>73074.062486361407</v>
      </c>
      <c r="K2287" s="5">
        <v>14579.232378315752</v>
      </c>
      <c r="L2287" s="5">
        <v>29265.217478369766</v>
      </c>
      <c r="M2287" s="5">
        <v>20788.503422877813</v>
      </c>
      <c r="N2287" s="5">
        <v>23998.040874392525</v>
      </c>
      <c r="O2287" s="5">
        <v>20991.103410982985</v>
      </c>
      <c r="P2287" s="5">
        <v>9482.0186426688688</v>
      </c>
      <c r="Q2287" s="5">
        <v>27018.509959127641</v>
      </c>
      <c r="R2287" s="5">
        <v>14706.681111065362</v>
      </c>
    </row>
    <row r="2288" spans="9:18">
      <c r="I2288" s="4">
        <v>2273</v>
      </c>
      <c r="J2288" s="5">
        <v>15648.665245032147</v>
      </c>
      <c r="K2288" s="5">
        <v>8223.1266007477425</v>
      </c>
      <c r="L2288" s="5">
        <v>15664.99858445921</v>
      </c>
      <c r="M2288" s="5">
        <v>32497.510405113037</v>
      </c>
      <c r="N2288" s="5">
        <v>14921.795973817481</v>
      </c>
      <c r="O2288" s="5">
        <v>18637.945795127704</v>
      </c>
      <c r="P2288" s="5">
        <v>36724.352187786957</v>
      </c>
      <c r="Q2288" s="5">
        <v>6386.5227360487288</v>
      </c>
      <c r="R2288" s="5">
        <v>93933.045103013996</v>
      </c>
    </row>
    <row r="2289" spans="9:18">
      <c r="I2289" s="4">
        <v>2274</v>
      </c>
      <c r="J2289" s="5">
        <v>15130.594750069789</v>
      </c>
      <c r="K2289" s="5">
        <v>21527.93129974293</v>
      </c>
      <c r="L2289" s="5">
        <v>14691.846656953887</v>
      </c>
      <c r="M2289" s="5">
        <v>20041.623430301417</v>
      </c>
      <c r="N2289" s="5">
        <v>21931.347680292267</v>
      </c>
      <c r="O2289" s="5">
        <v>94068.324736096256</v>
      </c>
      <c r="P2289" s="5">
        <v>35569.894390728325</v>
      </c>
      <c r="Q2289" s="5">
        <v>7349.2234634219121</v>
      </c>
      <c r="R2289" s="5">
        <v>123773.40402252052</v>
      </c>
    </row>
    <row r="2290" spans="9:18">
      <c r="I2290" s="4">
        <v>2275</v>
      </c>
      <c r="J2290" s="5">
        <v>13841.207384998772</v>
      </c>
      <c r="K2290" s="5">
        <v>29672.680843304515</v>
      </c>
      <c r="L2290" s="5">
        <v>18215.751370765771</v>
      </c>
      <c r="M2290" s="5">
        <v>42282.977640783138</v>
      </c>
      <c r="N2290" s="5">
        <v>15658.063692994532</v>
      </c>
      <c r="O2290" s="5">
        <v>6199.3195463515376</v>
      </c>
      <c r="P2290" s="5">
        <v>21813.848941464526</v>
      </c>
      <c r="Q2290" s="5">
        <v>27789.973552634947</v>
      </c>
      <c r="R2290" s="5">
        <v>7952.6989268572033</v>
      </c>
    </row>
    <row r="2291" spans="9:18">
      <c r="I2291" s="4">
        <v>2276</v>
      </c>
      <c r="J2291" s="5">
        <v>16459.003095225507</v>
      </c>
      <c r="K2291" s="5">
        <v>14351.415257675473</v>
      </c>
      <c r="L2291" s="5">
        <v>15359.132481533357</v>
      </c>
      <c r="M2291" s="5">
        <v>19433.64679949253</v>
      </c>
      <c r="N2291" s="5">
        <v>14335.478134989447</v>
      </c>
      <c r="O2291" s="5">
        <v>19430.912633256889</v>
      </c>
      <c r="P2291" s="5">
        <v>41657.50350099193</v>
      </c>
      <c r="Q2291" s="5">
        <v>48756.323642664109</v>
      </c>
      <c r="R2291" s="5">
        <v>62674.060343500474</v>
      </c>
    </row>
    <row r="2292" spans="9:18">
      <c r="I2292" s="4">
        <v>2277</v>
      </c>
      <c r="J2292" s="5">
        <v>73074.062486361407</v>
      </c>
      <c r="K2292" s="5">
        <v>15347.101709242541</v>
      </c>
      <c r="L2292" s="5">
        <v>13622.976145621742</v>
      </c>
      <c r="M2292" s="5">
        <v>12987.517521908694</v>
      </c>
      <c r="N2292" s="5">
        <v>17214.078970533748</v>
      </c>
      <c r="O2292" s="5">
        <v>10270.120415297655</v>
      </c>
      <c r="P2292" s="5">
        <v>24349.301972630979</v>
      </c>
      <c r="Q2292" s="5">
        <v>19541.409060825732</v>
      </c>
      <c r="R2292" s="5">
        <v>2071.5141323269809</v>
      </c>
    </row>
    <row r="2293" spans="9:18">
      <c r="I2293" s="4">
        <v>2278</v>
      </c>
      <c r="J2293" s="5">
        <v>13447.638004246244</v>
      </c>
      <c r="K2293" s="5">
        <v>15051.330276415061</v>
      </c>
      <c r="L2293" s="5">
        <v>27144.958215276103</v>
      </c>
      <c r="M2293" s="5">
        <v>23913.435663027711</v>
      </c>
      <c r="N2293" s="5">
        <v>23583.581287126868</v>
      </c>
      <c r="O2293" s="5">
        <v>20489.622805425737</v>
      </c>
      <c r="P2293" s="5">
        <v>9811.9720599964548</v>
      </c>
      <c r="Q2293" s="5">
        <v>28567.61306643406</v>
      </c>
      <c r="R2293" s="5">
        <v>7952.6989268572033</v>
      </c>
    </row>
    <row r="2294" spans="9:18">
      <c r="I2294" s="4">
        <v>2279</v>
      </c>
      <c r="J2294" s="5">
        <v>15130.594750069789</v>
      </c>
      <c r="K2294" s="5">
        <v>15347.101709242541</v>
      </c>
      <c r="L2294" s="5">
        <v>15161.007794371622</v>
      </c>
      <c r="M2294" s="5">
        <v>19042.78605337895</v>
      </c>
      <c r="N2294" s="5">
        <v>23583.581287126868</v>
      </c>
      <c r="O2294" s="5">
        <v>9708.4497800977806</v>
      </c>
      <c r="P2294" s="5">
        <v>16072.735485912413</v>
      </c>
      <c r="Q2294" s="5">
        <v>21421.044775857536</v>
      </c>
      <c r="R2294" s="5">
        <v>55012.315589742022</v>
      </c>
    </row>
    <row r="2295" spans="9:18">
      <c r="I2295" s="4">
        <v>2280</v>
      </c>
      <c r="J2295" s="5">
        <v>9405.362381917912</v>
      </c>
      <c r="K2295" s="5">
        <v>14579.232378315752</v>
      </c>
      <c r="L2295" s="5">
        <v>10896.494237357269</v>
      </c>
      <c r="M2295" s="5">
        <v>22815.60259636537</v>
      </c>
      <c r="N2295" s="5">
        <v>25424.029865101274</v>
      </c>
      <c r="O2295" s="5">
        <v>27084.483614751469</v>
      </c>
      <c r="P2295" s="5">
        <v>83536.241167211992</v>
      </c>
      <c r="Q2295" s="5">
        <v>31019.493883163672</v>
      </c>
      <c r="R2295" s="5">
        <v>44707.053087992797</v>
      </c>
    </row>
    <row r="2296" spans="9:18">
      <c r="I2296" s="4">
        <v>2281</v>
      </c>
      <c r="J2296" s="5">
        <v>28590.354879265724</v>
      </c>
      <c r="K2296" s="5">
        <v>14587.813833513306</v>
      </c>
      <c r="L2296" s="5">
        <v>18634.523182776735</v>
      </c>
      <c r="M2296" s="5">
        <v>36301.422888051464</v>
      </c>
      <c r="N2296" s="5">
        <v>9563.1256545330361</v>
      </c>
      <c r="O2296" s="5">
        <v>9869.5889207969612</v>
      </c>
      <c r="P2296" s="5">
        <v>12790.85158217316</v>
      </c>
      <c r="Q2296" s="5">
        <v>59134.059519022907</v>
      </c>
      <c r="R2296" s="5">
        <v>14051.647494499957</v>
      </c>
    </row>
    <row r="2297" spans="9:18">
      <c r="I2297" s="4">
        <v>2282</v>
      </c>
      <c r="J2297" s="5">
        <v>13663.281817546009</v>
      </c>
      <c r="K2297" s="5">
        <v>15428.770955406064</v>
      </c>
      <c r="L2297" s="5">
        <v>17693.864646288712</v>
      </c>
      <c r="M2297" s="5">
        <v>16001.653036457456</v>
      </c>
      <c r="N2297" s="5">
        <v>13511.694619545402</v>
      </c>
      <c r="O2297" s="5">
        <v>33720.545907536376</v>
      </c>
      <c r="P2297" s="5">
        <v>14773.185437294762</v>
      </c>
      <c r="Q2297" s="5">
        <v>37277.391668005912</v>
      </c>
      <c r="R2297" s="5">
        <v>12194.45251033065</v>
      </c>
    </row>
    <row r="2298" spans="9:18">
      <c r="I2298" s="4">
        <v>2283</v>
      </c>
      <c r="J2298" s="5">
        <v>29760.443016608337</v>
      </c>
      <c r="K2298" s="5">
        <v>14611.618478071941</v>
      </c>
      <c r="L2298" s="5">
        <v>22319.409576580376</v>
      </c>
      <c r="M2298" s="5">
        <v>10111.451009425113</v>
      </c>
      <c r="N2298" s="5">
        <v>12592.300437162297</v>
      </c>
      <c r="O2298" s="5">
        <v>26268.613803794757</v>
      </c>
      <c r="P2298" s="5">
        <v>12992.105410393709</v>
      </c>
      <c r="Q2298" s="5">
        <v>17153.530968450712</v>
      </c>
      <c r="R2298" s="5">
        <v>3433.6677391851467</v>
      </c>
    </row>
    <row r="2299" spans="9:18">
      <c r="I2299" s="4">
        <v>2284</v>
      </c>
      <c r="J2299" s="5">
        <v>16416.142496463777</v>
      </c>
      <c r="K2299" s="5">
        <v>21218.439146892688</v>
      </c>
      <c r="L2299" s="5">
        <v>25389.332759288587</v>
      </c>
      <c r="M2299" s="5">
        <v>32497.510405113037</v>
      </c>
      <c r="N2299" s="5">
        <v>23998.040874392525</v>
      </c>
      <c r="O2299" s="5">
        <v>16524.769946939996</v>
      </c>
      <c r="P2299" s="5">
        <v>38024.168395914428</v>
      </c>
      <c r="Q2299" s="5">
        <v>48756.323642664109</v>
      </c>
      <c r="R2299" s="5">
        <v>34970.397641695177</v>
      </c>
    </row>
    <row r="2300" spans="9:18">
      <c r="I2300" s="4">
        <v>2285</v>
      </c>
      <c r="J2300" s="5">
        <v>15554.996700302558</v>
      </c>
      <c r="K2300" s="5">
        <v>16674.541027260992</v>
      </c>
      <c r="L2300" s="5">
        <v>14796.875457021113</v>
      </c>
      <c r="M2300" s="5">
        <v>20041.623430301417</v>
      </c>
      <c r="N2300" s="5">
        <v>17891.96347244953</v>
      </c>
      <c r="O2300" s="5">
        <v>77417.02098927302</v>
      </c>
      <c r="P2300" s="5">
        <v>32167.874670939738</v>
      </c>
      <c r="Q2300" s="5">
        <v>43417.41805414496</v>
      </c>
      <c r="R2300" s="5">
        <v>18349.337771428582</v>
      </c>
    </row>
    <row r="2301" spans="9:18">
      <c r="I2301" s="4">
        <v>2286</v>
      </c>
      <c r="J2301" s="5">
        <v>14680.308400328413</v>
      </c>
      <c r="K2301" s="5">
        <v>31910.762633549082</v>
      </c>
      <c r="L2301" s="5">
        <v>17073.17760523731</v>
      </c>
      <c r="M2301" s="5">
        <v>21833.004790208965</v>
      </c>
      <c r="N2301" s="5">
        <v>9989.086510768735</v>
      </c>
      <c r="O2301" s="5">
        <v>62082.6862081785</v>
      </c>
      <c r="P2301" s="5">
        <v>14376.883105731285</v>
      </c>
      <c r="Q2301" s="5">
        <v>13865.641566869812</v>
      </c>
      <c r="R2301" s="5">
        <v>81423.874800517297</v>
      </c>
    </row>
    <row r="2302" spans="9:18">
      <c r="I2302" s="4">
        <v>2287</v>
      </c>
      <c r="J2302" s="5">
        <v>16459.003095225507</v>
      </c>
      <c r="K2302" s="5">
        <v>14878.52734402675</v>
      </c>
      <c r="L2302" s="5">
        <v>15300.182042823812</v>
      </c>
      <c r="M2302" s="5">
        <v>12934.591863415189</v>
      </c>
      <c r="N2302" s="5">
        <v>48565.498233359976</v>
      </c>
      <c r="O2302" s="5">
        <v>4231.3144655921506</v>
      </c>
      <c r="P2302" s="5">
        <v>10733.318076105543</v>
      </c>
      <c r="Q2302" s="5">
        <v>30495.121067047665</v>
      </c>
      <c r="R2302" s="5">
        <v>7784.2246210242874</v>
      </c>
    </row>
    <row r="2303" spans="9:18">
      <c r="I2303" s="4">
        <v>2288</v>
      </c>
      <c r="J2303" s="5">
        <v>15417.870921574262</v>
      </c>
      <c r="K2303" s="5">
        <v>15428.770955406064</v>
      </c>
      <c r="L2303" s="5">
        <v>19189.275558866306</v>
      </c>
      <c r="M2303" s="5">
        <v>13065.820809359835</v>
      </c>
      <c r="N2303" s="5">
        <v>23043.345403059295</v>
      </c>
      <c r="O2303" s="5">
        <v>16505.600261180331</v>
      </c>
      <c r="P2303" s="5">
        <v>9811.9720599964548</v>
      </c>
      <c r="Q2303" s="5">
        <v>15623.622662102793</v>
      </c>
      <c r="R2303" s="5">
        <v>7394.6358885760465</v>
      </c>
    </row>
    <row r="2304" spans="9:18">
      <c r="I2304" s="4">
        <v>2289</v>
      </c>
      <c r="J2304" s="5">
        <v>11036.461796239426</v>
      </c>
      <c r="K2304" s="5">
        <v>13719.930466819731</v>
      </c>
      <c r="L2304" s="5">
        <v>13417.453622029931</v>
      </c>
      <c r="M2304" s="5">
        <v>21712.71007234112</v>
      </c>
      <c r="N2304" s="5">
        <v>22511.351424689696</v>
      </c>
      <c r="O2304" s="5">
        <v>83458.030763693328</v>
      </c>
      <c r="P2304" s="5">
        <v>8877.9712092977989</v>
      </c>
      <c r="Q2304" s="5">
        <v>54060.5331097772</v>
      </c>
      <c r="R2304" s="5">
        <v>26783.439354489365</v>
      </c>
    </row>
    <row r="2305" spans="9:18">
      <c r="I2305" s="4">
        <v>2290</v>
      </c>
      <c r="J2305" s="5">
        <v>17679.321624063952</v>
      </c>
      <c r="K2305" s="5">
        <v>14878.52734402675</v>
      </c>
      <c r="L2305" s="5">
        <v>27144.958215276103</v>
      </c>
      <c r="M2305" s="5">
        <v>22815.60259636537</v>
      </c>
      <c r="N2305" s="5">
        <v>57711.498171893618</v>
      </c>
      <c r="O2305" s="5">
        <v>19492.655596593511</v>
      </c>
      <c r="P2305" s="5">
        <v>22601.57564624758</v>
      </c>
      <c r="Q2305" s="5">
        <v>71213.172792303565</v>
      </c>
      <c r="R2305" s="5">
        <v>14051.647494499957</v>
      </c>
    </row>
    <row r="2306" spans="9:18">
      <c r="I2306" s="4">
        <v>2291</v>
      </c>
      <c r="J2306" s="5">
        <v>13391.049101507895</v>
      </c>
      <c r="K2306" s="5">
        <v>26110.948843472826</v>
      </c>
      <c r="L2306" s="5">
        <v>34748.877779456467</v>
      </c>
      <c r="M2306" s="5">
        <v>17116.951435661951</v>
      </c>
      <c r="N2306" s="5">
        <v>46248.895746171031</v>
      </c>
      <c r="O2306" s="5">
        <v>19430.912633256889</v>
      </c>
      <c r="P2306" s="5">
        <v>48123.003747643132</v>
      </c>
      <c r="Q2306" s="5">
        <v>20987.925664394581</v>
      </c>
      <c r="R2306" s="5">
        <v>40368.364083205248</v>
      </c>
    </row>
    <row r="2307" spans="9:18">
      <c r="I2307" s="4">
        <v>2292</v>
      </c>
      <c r="J2307" s="5">
        <v>73074.062486361407</v>
      </c>
      <c r="K2307" s="5">
        <v>16132.555399908759</v>
      </c>
      <c r="L2307" s="5">
        <v>15161.007794371622</v>
      </c>
      <c r="M2307" s="5">
        <v>20550.782384061673</v>
      </c>
      <c r="N2307" s="5">
        <v>17891.96347244953</v>
      </c>
      <c r="O2307" s="5">
        <v>9708.4497800977806</v>
      </c>
      <c r="P2307" s="5">
        <v>13793.886507202402</v>
      </c>
      <c r="Q2307" s="5">
        <v>92068.726035424203</v>
      </c>
      <c r="R2307" s="5">
        <v>9913.4206865238284</v>
      </c>
    </row>
    <row r="2308" spans="9:18">
      <c r="I2308" s="4">
        <v>2293</v>
      </c>
      <c r="J2308" s="5">
        <v>11036.461796239426</v>
      </c>
      <c r="K2308" s="5">
        <v>12026.500118162745</v>
      </c>
      <c r="L2308" s="5">
        <v>21725.131459372977</v>
      </c>
      <c r="M2308" s="5">
        <v>16881.579299055</v>
      </c>
      <c r="N2308" s="5">
        <v>27841.916587595573</v>
      </c>
      <c r="O2308" s="5">
        <v>27503.656957929088</v>
      </c>
      <c r="P2308" s="5">
        <v>14316.965520592317</v>
      </c>
      <c r="Q2308" s="5">
        <v>7457.1844090365566</v>
      </c>
      <c r="R2308" s="5">
        <v>10885.018205103002</v>
      </c>
    </row>
    <row r="2309" spans="9:18">
      <c r="I2309" s="4">
        <v>2294</v>
      </c>
      <c r="J2309" s="5">
        <v>12452.764985867625</v>
      </c>
      <c r="K2309" s="5">
        <v>15487.124352801369</v>
      </c>
      <c r="L2309" s="5">
        <v>14264.23790876064</v>
      </c>
      <c r="M2309" s="5">
        <v>10111.451009425113</v>
      </c>
      <c r="N2309" s="5">
        <v>9989.086510768735</v>
      </c>
      <c r="O2309" s="5">
        <v>19430.912633256889</v>
      </c>
      <c r="P2309" s="5">
        <v>20403.656304140692</v>
      </c>
      <c r="Q2309" s="5">
        <v>31974.553851773013</v>
      </c>
      <c r="R2309" s="5">
        <v>123773.40402252052</v>
      </c>
    </row>
    <row r="2310" spans="9:18">
      <c r="I2310" s="4">
        <v>2295</v>
      </c>
      <c r="J2310" s="5">
        <v>28169.050633834027</v>
      </c>
      <c r="K2310" s="5">
        <v>17903.387243834499</v>
      </c>
      <c r="L2310" s="5">
        <v>21954.536591034263</v>
      </c>
      <c r="M2310" s="5">
        <v>30830.81083227017</v>
      </c>
      <c r="N2310" s="5">
        <v>11952.903761138405</v>
      </c>
      <c r="O2310" s="5">
        <v>30608.431994348266</v>
      </c>
      <c r="P2310" s="5">
        <v>54923.423457863879</v>
      </c>
      <c r="Q2310" s="5">
        <v>42044.890065817184</v>
      </c>
      <c r="R2310" s="5">
        <v>14706.681111065362</v>
      </c>
    </row>
    <row r="2311" spans="9:18">
      <c r="I2311" s="4">
        <v>2296</v>
      </c>
      <c r="J2311" s="5">
        <v>9405.362381917912</v>
      </c>
      <c r="K2311" s="5">
        <v>37822.375317881044</v>
      </c>
      <c r="L2311" s="5">
        <v>17845.207337527903</v>
      </c>
      <c r="M2311" s="5">
        <v>29041.83725675238</v>
      </c>
      <c r="N2311" s="5">
        <v>17811.114014514766</v>
      </c>
      <c r="O2311" s="5">
        <v>26268.613803794757</v>
      </c>
      <c r="P2311" s="5">
        <v>49519.098753410741</v>
      </c>
      <c r="Q2311" s="5">
        <v>13099.063525342741</v>
      </c>
      <c r="R2311" s="5">
        <v>7201.7586694681067</v>
      </c>
    </row>
    <row r="2312" spans="9:18">
      <c r="I2312" s="4">
        <v>2297</v>
      </c>
      <c r="J2312" s="5">
        <v>16088.430030489333</v>
      </c>
      <c r="K2312" s="5">
        <v>12777.667398488715</v>
      </c>
      <c r="L2312" s="5">
        <v>15060.431658965737</v>
      </c>
      <c r="M2312" s="5">
        <v>20229.919588372999</v>
      </c>
      <c r="N2312" s="5">
        <v>59876.136849941562</v>
      </c>
      <c r="O2312" s="5">
        <v>24369.28567093279</v>
      </c>
      <c r="P2312" s="5">
        <v>5735.6883097179207</v>
      </c>
      <c r="Q2312" s="5">
        <v>37073.980790337926</v>
      </c>
      <c r="R2312" s="5">
        <v>3311.4906988006405</v>
      </c>
    </row>
    <row r="2313" spans="9:18">
      <c r="I2313" s="4">
        <v>2298</v>
      </c>
      <c r="J2313" s="5">
        <v>20002.201347927807</v>
      </c>
      <c r="K2313" s="5">
        <v>32294.121255311245</v>
      </c>
      <c r="L2313" s="5">
        <v>16014.071850041886</v>
      </c>
      <c r="M2313" s="5">
        <v>10142.860128720422</v>
      </c>
      <c r="N2313" s="5">
        <v>26115.05281128412</v>
      </c>
      <c r="O2313" s="5">
        <v>15124.35050053727</v>
      </c>
      <c r="P2313" s="5">
        <v>6275.8915673055426</v>
      </c>
      <c r="Q2313" s="5">
        <v>37073.980790337926</v>
      </c>
      <c r="R2313" s="5">
        <v>7201.7586694681067</v>
      </c>
    </row>
    <row r="2314" spans="9:18">
      <c r="I2314" s="4">
        <v>2299</v>
      </c>
      <c r="J2314" s="5">
        <v>14960.076233580705</v>
      </c>
      <c r="K2314" s="5">
        <v>9769.3659785458403</v>
      </c>
      <c r="L2314" s="5">
        <v>18810.091753970282</v>
      </c>
      <c r="M2314" s="5">
        <v>19151.339770278159</v>
      </c>
      <c r="N2314" s="5">
        <v>22010.718648995869</v>
      </c>
      <c r="O2314" s="5">
        <v>4231.3144655921506</v>
      </c>
      <c r="P2314" s="5">
        <v>14376.883105731285</v>
      </c>
      <c r="Q2314" s="5">
        <v>12253.299944531094</v>
      </c>
      <c r="R2314" s="5">
        <v>14079.827908007112</v>
      </c>
    </row>
    <row r="2315" spans="9:18">
      <c r="I2315" s="4">
        <v>2300</v>
      </c>
      <c r="J2315" s="5">
        <v>16511.332839561353</v>
      </c>
      <c r="K2315" s="5">
        <v>17903.387243834499</v>
      </c>
      <c r="L2315" s="5">
        <v>17482.478480142941</v>
      </c>
      <c r="M2315" s="5">
        <v>42282.977640783138</v>
      </c>
      <c r="N2315" s="5">
        <v>21909.120225822895</v>
      </c>
      <c r="O2315" s="5">
        <v>25644.588869829797</v>
      </c>
      <c r="P2315" s="5">
        <v>38771.994792132391</v>
      </c>
      <c r="Q2315" s="5">
        <v>48866.209623168346</v>
      </c>
      <c r="R2315" s="5">
        <v>27349.63499959607</v>
      </c>
    </row>
    <row r="2316" spans="9:18">
      <c r="I2316" s="4">
        <v>2301</v>
      </c>
      <c r="J2316" s="5">
        <v>17592.832480262863</v>
      </c>
      <c r="K2316" s="5">
        <v>21187.174639714212</v>
      </c>
      <c r="L2316" s="5">
        <v>13417.453622029931</v>
      </c>
      <c r="M2316" s="5">
        <v>32497.510405113037</v>
      </c>
      <c r="N2316" s="5">
        <v>28426.778914975595</v>
      </c>
      <c r="O2316" s="5">
        <v>40581.847217937895</v>
      </c>
      <c r="P2316" s="5">
        <v>41657.50350099193</v>
      </c>
      <c r="Q2316" s="5">
        <v>8880.8074399558282</v>
      </c>
      <c r="R2316" s="5">
        <v>23583.884732956092</v>
      </c>
    </row>
    <row r="2317" spans="9:18">
      <c r="I2317" s="4">
        <v>2302</v>
      </c>
      <c r="J2317" s="5">
        <v>28590.354879265724</v>
      </c>
      <c r="K2317" s="5">
        <v>18218.584572172625</v>
      </c>
      <c r="L2317" s="5">
        <v>14175.160754078657</v>
      </c>
      <c r="M2317" s="5">
        <v>29834.240613550006</v>
      </c>
      <c r="N2317" s="5">
        <v>26115.05281128412</v>
      </c>
      <c r="O2317" s="5">
        <v>8024.6340027919978</v>
      </c>
      <c r="P2317" s="5">
        <v>14376.883105731285</v>
      </c>
      <c r="Q2317" s="5">
        <v>15623.622662102793</v>
      </c>
      <c r="R2317" s="5">
        <v>31715.273557891396</v>
      </c>
    </row>
    <row r="2318" spans="9:18">
      <c r="I2318" s="4">
        <v>2303</v>
      </c>
      <c r="J2318" s="5">
        <v>11843.28062342474</v>
      </c>
      <c r="K2318" s="5">
        <v>14587.813833513306</v>
      </c>
      <c r="L2318" s="5">
        <v>15471.738323660695</v>
      </c>
      <c r="M2318" s="5">
        <v>31460.745851561904</v>
      </c>
      <c r="N2318" s="5">
        <v>21931.347680292267</v>
      </c>
      <c r="O2318" s="5">
        <v>20930.098352661731</v>
      </c>
      <c r="P2318" s="5">
        <v>54100.778483493887</v>
      </c>
      <c r="Q2318" s="5">
        <v>30266.563414010914</v>
      </c>
      <c r="R2318" s="5">
        <v>6681.1887184356683</v>
      </c>
    </row>
    <row r="2319" spans="9:18">
      <c r="I2319" s="4">
        <v>2304</v>
      </c>
      <c r="J2319" s="5">
        <v>19048.674633640545</v>
      </c>
      <c r="K2319" s="5">
        <v>14497.035717129334</v>
      </c>
      <c r="L2319" s="5">
        <v>17482.478480142941</v>
      </c>
      <c r="M2319" s="5">
        <v>24981.974172352908</v>
      </c>
      <c r="N2319" s="5">
        <v>12297.015342318469</v>
      </c>
      <c r="O2319" s="5">
        <v>8801.3667015774663</v>
      </c>
      <c r="P2319" s="5">
        <v>27820.721938889761</v>
      </c>
      <c r="Q2319" s="5">
        <v>59964.86015574776</v>
      </c>
      <c r="R2319" s="5">
        <v>50287.76786557267</v>
      </c>
    </row>
    <row r="2320" spans="9:18">
      <c r="I2320" s="4">
        <v>2305</v>
      </c>
      <c r="J2320" s="5">
        <v>12701.339251949787</v>
      </c>
      <c r="K2320" s="5">
        <v>11149.572204897504</v>
      </c>
      <c r="L2320" s="5">
        <v>22412.045018675239</v>
      </c>
      <c r="M2320" s="5">
        <v>13139.022167648376</v>
      </c>
      <c r="N2320" s="5">
        <v>15251.140047572881</v>
      </c>
      <c r="O2320" s="5">
        <v>28431.436490368542</v>
      </c>
      <c r="P2320" s="5">
        <v>54100.778483493887</v>
      </c>
      <c r="Q2320" s="5">
        <v>28797.29222718185</v>
      </c>
      <c r="R2320" s="5">
        <v>7201.7586694681067</v>
      </c>
    </row>
    <row r="2321" spans="9:18">
      <c r="I2321" s="4">
        <v>2306</v>
      </c>
      <c r="J2321" s="5">
        <v>16511.332839561353</v>
      </c>
      <c r="K2321" s="5">
        <v>14854.898507619706</v>
      </c>
      <c r="L2321" s="5">
        <v>10752.183901283248</v>
      </c>
      <c r="M2321" s="5">
        <v>29058.117767351498</v>
      </c>
      <c r="N2321" s="5">
        <v>17811.114014514766</v>
      </c>
      <c r="O2321" s="5">
        <v>9320.7026593487881</v>
      </c>
      <c r="P2321" s="5">
        <v>41657.50350099193</v>
      </c>
      <c r="Q2321" s="5">
        <v>22483.395143121877</v>
      </c>
      <c r="R2321" s="5">
        <v>24722.972470599001</v>
      </c>
    </row>
    <row r="2322" spans="9:18">
      <c r="I2322" s="4">
        <v>2307</v>
      </c>
      <c r="J2322" s="5">
        <v>14749.343145806102</v>
      </c>
      <c r="K2322" s="5">
        <v>14878.52734402675</v>
      </c>
      <c r="L2322" s="5">
        <v>15922.087958863045</v>
      </c>
      <c r="M2322" s="5">
        <v>20229.919588372999</v>
      </c>
      <c r="N2322" s="5">
        <v>24314.043643333731</v>
      </c>
      <c r="O2322" s="5">
        <v>27508.313315384185</v>
      </c>
      <c r="P2322" s="5">
        <v>31127.87225845682</v>
      </c>
      <c r="Q2322" s="5">
        <v>73941.636731325911</v>
      </c>
      <c r="R2322" s="5">
        <v>87776.138236389699</v>
      </c>
    </row>
    <row r="2323" spans="9:18">
      <c r="I2323" s="4">
        <v>2308</v>
      </c>
      <c r="J2323" s="5">
        <v>14076.209333698853</v>
      </c>
      <c r="K2323" s="5">
        <v>16273.14570113692</v>
      </c>
      <c r="L2323" s="5">
        <v>18215.751370765771</v>
      </c>
      <c r="M2323" s="5">
        <v>21913.431401527439</v>
      </c>
      <c r="N2323" s="5">
        <v>13909.728487455486</v>
      </c>
      <c r="O2323" s="5">
        <v>79848.944504816522</v>
      </c>
      <c r="P2323" s="5">
        <v>17737.38315098183</v>
      </c>
      <c r="Q2323" s="5">
        <v>18097.768262249352</v>
      </c>
      <c r="R2323" s="5">
        <v>76851.431017396084</v>
      </c>
    </row>
    <row r="2324" spans="9:18">
      <c r="I2324" s="4">
        <v>2309</v>
      </c>
      <c r="J2324" s="5">
        <v>15081.728672246438</v>
      </c>
      <c r="K2324" s="5">
        <v>10931.803935361211</v>
      </c>
      <c r="L2324" s="5">
        <v>15300.182042823812</v>
      </c>
      <c r="M2324" s="5">
        <v>16001.653036457456</v>
      </c>
      <c r="N2324" s="5">
        <v>11952.903761138405</v>
      </c>
      <c r="O2324" s="5">
        <v>15124.35050053727</v>
      </c>
      <c r="P2324" s="5">
        <v>8069.5385577067918</v>
      </c>
      <c r="Q2324" s="5">
        <v>28078.365156847896</v>
      </c>
      <c r="R2324" s="5">
        <v>41418.225609677866</v>
      </c>
    </row>
    <row r="2325" spans="9:18">
      <c r="I2325" s="4">
        <v>2310</v>
      </c>
      <c r="J2325" s="5">
        <v>9368.8270679249108</v>
      </c>
      <c r="K2325" s="5">
        <v>16132.555399908759</v>
      </c>
      <c r="L2325" s="5">
        <v>14610.165745300763</v>
      </c>
      <c r="M2325" s="5">
        <v>23515.935489506261</v>
      </c>
      <c r="N2325" s="5">
        <v>21931.347680292267</v>
      </c>
      <c r="O2325" s="5">
        <v>59207.798737851255</v>
      </c>
      <c r="P2325" s="5">
        <v>83536.241167211992</v>
      </c>
      <c r="Q2325" s="5">
        <v>16591.881190929333</v>
      </c>
      <c r="R2325" s="5">
        <v>91403.228438796665</v>
      </c>
    </row>
    <row r="2326" spans="9:18">
      <c r="I2326" s="4">
        <v>2311</v>
      </c>
      <c r="J2326" s="5">
        <v>27392.038553726634</v>
      </c>
      <c r="K2326" s="5">
        <v>15768.312122029349</v>
      </c>
      <c r="L2326" s="5">
        <v>15471.738323660695</v>
      </c>
      <c r="M2326" s="5">
        <v>23913.435663027711</v>
      </c>
      <c r="N2326" s="5">
        <v>19225.139878706803</v>
      </c>
      <c r="O2326" s="5">
        <v>4231.3144655921506</v>
      </c>
      <c r="P2326" s="5">
        <v>31127.87225845682</v>
      </c>
      <c r="Q2326" s="5">
        <v>22483.395143121877</v>
      </c>
      <c r="R2326" s="5">
        <v>1535.701520095213</v>
      </c>
    </row>
    <row r="2327" spans="9:18">
      <c r="I2327" s="4">
        <v>2312</v>
      </c>
      <c r="J2327" s="5">
        <v>15081.728672246438</v>
      </c>
      <c r="K2327" s="5">
        <v>23543.914024953676</v>
      </c>
      <c r="L2327" s="5">
        <v>23760.785349782636</v>
      </c>
      <c r="M2327" s="5">
        <v>13642.678686731051</v>
      </c>
      <c r="N2327" s="5">
        <v>11635.644856128632</v>
      </c>
      <c r="O2327" s="5">
        <v>26565.882515615398</v>
      </c>
      <c r="P2327" s="5">
        <v>26126.807131356076</v>
      </c>
      <c r="Q2327" s="5">
        <v>22145.301831504508</v>
      </c>
      <c r="R2327" s="5">
        <v>27349.63499959607</v>
      </c>
    </row>
    <row r="2328" spans="9:18">
      <c r="I2328" s="4">
        <v>2313</v>
      </c>
      <c r="J2328" s="5">
        <v>28590.354879265724</v>
      </c>
      <c r="K2328" s="5">
        <v>43843.85059185313</v>
      </c>
      <c r="L2328" s="5">
        <v>10752.183901283248</v>
      </c>
      <c r="M2328" s="5">
        <v>29058.117767351498</v>
      </c>
      <c r="N2328" s="5">
        <v>18367.429489032103</v>
      </c>
      <c r="O2328" s="5">
        <v>28431.436490368542</v>
      </c>
      <c r="P2328" s="5">
        <v>17643.087208586294</v>
      </c>
      <c r="Q2328" s="5">
        <v>48756.323642664109</v>
      </c>
      <c r="R2328" s="5">
        <v>26783.439354489365</v>
      </c>
    </row>
    <row r="2329" spans="9:18">
      <c r="I2329" s="4">
        <v>2314</v>
      </c>
      <c r="J2329" s="5">
        <v>14420.293087375476</v>
      </c>
      <c r="K2329" s="5">
        <v>23934.551191616061</v>
      </c>
      <c r="L2329" s="5">
        <v>16955.349467865559</v>
      </c>
      <c r="M2329" s="5">
        <v>32497.510405113037</v>
      </c>
      <c r="N2329" s="5">
        <v>11751.639947035985</v>
      </c>
      <c r="O2329" s="5">
        <v>20991.103410982985</v>
      </c>
      <c r="P2329" s="5">
        <v>44816.412248582856</v>
      </c>
      <c r="Q2329" s="5">
        <v>73941.636731325911</v>
      </c>
      <c r="R2329" s="5">
        <v>55012.315589742022</v>
      </c>
    </row>
    <row r="2330" spans="9:18">
      <c r="I2330" s="4">
        <v>2315</v>
      </c>
      <c r="J2330" s="5">
        <v>16166.107684907736</v>
      </c>
      <c r="K2330" s="5">
        <v>7753.2116148734594</v>
      </c>
      <c r="L2330" s="5">
        <v>16014.071850041886</v>
      </c>
      <c r="M2330" s="5">
        <v>20550.782384061673</v>
      </c>
      <c r="N2330" s="5">
        <v>22868.569282757788</v>
      </c>
      <c r="O2330" s="5">
        <v>67717.30633712461</v>
      </c>
      <c r="P2330" s="5">
        <v>12790.85158217316</v>
      </c>
      <c r="Q2330" s="5">
        <v>17493.456269945855</v>
      </c>
      <c r="R2330" s="5">
        <v>12116.34255245842</v>
      </c>
    </row>
    <row r="2331" spans="9:18">
      <c r="I2331" s="4">
        <v>2316</v>
      </c>
      <c r="J2331" s="5">
        <v>23517.429992060665</v>
      </c>
      <c r="K2331" s="5">
        <v>15768.312122029349</v>
      </c>
      <c r="L2331" s="5">
        <v>16014.071850041886</v>
      </c>
      <c r="M2331" s="5">
        <v>14217.48832834715</v>
      </c>
      <c r="N2331" s="5">
        <v>17214.078970533748</v>
      </c>
      <c r="O2331" s="5">
        <v>19430.912633256889</v>
      </c>
      <c r="P2331" s="5">
        <v>14376.883105731285</v>
      </c>
      <c r="Q2331" s="5">
        <v>3272.4685014937832</v>
      </c>
      <c r="R2331" s="5">
        <v>39788.288251916689</v>
      </c>
    </row>
    <row r="2332" spans="9:18">
      <c r="I2332" s="4">
        <v>2317</v>
      </c>
      <c r="J2332" s="5">
        <v>31559.699247539775</v>
      </c>
      <c r="K2332" s="5">
        <v>34164.842952759042</v>
      </c>
      <c r="L2332" s="5">
        <v>17073.17760523731</v>
      </c>
      <c r="M2332" s="5">
        <v>21072.983263501868</v>
      </c>
      <c r="N2332" s="5">
        <v>20292.069765667391</v>
      </c>
      <c r="O2332" s="5">
        <v>32474.063027682765</v>
      </c>
      <c r="P2332" s="5">
        <v>34814.458119125498</v>
      </c>
      <c r="Q2332" s="5">
        <v>73941.636731325911</v>
      </c>
      <c r="R2332" s="5">
        <v>17687.533637716911</v>
      </c>
    </row>
    <row r="2333" spans="9:18">
      <c r="I2333" s="4">
        <v>2318</v>
      </c>
      <c r="J2333" s="5">
        <v>21717.214093683677</v>
      </c>
      <c r="K2333" s="5">
        <v>17128.860847126922</v>
      </c>
      <c r="L2333" s="5">
        <v>15300.182042823812</v>
      </c>
      <c r="M2333" s="5">
        <v>41698.977215629871</v>
      </c>
      <c r="N2333" s="5">
        <v>9209.4418830788036</v>
      </c>
      <c r="O2333" s="5">
        <v>67717.30633712461</v>
      </c>
      <c r="P2333" s="5">
        <v>9047.5556949992188</v>
      </c>
      <c r="Q2333" s="5">
        <v>59134.059519022907</v>
      </c>
      <c r="R2333" s="5">
        <v>81423.874800517297</v>
      </c>
    </row>
    <row r="2334" spans="9:18">
      <c r="I2334" s="4">
        <v>2319</v>
      </c>
      <c r="J2334" s="5">
        <v>15081.728672246438</v>
      </c>
      <c r="K2334" s="5">
        <v>18086.448513145526</v>
      </c>
      <c r="L2334" s="5">
        <v>15487.970507365942</v>
      </c>
      <c r="M2334" s="5">
        <v>20185.026038758231</v>
      </c>
      <c r="N2334" s="5">
        <v>23998.040874392525</v>
      </c>
      <c r="O2334" s="5">
        <v>6199.3195463515376</v>
      </c>
      <c r="P2334" s="5">
        <v>14773.185437294762</v>
      </c>
      <c r="Q2334" s="5">
        <v>21421.044775857536</v>
      </c>
      <c r="R2334" s="5">
        <v>31715.273557891396</v>
      </c>
    </row>
    <row r="2335" spans="9:18">
      <c r="I2335" s="4">
        <v>2320</v>
      </c>
      <c r="J2335" s="5">
        <v>16459.003095225507</v>
      </c>
      <c r="K2335" s="5">
        <v>16605.655749562578</v>
      </c>
      <c r="L2335" s="5">
        <v>14364.472927446199</v>
      </c>
      <c r="M2335" s="5">
        <v>7334.8610818348589</v>
      </c>
      <c r="N2335" s="5">
        <v>23008.246229813707</v>
      </c>
      <c r="O2335" s="5">
        <v>13966.178986479143</v>
      </c>
      <c r="P2335" s="5">
        <v>40377.463755170742</v>
      </c>
      <c r="Q2335" s="5">
        <v>100789.83462564547</v>
      </c>
      <c r="R2335" s="5">
        <v>93933.045103013996</v>
      </c>
    </row>
    <row r="2336" spans="9:18">
      <c r="I2336" s="4">
        <v>2321</v>
      </c>
      <c r="J2336" s="5">
        <v>12888.204629170894</v>
      </c>
      <c r="K2336" s="5">
        <v>16273.14570113692</v>
      </c>
      <c r="L2336" s="5">
        <v>17311.244744664215</v>
      </c>
      <c r="M2336" s="5">
        <v>10111.451009425113</v>
      </c>
      <c r="N2336" s="5">
        <v>35826.921212852278</v>
      </c>
      <c r="O2336" s="5">
        <v>13613.378495715853</v>
      </c>
      <c r="P2336" s="5">
        <v>14376.883105731285</v>
      </c>
      <c r="Q2336" s="5">
        <v>28776.080424849053</v>
      </c>
      <c r="R2336" s="5">
        <v>18230.645544621442</v>
      </c>
    </row>
    <row r="2337" spans="9:18">
      <c r="I2337" s="4">
        <v>2322</v>
      </c>
      <c r="J2337" s="5">
        <v>19121.054099180623</v>
      </c>
      <c r="K2337" s="5">
        <v>16934.093371663999</v>
      </c>
      <c r="L2337" s="5">
        <v>16017.890956041876</v>
      </c>
      <c r="M2337" s="5">
        <v>24981.974172352908</v>
      </c>
      <c r="N2337" s="5">
        <v>12523.573732460784</v>
      </c>
      <c r="O2337" s="5">
        <v>16572.483389649329</v>
      </c>
      <c r="P2337" s="5">
        <v>25258.981945036445</v>
      </c>
      <c r="Q2337" s="5">
        <v>48866.209623168346</v>
      </c>
      <c r="R2337" s="5">
        <v>26783.439354489365</v>
      </c>
    </row>
    <row r="2338" spans="9:18">
      <c r="I2338" s="4">
        <v>2323</v>
      </c>
      <c r="J2338" s="5">
        <v>15554.996700302558</v>
      </c>
      <c r="K2338" s="5">
        <v>13652.224205833634</v>
      </c>
      <c r="L2338" s="5">
        <v>25389.332759288587</v>
      </c>
      <c r="M2338" s="5">
        <v>13139.022167648376</v>
      </c>
      <c r="N2338" s="5">
        <v>12592.300437162297</v>
      </c>
      <c r="O2338" s="5">
        <v>13613.378495715853</v>
      </c>
      <c r="P2338" s="5">
        <v>9482.0186426688688</v>
      </c>
      <c r="Q2338" s="5">
        <v>100789.83462564547</v>
      </c>
      <c r="R2338" s="5">
        <v>30571.564004538617</v>
      </c>
    </row>
    <row r="2339" spans="9:18">
      <c r="I2339" s="4">
        <v>2324</v>
      </c>
      <c r="J2339" s="5">
        <v>22812.564910649318</v>
      </c>
      <c r="K2339" s="5">
        <v>13559.080695844099</v>
      </c>
      <c r="L2339" s="5">
        <v>21725.131459372977</v>
      </c>
      <c r="M2339" s="5">
        <v>20550.782384061673</v>
      </c>
      <c r="N2339" s="5">
        <v>48565.498233359976</v>
      </c>
      <c r="O2339" s="5">
        <v>62082.6862081785</v>
      </c>
      <c r="P2339" s="5">
        <v>44646.134934589521</v>
      </c>
      <c r="Q2339" s="5">
        <v>13099.063525342741</v>
      </c>
      <c r="R2339" s="5">
        <v>20236.767651156802</v>
      </c>
    </row>
    <row r="2340" spans="9:18">
      <c r="I2340" s="4">
        <v>2325</v>
      </c>
      <c r="J2340" s="5">
        <v>16459.003095225507</v>
      </c>
      <c r="K2340" s="5">
        <v>11507.182177474708</v>
      </c>
      <c r="L2340" s="5">
        <v>15225.811035017256</v>
      </c>
      <c r="M2340" s="5">
        <v>21913.431401527439</v>
      </c>
      <c r="N2340" s="5">
        <v>22010.718648995869</v>
      </c>
      <c r="O2340" s="5">
        <v>9869.5889207969612</v>
      </c>
      <c r="P2340" s="5">
        <v>74840.036182179319</v>
      </c>
      <c r="Q2340" s="5">
        <v>7457.1844090365566</v>
      </c>
      <c r="R2340" s="5">
        <v>20303.08745527079</v>
      </c>
    </row>
    <row r="2341" spans="9:18">
      <c r="I2341" s="4">
        <v>2326</v>
      </c>
      <c r="J2341" s="5">
        <v>14680.308400328413</v>
      </c>
      <c r="K2341" s="5">
        <v>16952.949313901812</v>
      </c>
      <c r="L2341" s="5">
        <v>17311.244744664215</v>
      </c>
      <c r="M2341" s="5">
        <v>31460.745851561904</v>
      </c>
      <c r="N2341" s="5">
        <v>22010.718648995869</v>
      </c>
      <c r="O2341" s="5">
        <v>41653.890350944224</v>
      </c>
      <c r="P2341" s="5">
        <v>9965.8330787532959</v>
      </c>
      <c r="Q2341" s="5">
        <v>15663.43865741136</v>
      </c>
      <c r="R2341" s="5">
        <v>39788.288251916689</v>
      </c>
    </row>
    <row r="2342" spans="9:18">
      <c r="I2342" s="4">
        <v>2327</v>
      </c>
      <c r="J2342" s="5">
        <v>14741.240040396578</v>
      </c>
      <c r="K2342" s="5">
        <v>16081.362509465702</v>
      </c>
      <c r="L2342" s="5">
        <v>22162.138529251199</v>
      </c>
      <c r="M2342" s="5">
        <v>21072.983263501868</v>
      </c>
      <c r="N2342" s="5">
        <v>19225.139878706803</v>
      </c>
      <c r="O2342" s="5">
        <v>49114.195066822271</v>
      </c>
      <c r="P2342" s="5">
        <v>35569.894390728325</v>
      </c>
      <c r="Q2342" s="5">
        <v>30266.563414010914</v>
      </c>
      <c r="R2342" s="5">
        <v>8130.5639219412278</v>
      </c>
    </row>
    <row r="2343" spans="9:18">
      <c r="I2343" s="4">
        <v>2328</v>
      </c>
      <c r="J2343" s="5">
        <v>20002.201347927807</v>
      </c>
      <c r="K2343" s="5">
        <v>29672.680843304515</v>
      </c>
      <c r="L2343" s="5">
        <v>17845.207337527903</v>
      </c>
      <c r="M2343" s="5">
        <v>30785.663999045999</v>
      </c>
      <c r="N2343" s="5">
        <v>20558.672182394013</v>
      </c>
      <c r="O2343" s="5">
        <v>20991.103410982985</v>
      </c>
      <c r="P2343" s="5">
        <v>12790.85158217316</v>
      </c>
      <c r="Q2343" s="5">
        <v>18097.768262249352</v>
      </c>
      <c r="R2343" s="5">
        <v>12116.34255245842</v>
      </c>
    </row>
    <row r="2344" spans="9:18">
      <c r="I2344" s="4">
        <v>2329</v>
      </c>
      <c r="J2344" s="5">
        <v>7855.2948890116513</v>
      </c>
      <c r="K2344" s="5">
        <v>13652.224205833634</v>
      </c>
      <c r="L2344" s="5">
        <v>16071.478531535273</v>
      </c>
      <c r="M2344" s="5">
        <v>6367.5407465007311</v>
      </c>
      <c r="N2344" s="5">
        <v>20558.672182394013</v>
      </c>
      <c r="O2344" s="5">
        <v>26565.882515615398</v>
      </c>
      <c r="P2344" s="5">
        <v>13793.886507202402</v>
      </c>
      <c r="Q2344" s="5">
        <v>13099.063525342741</v>
      </c>
      <c r="R2344" s="5">
        <v>31715.273557891396</v>
      </c>
    </row>
    <row r="2345" spans="9:18">
      <c r="I2345" s="4">
        <v>2330</v>
      </c>
      <c r="J2345" s="5">
        <v>34933.039312618188</v>
      </c>
      <c r="K2345" s="5">
        <v>15768.312122029349</v>
      </c>
      <c r="L2345" s="5">
        <v>23561.450544884348</v>
      </c>
      <c r="M2345" s="5">
        <v>29041.83725675238</v>
      </c>
      <c r="N2345" s="5">
        <v>21009.255892677338</v>
      </c>
      <c r="O2345" s="5">
        <v>30656.031716467984</v>
      </c>
      <c r="P2345" s="5">
        <v>10966.822219855034</v>
      </c>
      <c r="Q2345" s="5">
        <v>53055.59182561023</v>
      </c>
      <c r="R2345" s="5">
        <v>3311.4906988006405</v>
      </c>
    </row>
    <row r="2346" spans="9:18">
      <c r="I2346" s="4">
        <v>2331</v>
      </c>
      <c r="J2346" s="5">
        <v>14680.308400328413</v>
      </c>
      <c r="K2346" s="5">
        <v>14579.232378315752</v>
      </c>
      <c r="L2346" s="5">
        <v>10752.183901283248</v>
      </c>
      <c r="M2346" s="5">
        <v>11860.862376247747</v>
      </c>
      <c r="N2346" s="5">
        <v>22735.120948269971</v>
      </c>
      <c r="O2346" s="5">
        <v>83458.030763693328</v>
      </c>
      <c r="P2346" s="5">
        <v>8662.4232458952465</v>
      </c>
      <c r="Q2346" s="5">
        <v>31618.396253255491</v>
      </c>
      <c r="R2346" s="5">
        <v>87776.138236389699</v>
      </c>
    </row>
    <row r="2347" spans="9:18">
      <c r="I2347" s="4">
        <v>2332</v>
      </c>
      <c r="J2347" s="5">
        <v>15417.870921574262</v>
      </c>
      <c r="K2347" s="5">
        <v>10931.803935361211</v>
      </c>
      <c r="L2347" s="5">
        <v>15471.738323660695</v>
      </c>
      <c r="M2347" s="5">
        <v>9623.0342442006167</v>
      </c>
      <c r="N2347" s="5">
        <v>10882.757905166785</v>
      </c>
      <c r="O2347" s="5">
        <v>27062.73412298776</v>
      </c>
      <c r="P2347" s="5">
        <v>74840.036182179319</v>
      </c>
      <c r="Q2347" s="5">
        <v>16591.881190929333</v>
      </c>
      <c r="R2347" s="5">
        <v>1535.701520095213</v>
      </c>
    </row>
    <row r="2348" spans="9:18">
      <c r="I2348" s="4">
        <v>2333</v>
      </c>
      <c r="J2348" s="5">
        <v>45301.532027110363</v>
      </c>
      <c r="K2348" s="5">
        <v>24728.095385476983</v>
      </c>
      <c r="L2348" s="5">
        <v>17716.90539191998</v>
      </c>
      <c r="M2348" s="5">
        <v>11529.920007560097</v>
      </c>
      <c r="N2348" s="5">
        <v>22735.120948269971</v>
      </c>
      <c r="O2348" s="5">
        <v>79848.944504816522</v>
      </c>
      <c r="P2348" s="5">
        <v>9965.8330787532959</v>
      </c>
      <c r="Q2348" s="5">
        <v>19315.033835554255</v>
      </c>
      <c r="R2348" s="5">
        <v>27349.63499959607</v>
      </c>
    </row>
    <row r="2349" spans="9:18">
      <c r="I2349" s="4">
        <v>2334</v>
      </c>
      <c r="J2349" s="5">
        <v>14344.692898101612</v>
      </c>
      <c r="K2349" s="5">
        <v>7753.2116148734594</v>
      </c>
      <c r="L2349" s="5">
        <v>22319.409576580376</v>
      </c>
      <c r="M2349" s="5">
        <v>12987.517521908694</v>
      </c>
      <c r="N2349" s="5">
        <v>35826.921212852278</v>
      </c>
      <c r="O2349" s="5">
        <v>27508.313315384185</v>
      </c>
      <c r="P2349" s="5">
        <v>17737.38315098183</v>
      </c>
      <c r="Q2349" s="5">
        <v>12253.299944531094</v>
      </c>
      <c r="R2349" s="5">
        <v>19133.693426869788</v>
      </c>
    </row>
    <row r="2350" spans="9:18">
      <c r="I2350" s="4">
        <v>2335</v>
      </c>
      <c r="J2350" s="5">
        <v>29760.443016608337</v>
      </c>
      <c r="K2350" s="5">
        <v>31910.762633549082</v>
      </c>
      <c r="L2350" s="5">
        <v>11827.803406885578</v>
      </c>
      <c r="M2350" s="5">
        <v>16500.222621933419</v>
      </c>
      <c r="N2350" s="5">
        <v>32184.535272543482</v>
      </c>
      <c r="O2350" s="5">
        <v>13550.031670770122</v>
      </c>
      <c r="P2350" s="5">
        <v>10966.822219855034</v>
      </c>
      <c r="Q2350" s="5">
        <v>9454.5906023793759</v>
      </c>
      <c r="R2350" s="5">
        <v>90296.353221228885</v>
      </c>
    </row>
    <row r="2351" spans="9:18">
      <c r="I2351" s="4">
        <v>2336</v>
      </c>
      <c r="J2351" s="5">
        <v>29760.443016608337</v>
      </c>
      <c r="K2351" s="5">
        <v>21187.174639714212</v>
      </c>
      <c r="L2351" s="5">
        <v>13358.459356674217</v>
      </c>
      <c r="M2351" s="5">
        <v>41403.687663920646</v>
      </c>
      <c r="N2351" s="5">
        <v>16581.915858379376</v>
      </c>
      <c r="O2351" s="5">
        <v>24247.516962783076</v>
      </c>
      <c r="P2351" s="5">
        <v>32155.527541400057</v>
      </c>
      <c r="Q2351" s="5">
        <v>11928.872068442162</v>
      </c>
      <c r="R2351" s="5">
        <v>182942.88598316166</v>
      </c>
    </row>
    <row r="2352" spans="9:18">
      <c r="I2352" s="4">
        <v>2337</v>
      </c>
      <c r="J2352" s="5">
        <v>8580.4413740966302</v>
      </c>
      <c r="K2352" s="5">
        <v>17495.743706488822</v>
      </c>
      <c r="L2352" s="5">
        <v>17578.712723867691</v>
      </c>
      <c r="M2352" s="5">
        <v>23449.501569180404</v>
      </c>
      <c r="N2352" s="5">
        <v>23283.854578052265</v>
      </c>
      <c r="O2352" s="5">
        <v>27084.483614751469</v>
      </c>
      <c r="P2352" s="5">
        <v>16574.429708560569</v>
      </c>
      <c r="Q2352" s="5">
        <v>9138.5169630896526</v>
      </c>
      <c r="R2352" s="5">
        <v>40368.364083205248</v>
      </c>
    </row>
    <row r="2353" spans="9:18">
      <c r="I2353" s="4">
        <v>2338</v>
      </c>
      <c r="J2353" s="5">
        <v>19467.17453557903</v>
      </c>
      <c r="K2353" s="5">
        <v>20887.307279900142</v>
      </c>
      <c r="L2353" s="5">
        <v>17243.440968229323</v>
      </c>
      <c r="M2353" s="5">
        <v>18043.539897080744</v>
      </c>
      <c r="N2353" s="5">
        <v>45581.602064432409</v>
      </c>
      <c r="O2353" s="5">
        <v>16462.170789592048</v>
      </c>
      <c r="P2353" s="5">
        <v>14376.883105731285</v>
      </c>
      <c r="Q2353" s="5">
        <v>12253.299944531094</v>
      </c>
      <c r="R2353" s="5">
        <v>216919.53009911609</v>
      </c>
    </row>
    <row r="2354" spans="9:18">
      <c r="I2354" s="4">
        <v>2339</v>
      </c>
      <c r="J2354" s="5">
        <v>14750.660273177687</v>
      </c>
      <c r="K2354" s="5">
        <v>15487.124352801369</v>
      </c>
      <c r="L2354" s="5">
        <v>18810.091753970282</v>
      </c>
      <c r="M2354" s="5">
        <v>23515.935489506261</v>
      </c>
      <c r="N2354" s="5">
        <v>16418.492928415813</v>
      </c>
      <c r="O2354" s="5">
        <v>9869.5889207969612</v>
      </c>
      <c r="P2354" s="5">
        <v>83536.241167211992</v>
      </c>
      <c r="Q2354" s="5">
        <v>30266.563414010914</v>
      </c>
      <c r="R2354" s="5">
        <v>6360.7905155660001</v>
      </c>
    </row>
    <row r="2355" spans="9:18">
      <c r="I2355" s="4">
        <v>2340</v>
      </c>
      <c r="J2355" s="5">
        <v>16733.020222212988</v>
      </c>
      <c r="K2355" s="5">
        <v>26110.948843472826</v>
      </c>
      <c r="L2355" s="5">
        <v>15126.980926457318</v>
      </c>
      <c r="M2355" s="5">
        <v>11529.920007560097</v>
      </c>
      <c r="N2355" s="5">
        <v>12297.015342318469</v>
      </c>
      <c r="O2355" s="5">
        <v>28431.436490368542</v>
      </c>
      <c r="P2355" s="5">
        <v>55119.366528283317</v>
      </c>
      <c r="Q2355" s="5">
        <v>52545.991451361173</v>
      </c>
      <c r="R2355" s="5">
        <v>7201.7586694681067</v>
      </c>
    </row>
    <row r="2356" spans="9:18">
      <c r="I2356" s="4">
        <v>2341</v>
      </c>
      <c r="J2356" s="5">
        <v>14594.990625703947</v>
      </c>
      <c r="K2356" s="5">
        <v>24728.095385476983</v>
      </c>
      <c r="L2356" s="5">
        <v>14175.160754078657</v>
      </c>
      <c r="M2356" s="5">
        <v>32751.734100446065</v>
      </c>
      <c r="N2356" s="5">
        <v>6130.3882288404347</v>
      </c>
      <c r="O2356" s="5">
        <v>13519.384207850644</v>
      </c>
      <c r="P2356" s="5">
        <v>8877.9712092977989</v>
      </c>
      <c r="Q2356" s="5">
        <v>37277.391668005912</v>
      </c>
      <c r="R2356" s="5">
        <v>29295.938844292672</v>
      </c>
    </row>
    <row r="2357" spans="9:18">
      <c r="I2357" s="4">
        <v>2342</v>
      </c>
      <c r="J2357" s="5">
        <v>16016.491239086423</v>
      </c>
      <c r="K2357" s="5">
        <v>8223.1266007477425</v>
      </c>
      <c r="L2357" s="5">
        <v>11827.803406885578</v>
      </c>
      <c r="M2357" s="5">
        <v>25580.243606220469</v>
      </c>
      <c r="N2357" s="5">
        <v>24314.043643333731</v>
      </c>
      <c r="O2357" s="5">
        <v>36759.655306288936</v>
      </c>
      <c r="P2357" s="5">
        <v>95486.196907583406</v>
      </c>
      <c r="Q2357" s="5">
        <v>9796.0979856104404</v>
      </c>
      <c r="R2357" s="5">
        <v>50287.76786557267</v>
      </c>
    </row>
    <row r="2358" spans="9:18">
      <c r="I2358" s="4">
        <v>2343</v>
      </c>
      <c r="J2358" s="5">
        <v>18650.249281571734</v>
      </c>
      <c r="K2358" s="5">
        <v>53937.689698015136</v>
      </c>
      <c r="L2358" s="5">
        <v>22412.045018675239</v>
      </c>
      <c r="M2358" s="5">
        <v>16500.222621933419</v>
      </c>
      <c r="N2358" s="5">
        <v>13909.728487455486</v>
      </c>
      <c r="O2358" s="5">
        <v>13519.384207850644</v>
      </c>
      <c r="P2358" s="5">
        <v>12992.105410393709</v>
      </c>
      <c r="Q2358" s="5">
        <v>30266.563414010914</v>
      </c>
      <c r="R2358" s="5">
        <v>33290.909836056817</v>
      </c>
    </row>
    <row r="2359" spans="9:18">
      <c r="I2359" s="4">
        <v>2344</v>
      </c>
      <c r="J2359" s="5">
        <v>14594.990625703947</v>
      </c>
      <c r="K2359" s="5">
        <v>20887.307279900142</v>
      </c>
      <c r="L2359" s="5">
        <v>15300.182042823812</v>
      </c>
      <c r="M2359" s="5">
        <v>29834.240613550006</v>
      </c>
      <c r="N2359" s="5">
        <v>34295.124147811541</v>
      </c>
      <c r="O2359" s="5">
        <v>27084.483614751469</v>
      </c>
      <c r="P2359" s="5">
        <v>21039.927746191301</v>
      </c>
      <c r="Q2359" s="5">
        <v>8832.660767995616</v>
      </c>
      <c r="R2359" s="5">
        <v>33290.909836056817</v>
      </c>
    </row>
    <row r="2360" spans="9:18">
      <c r="I2360" s="4">
        <v>2345</v>
      </c>
      <c r="J2360" s="5">
        <v>14076.209333698853</v>
      </c>
      <c r="K2360" s="5">
        <v>9739.7813029644258</v>
      </c>
      <c r="L2360" s="5">
        <v>16071.478531535273</v>
      </c>
      <c r="M2360" s="5">
        <v>13642.678686731051</v>
      </c>
      <c r="N2360" s="5">
        <v>59876.136849941562</v>
      </c>
      <c r="O2360" s="5">
        <v>27068.054847826614</v>
      </c>
      <c r="P2360" s="5">
        <v>38024.168395914428</v>
      </c>
      <c r="Q2360" s="5">
        <v>52545.991451361173</v>
      </c>
      <c r="R2360" s="5">
        <v>87776.138236389699</v>
      </c>
    </row>
    <row r="2361" spans="9:18">
      <c r="I2361" s="4">
        <v>2346</v>
      </c>
      <c r="J2361" s="5">
        <v>29760.443016608337</v>
      </c>
      <c r="K2361" s="5">
        <v>14674.169276244838</v>
      </c>
      <c r="L2361" s="5">
        <v>18810.091753970282</v>
      </c>
      <c r="M2361" s="5">
        <v>11529.920007560097</v>
      </c>
      <c r="N2361" s="5">
        <v>12523.573732460784</v>
      </c>
      <c r="O2361" s="5">
        <v>10270.120415297655</v>
      </c>
      <c r="P2361" s="5">
        <v>74840.036182179319</v>
      </c>
      <c r="Q2361" s="5">
        <v>31618.396253255491</v>
      </c>
      <c r="R2361" s="5">
        <v>90296.353221228885</v>
      </c>
    </row>
    <row r="2362" spans="9:18">
      <c r="I2362" s="4">
        <v>2347</v>
      </c>
      <c r="J2362" s="5">
        <v>11036.461796239426</v>
      </c>
      <c r="K2362" s="5">
        <v>13559.080695844099</v>
      </c>
      <c r="L2362" s="5">
        <v>16071.260291253868</v>
      </c>
      <c r="M2362" s="5">
        <v>20229.919588372999</v>
      </c>
      <c r="N2362" s="5">
        <v>4770.4216775830728</v>
      </c>
      <c r="O2362" s="5">
        <v>12110.196126281628</v>
      </c>
      <c r="P2362" s="5">
        <v>21813.848941464526</v>
      </c>
      <c r="Q2362" s="5">
        <v>6386.5227360487288</v>
      </c>
      <c r="R2362" s="5">
        <v>181970.23111012415</v>
      </c>
    </row>
    <row r="2363" spans="9:18">
      <c r="I2363" s="4">
        <v>2348</v>
      </c>
      <c r="J2363" s="5">
        <v>17005.744061105343</v>
      </c>
      <c r="K2363" s="5">
        <v>12423.491400404893</v>
      </c>
      <c r="L2363" s="5">
        <v>13417.453622029931</v>
      </c>
      <c r="M2363" s="5">
        <v>10142.860128720422</v>
      </c>
      <c r="N2363" s="5">
        <v>19225.139878706803</v>
      </c>
      <c r="O2363" s="5">
        <v>45451.954570113048</v>
      </c>
      <c r="P2363" s="5">
        <v>8662.4232458952465</v>
      </c>
      <c r="Q2363" s="5">
        <v>9796.0979856104404</v>
      </c>
      <c r="R2363" s="5">
        <v>39788.288251916689</v>
      </c>
    </row>
    <row r="2364" spans="9:18">
      <c r="I2364" s="4">
        <v>2349</v>
      </c>
      <c r="J2364" s="5">
        <v>13918.242013140338</v>
      </c>
      <c r="K2364" s="5">
        <v>37822.375317881044</v>
      </c>
      <c r="L2364" s="5">
        <v>15161.007794371622</v>
      </c>
      <c r="M2364" s="5">
        <v>19042.78605337895</v>
      </c>
      <c r="N2364" s="5">
        <v>21933.097106966918</v>
      </c>
      <c r="O2364" s="5">
        <v>25802.481365323994</v>
      </c>
      <c r="P2364" s="5">
        <v>3930.0915591834291</v>
      </c>
      <c r="Q2364" s="5">
        <v>64585.328088516922</v>
      </c>
      <c r="R2364" s="5">
        <v>216919.53009911609</v>
      </c>
    </row>
    <row r="2365" spans="9:18">
      <c r="I2365" s="4">
        <v>2350</v>
      </c>
      <c r="J2365" s="5">
        <v>20768.286261788198</v>
      </c>
      <c r="K2365" s="5">
        <v>32073.547537933715</v>
      </c>
      <c r="L2365" s="5">
        <v>17243.440968229323</v>
      </c>
      <c r="M2365" s="5">
        <v>21272.00214469912</v>
      </c>
      <c r="N2365" s="5">
        <v>42744.618431291936</v>
      </c>
      <c r="O2365" s="5">
        <v>16826.763259351828</v>
      </c>
      <c r="P2365" s="5">
        <v>27708.613526855763</v>
      </c>
      <c r="Q2365" s="5">
        <v>25156.033327562815</v>
      </c>
      <c r="R2365" s="5">
        <v>30571.564004538617</v>
      </c>
    </row>
    <row r="2366" spans="9:18">
      <c r="I2366" s="4">
        <v>2351</v>
      </c>
      <c r="J2366" s="5">
        <v>14960.076233580705</v>
      </c>
      <c r="K2366" s="5">
        <v>23543.914024953676</v>
      </c>
      <c r="L2366" s="5">
        <v>14146.191653372813</v>
      </c>
      <c r="M2366" s="5">
        <v>10111.451009425113</v>
      </c>
      <c r="N2366" s="5">
        <v>11635.644856128632</v>
      </c>
      <c r="O2366" s="5">
        <v>59207.798737851255</v>
      </c>
      <c r="P2366" s="5">
        <v>33500.490132682797</v>
      </c>
      <c r="Q2366" s="5">
        <v>116445.46783345108</v>
      </c>
      <c r="R2366" s="5">
        <v>1535.701520095213</v>
      </c>
    </row>
    <row r="2367" spans="9:18">
      <c r="I2367" s="4">
        <v>2352</v>
      </c>
      <c r="J2367" s="5">
        <v>14594.990625703947</v>
      </c>
      <c r="K2367" s="5">
        <v>15129.619337591721</v>
      </c>
      <c r="L2367" s="5">
        <v>15060.431658965737</v>
      </c>
      <c r="M2367" s="5">
        <v>32497.510405113037</v>
      </c>
      <c r="N2367" s="5">
        <v>11952.903761138405</v>
      </c>
      <c r="O2367" s="5">
        <v>66253.993323243907</v>
      </c>
      <c r="P2367" s="5">
        <v>44816.412248582856</v>
      </c>
      <c r="Q2367" s="5">
        <v>8502.450657922871</v>
      </c>
      <c r="R2367" s="5">
        <v>7394.6358885760465</v>
      </c>
    </row>
    <row r="2368" spans="9:18">
      <c r="I2368" s="4">
        <v>2353</v>
      </c>
      <c r="J2368" s="5">
        <v>14749.343145806102</v>
      </c>
      <c r="K2368" s="5">
        <v>34058.671324159091</v>
      </c>
      <c r="L2368" s="5">
        <v>14175.160754078657</v>
      </c>
      <c r="M2368" s="5">
        <v>21712.71007234112</v>
      </c>
      <c r="N2368" s="5">
        <v>15130.853682762778</v>
      </c>
      <c r="O2368" s="5">
        <v>26565.882515615398</v>
      </c>
      <c r="P2368" s="5">
        <v>54292.749740228588</v>
      </c>
      <c r="Q2368" s="5">
        <v>148345.62878828164</v>
      </c>
      <c r="R2368" s="5">
        <v>5865.9802599669383</v>
      </c>
    </row>
    <row r="2369" spans="9:18">
      <c r="I2369" s="4">
        <v>2354</v>
      </c>
      <c r="J2369" s="5">
        <v>45301.532027110363</v>
      </c>
      <c r="K2369" s="5">
        <v>16605.655749562578</v>
      </c>
      <c r="L2369" s="5">
        <v>23561.450544884348</v>
      </c>
      <c r="M2369" s="5">
        <v>41403.687663920646</v>
      </c>
      <c r="N2369" s="5">
        <v>27833.630848857778</v>
      </c>
      <c r="O2369" s="5">
        <v>59207.798737851255</v>
      </c>
      <c r="P2369" s="5">
        <v>26126.807131356076</v>
      </c>
      <c r="Q2369" s="5">
        <v>4631.7430487757983</v>
      </c>
      <c r="R2369" s="5">
        <v>2180.6148629084787</v>
      </c>
    </row>
    <row r="2370" spans="9:18">
      <c r="I2370" s="4">
        <v>2355</v>
      </c>
      <c r="J2370" s="5">
        <v>16511.332839561353</v>
      </c>
      <c r="K2370" s="5">
        <v>12423.491400404893</v>
      </c>
      <c r="L2370" s="5">
        <v>13622.976145621742</v>
      </c>
      <c r="M2370" s="5">
        <v>15202.972920708273</v>
      </c>
      <c r="N2370" s="5">
        <v>8555.1229659096207</v>
      </c>
      <c r="O2370" s="5">
        <v>20930.098352661731</v>
      </c>
      <c r="P2370" s="5">
        <v>9965.8330787532959</v>
      </c>
      <c r="Q2370" s="5">
        <v>30495.121067047665</v>
      </c>
      <c r="R2370" s="5">
        <v>41418.225609677866</v>
      </c>
    </row>
    <row r="2371" spans="9:18">
      <c r="I2371" s="4">
        <v>2356</v>
      </c>
      <c r="J2371" s="5">
        <v>16733.020222212988</v>
      </c>
      <c r="K2371" s="5">
        <v>32073.547537933715</v>
      </c>
      <c r="L2371" s="5">
        <v>14649.721476864312</v>
      </c>
      <c r="M2371" s="5">
        <v>7334.8610818348589</v>
      </c>
      <c r="N2371" s="5">
        <v>12523.573732460784</v>
      </c>
      <c r="O2371" s="5">
        <v>27062.73412298776</v>
      </c>
      <c r="P2371" s="5">
        <v>32155.527541400057</v>
      </c>
      <c r="Q2371" s="5">
        <v>27789.973552634947</v>
      </c>
      <c r="R2371" s="5">
        <v>44707.053087992797</v>
      </c>
    </row>
    <row r="2372" spans="9:18">
      <c r="I2372" s="4">
        <v>2357</v>
      </c>
      <c r="J2372" s="5">
        <v>31053.540961463306</v>
      </c>
      <c r="K2372" s="5">
        <v>21958.925144875713</v>
      </c>
      <c r="L2372" s="5">
        <v>16071.478531535273</v>
      </c>
      <c r="M2372" s="5">
        <v>19433.64679949253</v>
      </c>
      <c r="N2372" s="5">
        <v>45581.602064432409</v>
      </c>
      <c r="O2372" s="5">
        <v>27084.483614751469</v>
      </c>
      <c r="P2372" s="5">
        <v>27373.102585108634</v>
      </c>
      <c r="Q2372" s="5">
        <v>68168.482468129529</v>
      </c>
      <c r="R2372" s="5">
        <v>76851.431017396084</v>
      </c>
    </row>
    <row r="2373" spans="9:18">
      <c r="I2373" s="4">
        <v>2358</v>
      </c>
      <c r="J2373" s="5">
        <v>28085.9245102444</v>
      </c>
      <c r="K2373" s="5">
        <v>14351.415257675473</v>
      </c>
      <c r="L2373" s="5">
        <v>16071.478531535273</v>
      </c>
      <c r="M2373" s="5">
        <v>22815.60259636537</v>
      </c>
      <c r="N2373" s="5">
        <v>39672.376281023731</v>
      </c>
      <c r="O2373" s="5">
        <v>36759.655306288936</v>
      </c>
      <c r="P2373" s="5">
        <v>10733.318076105543</v>
      </c>
      <c r="Q2373" s="5">
        <v>70295.978314632754</v>
      </c>
      <c r="R2373" s="5">
        <v>34970.397641695177</v>
      </c>
    </row>
    <row r="2374" spans="9:18">
      <c r="I2374" s="4">
        <v>2359</v>
      </c>
      <c r="J2374" s="5">
        <v>20768.286261788198</v>
      </c>
      <c r="K2374" s="5">
        <v>26110.948843472826</v>
      </c>
      <c r="L2374" s="5">
        <v>15471.738323660695</v>
      </c>
      <c r="M2374" s="5">
        <v>29834.240613550006</v>
      </c>
      <c r="N2374" s="5">
        <v>20718.434293991453</v>
      </c>
      <c r="O2374" s="5">
        <v>53504.725169095313</v>
      </c>
      <c r="P2374" s="5">
        <v>44646.134934589521</v>
      </c>
      <c r="Q2374" s="5">
        <v>37802.358878968138</v>
      </c>
      <c r="R2374" s="5">
        <v>9913.4206865238284</v>
      </c>
    </row>
    <row r="2375" spans="9:18">
      <c r="I2375" s="4">
        <v>2360</v>
      </c>
      <c r="J2375" s="5">
        <v>14594.990625703947</v>
      </c>
      <c r="K2375" s="5">
        <v>13288.692555879701</v>
      </c>
      <c r="L2375" s="5">
        <v>15764.107424863063</v>
      </c>
      <c r="M2375" s="5">
        <v>19042.78605337895</v>
      </c>
      <c r="N2375" s="5">
        <v>24020.875410266352</v>
      </c>
      <c r="O2375" s="5">
        <v>31172.963108652857</v>
      </c>
      <c r="P2375" s="5">
        <v>16650.229067545235</v>
      </c>
      <c r="Q2375" s="5">
        <v>6386.5227360487288</v>
      </c>
      <c r="R2375" s="5">
        <v>55106.806585409526</v>
      </c>
    </row>
    <row r="2376" spans="9:18">
      <c r="I2376" s="4">
        <v>2361</v>
      </c>
      <c r="J2376" s="5">
        <v>18650.249281571734</v>
      </c>
      <c r="K2376" s="5">
        <v>16952.949313901812</v>
      </c>
      <c r="L2376" s="5">
        <v>14691.846656953887</v>
      </c>
      <c r="M2376" s="5">
        <v>13414.385151739983</v>
      </c>
      <c r="N2376" s="5">
        <v>26115.05281128412</v>
      </c>
      <c r="O2376" s="5">
        <v>79848.944504816522</v>
      </c>
      <c r="P2376" s="5">
        <v>29283.825979394511</v>
      </c>
      <c r="Q2376" s="5">
        <v>12451.066014448154</v>
      </c>
      <c r="R2376" s="5">
        <v>26783.439354489365</v>
      </c>
    </row>
    <row r="2377" spans="9:18">
      <c r="I2377" s="4">
        <v>2362</v>
      </c>
      <c r="J2377" s="5">
        <v>17592.832480262863</v>
      </c>
      <c r="K2377" s="5">
        <v>26110.948843472826</v>
      </c>
      <c r="L2377" s="5">
        <v>14691.846656953887</v>
      </c>
      <c r="M2377" s="5">
        <v>12426.949970383979</v>
      </c>
      <c r="N2377" s="5">
        <v>15804.474686449519</v>
      </c>
      <c r="O2377" s="5">
        <v>20991.103410982985</v>
      </c>
      <c r="P2377" s="5">
        <v>63015.124693769802</v>
      </c>
      <c r="Q2377" s="5">
        <v>25156.033327562815</v>
      </c>
      <c r="R2377" s="5">
        <v>7879.038918914337</v>
      </c>
    </row>
    <row r="2378" spans="9:18">
      <c r="I2378" s="4">
        <v>2363</v>
      </c>
      <c r="J2378" s="5">
        <v>13391.049101507895</v>
      </c>
      <c r="K2378" s="5">
        <v>10931.803935361211</v>
      </c>
      <c r="L2378" s="5">
        <v>23561.450544884348</v>
      </c>
      <c r="M2378" s="5">
        <v>10451.914120098167</v>
      </c>
      <c r="N2378" s="5">
        <v>21617.945168312468</v>
      </c>
      <c r="O2378" s="5">
        <v>10746.295275180995</v>
      </c>
      <c r="P2378" s="5">
        <v>20391.123772341358</v>
      </c>
      <c r="Q2378" s="5">
        <v>3909.239690544402</v>
      </c>
      <c r="R2378" s="5">
        <v>20303.08745527079</v>
      </c>
    </row>
    <row r="2379" spans="9:18">
      <c r="I2379" s="4">
        <v>2364</v>
      </c>
      <c r="J2379" s="5">
        <v>9368.8270679249108</v>
      </c>
      <c r="K2379" s="5">
        <v>16273.14570113692</v>
      </c>
      <c r="L2379" s="5">
        <v>16577.562442697115</v>
      </c>
      <c r="M2379" s="5">
        <v>21072.983263501868</v>
      </c>
      <c r="N2379" s="5">
        <v>26565.664379767408</v>
      </c>
      <c r="O2379" s="5">
        <v>83458.030763693328</v>
      </c>
      <c r="P2379" s="5">
        <v>25258.981945036445</v>
      </c>
      <c r="Q2379" s="5">
        <v>37802.358878968138</v>
      </c>
      <c r="R2379" s="5">
        <v>19133.693426869788</v>
      </c>
    </row>
    <row r="2380" spans="9:18">
      <c r="I2380" s="4">
        <v>2365</v>
      </c>
      <c r="J2380" s="5">
        <v>16145.071869702888</v>
      </c>
      <c r="K2380" s="5">
        <v>15391.837334808681</v>
      </c>
      <c r="L2380" s="5">
        <v>15746.942257105531</v>
      </c>
      <c r="M2380" s="5">
        <v>41403.687663920646</v>
      </c>
      <c r="N2380" s="5">
        <v>48565.498233359976</v>
      </c>
      <c r="O2380" s="5">
        <v>36759.655306288936</v>
      </c>
      <c r="P2380" s="5">
        <v>20403.656304140692</v>
      </c>
      <c r="Q2380" s="5">
        <v>22145.301831504508</v>
      </c>
      <c r="R2380" s="5">
        <v>19133.693426869788</v>
      </c>
    </row>
    <row r="2381" spans="9:18">
      <c r="I2381" s="4">
        <v>2366</v>
      </c>
      <c r="J2381" s="5">
        <v>7855.2948890116513</v>
      </c>
      <c r="K2381" s="5">
        <v>9769.3659785458403</v>
      </c>
      <c r="L2381" s="5">
        <v>25007.552172398639</v>
      </c>
      <c r="M2381" s="5">
        <v>32497.510405113037</v>
      </c>
      <c r="N2381" s="5">
        <v>23043.345403059295</v>
      </c>
      <c r="O2381" s="5">
        <v>19492.655596593511</v>
      </c>
      <c r="P2381" s="5">
        <v>28537.545734403488</v>
      </c>
      <c r="Q2381" s="5">
        <v>28797.29222718185</v>
      </c>
      <c r="R2381" s="5">
        <v>8046.7106309763258</v>
      </c>
    </row>
    <row r="2382" spans="9:18">
      <c r="I2382" s="4">
        <v>2367</v>
      </c>
      <c r="J2382" s="5">
        <v>15623.733864199699</v>
      </c>
      <c r="K2382" s="5">
        <v>20887.307279900142</v>
      </c>
      <c r="L2382" s="5">
        <v>14649.721476864312</v>
      </c>
      <c r="M2382" s="5">
        <v>31554.722481137964</v>
      </c>
      <c r="N2382" s="5">
        <v>21909.120225822895</v>
      </c>
      <c r="O2382" s="5">
        <v>27068.054847826614</v>
      </c>
      <c r="P2382" s="5">
        <v>28537.545734403488</v>
      </c>
      <c r="Q2382" s="5">
        <v>48866.209623168346</v>
      </c>
      <c r="R2382" s="5">
        <v>182942.88598316166</v>
      </c>
    </row>
    <row r="2383" spans="9:18">
      <c r="I2383" s="4">
        <v>2368</v>
      </c>
      <c r="J2383" s="5">
        <v>22188.291830993156</v>
      </c>
      <c r="K2383" s="5">
        <v>29672.680843304515</v>
      </c>
      <c r="L2383" s="5">
        <v>21428.663623484812</v>
      </c>
      <c r="M2383" s="5">
        <v>17116.951435661951</v>
      </c>
      <c r="N2383" s="5">
        <v>12592.300437162297</v>
      </c>
      <c r="O2383" s="5">
        <v>83458.030763693328</v>
      </c>
      <c r="P2383" s="5">
        <v>20403.656304140692</v>
      </c>
      <c r="Q2383" s="5">
        <v>10151.908492905288</v>
      </c>
      <c r="R2383" s="5">
        <v>39263.770877572199</v>
      </c>
    </row>
    <row r="2384" spans="9:18">
      <c r="I2384" s="4">
        <v>2369</v>
      </c>
      <c r="J2384" s="5">
        <v>11843.28062342474</v>
      </c>
      <c r="K2384" s="5">
        <v>15051.330276415061</v>
      </c>
      <c r="L2384" s="5">
        <v>13023.361770761438</v>
      </c>
      <c r="M2384" s="5">
        <v>21712.71007234112</v>
      </c>
      <c r="N2384" s="5">
        <v>23746.795665493762</v>
      </c>
      <c r="O2384" s="5">
        <v>10369.402667058452</v>
      </c>
      <c r="P2384" s="5">
        <v>38771.994792132391</v>
      </c>
      <c r="Q2384" s="5">
        <v>17234.335939857254</v>
      </c>
      <c r="R2384" s="5">
        <v>86510.608303273053</v>
      </c>
    </row>
    <row r="2385" spans="9:18">
      <c r="I2385" s="4">
        <v>2370</v>
      </c>
      <c r="J2385" s="5">
        <v>14671.176405938595</v>
      </c>
      <c r="K2385" s="5">
        <v>95171.967522309933</v>
      </c>
      <c r="L2385" s="5">
        <v>16955.349467865559</v>
      </c>
      <c r="M2385" s="5">
        <v>16510.442870615672</v>
      </c>
      <c r="N2385" s="5">
        <v>24020.875410266352</v>
      </c>
      <c r="O2385" s="5">
        <v>45451.954570113048</v>
      </c>
      <c r="P2385" s="5">
        <v>16574.429708560569</v>
      </c>
      <c r="Q2385" s="5">
        <v>52545.991451361173</v>
      </c>
      <c r="R2385" s="5">
        <v>3311.4906988006405</v>
      </c>
    </row>
    <row r="2386" spans="9:18">
      <c r="I2386" s="4">
        <v>2371</v>
      </c>
      <c r="J2386" s="5">
        <v>15130.594750069789</v>
      </c>
      <c r="K2386" s="5">
        <v>13559.080695844099</v>
      </c>
      <c r="L2386" s="5">
        <v>11827.803406885578</v>
      </c>
      <c r="M2386" s="5">
        <v>25580.243606220469</v>
      </c>
      <c r="N2386" s="5">
        <v>12592.300437162297</v>
      </c>
      <c r="O2386" s="5">
        <v>16572.483389649329</v>
      </c>
      <c r="P2386" s="5">
        <v>10180.109839011631</v>
      </c>
      <c r="Q2386" s="5">
        <v>19315.033835554255</v>
      </c>
      <c r="R2386" s="5">
        <v>8720.6503563381029</v>
      </c>
    </row>
    <row r="2387" spans="9:18">
      <c r="I2387" s="4">
        <v>2372</v>
      </c>
      <c r="J2387" s="5">
        <v>20768.286261788198</v>
      </c>
      <c r="K2387" s="5">
        <v>12777.667398488715</v>
      </c>
      <c r="L2387" s="5">
        <v>16577.562442697115</v>
      </c>
      <c r="M2387" s="5">
        <v>23449.501569180404</v>
      </c>
      <c r="N2387" s="5">
        <v>27833.630848857778</v>
      </c>
      <c r="O2387" s="5">
        <v>18637.945795127704</v>
      </c>
      <c r="P2387" s="5">
        <v>10733.318076105543</v>
      </c>
      <c r="Q2387" s="5">
        <v>7457.1844090365566</v>
      </c>
      <c r="R2387" s="5">
        <v>181970.23111012415</v>
      </c>
    </row>
    <row r="2388" spans="9:18">
      <c r="I2388" s="4">
        <v>2373</v>
      </c>
      <c r="J2388" s="5">
        <v>14741.240040396578</v>
      </c>
      <c r="K2388" s="5">
        <v>16132.555399908759</v>
      </c>
      <c r="L2388" s="5">
        <v>15923.549351835489</v>
      </c>
      <c r="M2388" s="5">
        <v>6367.5407465007311</v>
      </c>
      <c r="N2388" s="5">
        <v>37309.151967087455</v>
      </c>
      <c r="O2388" s="5">
        <v>21930.527973988665</v>
      </c>
      <c r="P2388" s="5">
        <v>27452.975716953504</v>
      </c>
      <c r="Q2388" s="5">
        <v>16591.881190929333</v>
      </c>
      <c r="R2388" s="5">
        <v>39788.288251916689</v>
      </c>
    </row>
    <row r="2389" spans="9:18">
      <c r="I2389" s="4">
        <v>2374</v>
      </c>
      <c r="J2389" s="5">
        <v>16544.73779470181</v>
      </c>
      <c r="K2389" s="5">
        <v>15129.619337591721</v>
      </c>
      <c r="L2389" s="5">
        <v>16955.349467865559</v>
      </c>
      <c r="M2389" s="5">
        <v>12934.591863415189</v>
      </c>
      <c r="N2389" s="5">
        <v>24314.043643333731</v>
      </c>
      <c r="O2389" s="5">
        <v>26565.882515615398</v>
      </c>
      <c r="P2389" s="5">
        <v>6275.8915673055426</v>
      </c>
      <c r="Q2389" s="5">
        <v>4631.7430487757983</v>
      </c>
      <c r="R2389" s="5">
        <v>51141.799458534304</v>
      </c>
    </row>
    <row r="2390" spans="9:18">
      <c r="I2390" s="4">
        <v>2375</v>
      </c>
      <c r="J2390" s="5">
        <v>27392.038553726634</v>
      </c>
      <c r="K2390" s="5">
        <v>8124.7965732661823</v>
      </c>
      <c r="L2390" s="5">
        <v>15300.182042823812</v>
      </c>
      <c r="M2390" s="5">
        <v>12987.517521908694</v>
      </c>
      <c r="N2390" s="5">
        <v>23998.040874392525</v>
      </c>
      <c r="O2390" s="5">
        <v>16505.600261180331</v>
      </c>
      <c r="P2390" s="5">
        <v>9826.8369575407578</v>
      </c>
      <c r="Q2390" s="5">
        <v>17234.335939857254</v>
      </c>
      <c r="R2390" s="5">
        <v>6681.1887184356683</v>
      </c>
    </row>
    <row r="2391" spans="9:18">
      <c r="I2391" s="4">
        <v>2376</v>
      </c>
      <c r="J2391" s="5">
        <v>22812.564910649318</v>
      </c>
      <c r="K2391" s="5">
        <v>15129.619337591721</v>
      </c>
      <c r="L2391" s="5">
        <v>25007.552172398639</v>
      </c>
      <c r="M2391" s="5">
        <v>16500.222621933419</v>
      </c>
      <c r="N2391" s="5">
        <v>41563.89847100406</v>
      </c>
      <c r="O2391" s="5">
        <v>24369.28567093279</v>
      </c>
      <c r="P2391" s="5">
        <v>20391.123772341358</v>
      </c>
      <c r="Q2391" s="5">
        <v>28078.365156847896</v>
      </c>
      <c r="R2391" s="5">
        <v>93933.045103013996</v>
      </c>
    </row>
    <row r="2392" spans="9:18">
      <c r="I2392" s="4">
        <v>2377</v>
      </c>
      <c r="J2392" s="5">
        <v>12701.339251949787</v>
      </c>
      <c r="K2392" s="5">
        <v>6949.5708823216592</v>
      </c>
      <c r="L2392" s="5">
        <v>16014.071850041886</v>
      </c>
      <c r="M2392" s="5">
        <v>32497.510405113037</v>
      </c>
      <c r="N2392" s="5">
        <v>11251.634703629026</v>
      </c>
      <c r="O2392" s="5">
        <v>59207.798737851255</v>
      </c>
      <c r="P2392" s="5">
        <v>8069.5385577067918</v>
      </c>
      <c r="Q2392" s="5">
        <v>20987.925664394581</v>
      </c>
      <c r="R2392" s="5">
        <v>39788.288251916689</v>
      </c>
    </row>
    <row r="2393" spans="9:18">
      <c r="I2393" s="4">
        <v>2378</v>
      </c>
      <c r="J2393" s="5">
        <v>14671.176405938595</v>
      </c>
      <c r="K2393" s="5">
        <v>61827.107730316675</v>
      </c>
      <c r="L2393" s="5">
        <v>13358.459356674217</v>
      </c>
      <c r="M2393" s="5">
        <v>42282.977640783138</v>
      </c>
      <c r="N2393" s="5">
        <v>15658.063692994532</v>
      </c>
      <c r="O2393" s="5">
        <v>16505.600261180331</v>
      </c>
      <c r="P2393" s="5">
        <v>5735.6883097179207</v>
      </c>
      <c r="Q2393" s="5">
        <v>20883.852062640355</v>
      </c>
      <c r="R2393" s="5">
        <v>55012.315589742022</v>
      </c>
    </row>
    <row r="2394" spans="9:18">
      <c r="I2394" s="4">
        <v>2379</v>
      </c>
      <c r="J2394" s="5">
        <v>14671.176405938595</v>
      </c>
      <c r="K2394" s="5">
        <v>9739.7813029644258</v>
      </c>
      <c r="L2394" s="5">
        <v>15664.99858445921</v>
      </c>
      <c r="M2394" s="5">
        <v>29058.117767351498</v>
      </c>
      <c r="N2394" s="5">
        <v>20583.564383988036</v>
      </c>
      <c r="O2394" s="5">
        <v>14371.728352806511</v>
      </c>
      <c r="P2394" s="5">
        <v>22601.57564624758</v>
      </c>
      <c r="Q2394" s="5">
        <v>9652.8114206999071</v>
      </c>
      <c r="R2394" s="5">
        <v>24831.679362998926</v>
      </c>
    </row>
    <row r="2395" spans="9:18">
      <c r="I2395" s="4">
        <v>2380</v>
      </c>
      <c r="J2395" s="5">
        <v>12452.764985867625</v>
      </c>
      <c r="K2395" s="5">
        <v>14136.873097602549</v>
      </c>
      <c r="L2395" s="5">
        <v>15487.970507365942</v>
      </c>
      <c r="M2395" s="5">
        <v>12987.517521908694</v>
      </c>
      <c r="N2395" s="5">
        <v>8555.1229659096207</v>
      </c>
      <c r="O2395" s="5">
        <v>24247.516962783076</v>
      </c>
      <c r="P2395" s="5">
        <v>41657.50350099193</v>
      </c>
      <c r="Q2395" s="5">
        <v>7349.2234634219121</v>
      </c>
      <c r="R2395" s="5">
        <v>62674.060343500474</v>
      </c>
    </row>
    <row r="2396" spans="9:18">
      <c r="I2396" s="4">
        <v>2381</v>
      </c>
      <c r="J2396" s="5">
        <v>16544.73779470181</v>
      </c>
      <c r="K2396" s="5">
        <v>14021.934268028277</v>
      </c>
      <c r="L2396" s="5">
        <v>10752.183901283248</v>
      </c>
      <c r="M2396" s="5">
        <v>32751.734100446065</v>
      </c>
      <c r="N2396" s="5">
        <v>23998.040874392525</v>
      </c>
      <c r="O2396" s="5">
        <v>8801.3667015774663</v>
      </c>
      <c r="P2396" s="5">
        <v>20391.123772341358</v>
      </c>
      <c r="Q2396" s="5">
        <v>15663.43865741136</v>
      </c>
      <c r="R2396" s="5">
        <v>8720.6503563381029</v>
      </c>
    </row>
    <row r="2397" spans="9:18">
      <c r="I2397" s="4">
        <v>2382</v>
      </c>
      <c r="J2397" s="5">
        <v>12035.382213755307</v>
      </c>
      <c r="K2397" s="5">
        <v>14587.813833513306</v>
      </c>
      <c r="L2397" s="5">
        <v>11827.803406885578</v>
      </c>
      <c r="M2397" s="5">
        <v>22815.60259636537</v>
      </c>
      <c r="N2397" s="5">
        <v>13511.694619545402</v>
      </c>
      <c r="O2397" s="5">
        <v>49114.195066822271</v>
      </c>
      <c r="P2397" s="5">
        <v>29283.825979394511</v>
      </c>
      <c r="Q2397" s="5">
        <v>54060.5331097772</v>
      </c>
      <c r="R2397" s="5">
        <v>17991.870496434763</v>
      </c>
    </row>
    <row r="2398" spans="9:18">
      <c r="I2398" s="4">
        <v>2383</v>
      </c>
      <c r="J2398" s="5">
        <v>12452.764985867625</v>
      </c>
      <c r="K2398" s="5">
        <v>34058.671324159091</v>
      </c>
      <c r="L2398" s="5">
        <v>15126.980926457318</v>
      </c>
      <c r="M2398" s="5">
        <v>21913.431401527439</v>
      </c>
      <c r="N2398" s="5">
        <v>15251.140047572881</v>
      </c>
      <c r="O2398" s="5">
        <v>36759.655306288936</v>
      </c>
      <c r="P2398" s="5">
        <v>35569.894390728325</v>
      </c>
      <c r="Q2398" s="5">
        <v>92068.726035424203</v>
      </c>
      <c r="R2398" s="5">
        <v>26783.439354489365</v>
      </c>
    </row>
    <row r="2399" spans="9:18">
      <c r="I2399" s="4">
        <v>2384</v>
      </c>
      <c r="J2399" s="5">
        <v>16511.332839561353</v>
      </c>
      <c r="K2399" s="5">
        <v>26110.948843472826</v>
      </c>
      <c r="L2399" s="5">
        <v>16071.260291253868</v>
      </c>
      <c r="M2399" s="5">
        <v>15202.972920708273</v>
      </c>
      <c r="N2399" s="5">
        <v>20718.434293991453</v>
      </c>
      <c r="O2399" s="5">
        <v>42492.261063288854</v>
      </c>
      <c r="P2399" s="5">
        <v>21813.848941464526</v>
      </c>
      <c r="Q2399" s="5">
        <v>31974.553851773013</v>
      </c>
      <c r="R2399" s="5">
        <v>18720.450716365784</v>
      </c>
    </row>
    <row r="2400" spans="9:18">
      <c r="I2400" s="4">
        <v>2385</v>
      </c>
      <c r="J2400" s="5">
        <v>31053.540961463306</v>
      </c>
      <c r="K2400" s="5">
        <v>53937.689698015136</v>
      </c>
      <c r="L2400" s="5">
        <v>15126.980926457318</v>
      </c>
      <c r="M2400" s="5">
        <v>7334.8610818348589</v>
      </c>
      <c r="N2400" s="5">
        <v>34295.124147811541</v>
      </c>
      <c r="O2400" s="5">
        <v>10746.295275180995</v>
      </c>
      <c r="P2400" s="5">
        <v>32167.874670939738</v>
      </c>
      <c r="Q2400" s="5">
        <v>53055.59182561023</v>
      </c>
      <c r="R2400" s="5">
        <v>91403.228438796665</v>
      </c>
    </row>
    <row r="2401" spans="9:18">
      <c r="I2401" s="4">
        <v>2386</v>
      </c>
      <c r="J2401" s="5">
        <v>14710.037865351254</v>
      </c>
      <c r="K2401" s="5">
        <v>16199.334613834633</v>
      </c>
      <c r="L2401" s="5">
        <v>16071.478531535273</v>
      </c>
      <c r="M2401" s="5">
        <v>19433.64679949253</v>
      </c>
      <c r="N2401" s="5">
        <v>13909.728487455486</v>
      </c>
      <c r="O2401" s="5">
        <v>27062.73412298776</v>
      </c>
      <c r="P2401" s="5">
        <v>14773.185437294762</v>
      </c>
      <c r="Q2401" s="5">
        <v>31855.809428519857</v>
      </c>
      <c r="R2401" s="5">
        <v>54594.567438884274</v>
      </c>
    </row>
    <row r="2402" spans="9:18">
      <c r="I2402" s="4">
        <v>2387</v>
      </c>
      <c r="J2402" s="5">
        <v>13447.638004246244</v>
      </c>
      <c r="K2402" s="5">
        <v>14095.75230105142</v>
      </c>
      <c r="L2402" s="5">
        <v>13023.361770761438</v>
      </c>
      <c r="M2402" s="5">
        <v>32497.510405113037</v>
      </c>
      <c r="N2402" s="5">
        <v>41563.89847100406</v>
      </c>
      <c r="O2402" s="5">
        <v>16462.170789592048</v>
      </c>
      <c r="P2402" s="5">
        <v>5735.6883097179207</v>
      </c>
      <c r="Q2402" s="5">
        <v>22895.455950885695</v>
      </c>
      <c r="R2402" s="5">
        <v>72561.496699005787</v>
      </c>
    </row>
    <row r="2403" spans="9:18">
      <c r="I2403" s="4">
        <v>2388</v>
      </c>
      <c r="J2403" s="5">
        <v>18650.249281571734</v>
      </c>
      <c r="K2403" s="5">
        <v>16273.14570113692</v>
      </c>
      <c r="L2403" s="5">
        <v>14146.191653372813</v>
      </c>
      <c r="M2403" s="5">
        <v>11860.862376247747</v>
      </c>
      <c r="N2403" s="5">
        <v>26152.705108198839</v>
      </c>
      <c r="O2403" s="5">
        <v>4231.3144655921506</v>
      </c>
      <c r="P2403" s="5">
        <v>9965.8330787532959</v>
      </c>
      <c r="Q2403" s="5">
        <v>73941.636731325911</v>
      </c>
      <c r="R2403" s="5">
        <v>18720.450716365784</v>
      </c>
    </row>
    <row r="2404" spans="9:18">
      <c r="I2404" s="4">
        <v>2389</v>
      </c>
      <c r="J2404" s="5">
        <v>12701.339251949787</v>
      </c>
      <c r="K2404" s="5">
        <v>12423.491400404893</v>
      </c>
      <c r="L2404" s="5">
        <v>18810.091753970282</v>
      </c>
      <c r="M2404" s="5">
        <v>21072.983263501868</v>
      </c>
      <c r="N2404" s="5">
        <v>42744.618431291936</v>
      </c>
      <c r="O2404" s="5">
        <v>32474.063027682765</v>
      </c>
      <c r="P2404" s="5">
        <v>17737.38315098183</v>
      </c>
      <c r="Q2404" s="5">
        <v>148345.62878828164</v>
      </c>
      <c r="R2404" s="5">
        <v>33290.909836056817</v>
      </c>
    </row>
    <row r="2405" spans="9:18">
      <c r="I2405" s="4">
        <v>2390</v>
      </c>
      <c r="J2405" s="5">
        <v>16733.020222212988</v>
      </c>
      <c r="K2405" s="5">
        <v>10931.803935361211</v>
      </c>
      <c r="L2405" s="5">
        <v>13358.459356674217</v>
      </c>
      <c r="M2405" s="5">
        <v>21332.072353846772</v>
      </c>
      <c r="N2405" s="5">
        <v>23008.246229813707</v>
      </c>
      <c r="O2405" s="5">
        <v>31172.963108652857</v>
      </c>
      <c r="P2405" s="5">
        <v>5836.7810663002319</v>
      </c>
      <c r="Q2405" s="5">
        <v>17153.530968450712</v>
      </c>
      <c r="R2405" s="5">
        <v>44707.053087992797</v>
      </c>
    </row>
    <row r="2406" spans="9:18">
      <c r="I2406" s="4">
        <v>2391</v>
      </c>
      <c r="J2406" s="5">
        <v>73074.062486361407</v>
      </c>
      <c r="K2406" s="5">
        <v>16132.555399908759</v>
      </c>
      <c r="L2406" s="5">
        <v>15471.738323660695</v>
      </c>
      <c r="M2406" s="5">
        <v>12987.517521908694</v>
      </c>
      <c r="N2406" s="5">
        <v>12523.573732460784</v>
      </c>
      <c r="O2406" s="5">
        <v>66253.993323243907</v>
      </c>
      <c r="P2406" s="5">
        <v>12639.596794453437</v>
      </c>
      <c r="Q2406" s="5">
        <v>37497.234505125656</v>
      </c>
      <c r="R2406" s="5">
        <v>20303.08745527079</v>
      </c>
    </row>
    <row r="2407" spans="9:18">
      <c r="I2407" s="4">
        <v>2392</v>
      </c>
      <c r="J2407" s="5">
        <v>20768.286261788198</v>
      </c>
      <c r="K2407" s="5">
        <v>53937.689698015136</v>
      </c>
      <c r="L2407" s="5">
        <v>13867.07093008449</v>
      </c>
      <c r="M2407" s="5">
        <v>23908.621352410395</v>
      </c>
      <c r="N2407" s="5">
        <v>59876.136849941562</v>
      </c>
      <c r="O2407" s="5">
        <v>20721.57544042755</v>
      </c>
      <c r="P2407" s="5">
        <v>34768.042801665702</v>
      </c>
      <c r="Q2407" s="5">
        <v>9796.0979856104404</v>
      </c>
      <c r="R2407" s="5">
        <v>30571.564004538617</v>
      </c>
    </row>
    <row r="2408" spans="9:18">
      <c r="I2408" s="4">
        <v>2393</v>
      </c>
      <c r="J2408" s="5">
        <v>14594.990625703947</v>
      </c>
      <c r="K2408" s="5">
        <v>14095.75230105142</v>
      </c>
      <c r="L2408" s="5">
        <v>22162.138529251199</v>
      </c>
      <c r="M2408" s="5">
        <v>18177.175180585615</v>
      </c>
      <c r="N2408" s="5">
        <v>40377.252444397986</v>
      </c>
      <c r="O2408" s="5">
        <v>20827.029306810669</v>
      </c>
      <c r="P2408" s="5">
        <v>13452.921824087563</v>
      </c>
      <c r="Q2408" s="5">
        <v>48756.323642664109</v>
      </c>
      <c r="R2408" s="5">
        <v>51141.799458534304</v>
      </c>
    </row>
    <row r="2409" spans="9:18">
      <c r="I2409" s="4">
        <v>2394</v>
      </c>
      <c r="J2409" s="5">
        <v>14671.176405938595</v>
      </c>
      <c r="K2409" s="5">
        <v>13719.930466819731</v>
      </c>
      <c r="L2409" s="5">
        <v>10752.183901283248</v>
      </c>
      <c r="M2409" s="5">
        <v>24981.974172352908</v>
      </c>
      <c r="N2409" s="5">
        <v>42744.618431291936</v>
      </c>
      <c r="O2409" s="5">
        <v>30608.431994348266</v>
      </c>
      <c r="P2409" s="5">
        <v>27452.975716953504</v>
      </c>
      <c r="Q2409" s="5">
        <v>8502.450657922871</v>
      </c>
      <c r="R2409" s="5">
        <v>33863.04333215439</v>
      </c>
    </row>
    <row r="2410" spans="9:18">
      <c r="I2410" s="4">
        <v>2395</v>
      </c>
      <c r="J2410" s="5">
        <v>19121.054099180623</v>
      </c>
      <c r="K2410" s="5">
        <v>14017.262946034314</v>
      </c>
      <c r="L2410" s="5">
        <v>14691.846656953887</v>
      </c>
      <c r="M2410" s="5">
        <v>30785.663999045999</v>
      </c>
      <c r="N2410" s="5">
        <v>51261.622558090799</v>
      </c>
      <c r="O2410" s="5">
        <v>9869.5889207969612</v>
      </c>
      <c r="P2410" s="5">
        <v>9826.8369575407578</v>
      </c>
      <c r="Q2410" s="5">
        <v>37802.358878968138</v>
      </c>
      <c r="R2410" s="5">
        <v>23583.884732956092</v>
      </c>
    </row>
    <row r="2411" spans="9:18">
      <c r="I2411" s="4">
        <v>2396</v>
      </c>
      <c r="J2411" s="5">
        <v>12056.41843703942</v>
      </c>
      <c r="K2411" s="5">
        <v>12026.500118162745</v>
      </c>
      <c r="L2411" s="5">
        <v>14316.474075738101</v>
      </c>
      <c r="M2411" s="5">
        <v>21072.983263501868</v>
      </c>
      <c r="N2411" s="5">
        <v>22511.351424689696</v>
      </c>
      <c r="O2411" s="5">
        <v>21930.527973988665</v>
      </c>
      <c r="P2411" s="5">
        <v>77603.711720266961</v>
      </c>
      <c r="Q2411" s="5">
        <v>43417.41805414496</v>
      </c>
      <c r="R2411" s="5">
        <v>59414.886464347241</v>
      </c>
    </row>
    <row r="2412" spans="9:18">
      <c r="I2412" s="4">
        <v>2397</v>
      </c>
      <c r="J2412" s="5">
        <v>21888.821432026474</v>
      </c>
      <c r="K2412" s="5">
        <v>15631.937142257386</v>
      </c>
      <c r="L2412" s="5">
        <v>16293.265064857471</v>
      </c>
      <c r="M2412" s="5">
        <v>31460.745851561904</v>
      </c>
      <c r="N2412" s="5">
        <v>21617.945168312468</v>
      </c>
      <c r="O2412" s="5">
        <v>66253.993323243907</v>
      </c>
      <c r="P2412" s="5">
        <v>106091.28270624072</v>
      </c>
      <c r="Q2412" s="5">
        <v>30266.563414010914</v>
      </c>
      <c r="R2412" s="5">
        <v>55012.315589742022</v>
      </c>
    </row>
    <row r="2413" spans="9:18">
      <c r="I2413" s="4">
        <v>2398</v>
      </c>
      <c r="J2413" s="5">
        <v>16788.081681455456</v>
      </c>
      <c r="K2413" s="5">
        <v>21218.439146892688</v>
      </c>
      <c r="L2413" s="5">
        <v>15651.346103181355</v>
      </c>
      <c r="M2413" s="5">
        <v>11529.920007560097</v>
      </c>
      <c r="N2413" s="5">
        <v>6130.3882288404347</v>
      </c>
      <c r="O2413" s="5">
        <v>13840.304699955392</v>
      </c>
      <c r="P2413" s="5">
        <v>12639.596794453437</v>
      </c>
      <c r="Q2413" s="5">
        <v>13214.632802255031</v>
      </c>
      <c r="R2413" s="5">
        <v>44707.053087992797</v>
      </c>
    </row>
    <row r="2414" spans="9:18">
      <c r="I2414" s="4">
        <v>2399</v>
      </c>
      <c r="J2414" s="5">
        <v>16305.770155972396</v>
      </c>
      <c r="K2414" s="5">
        <v>14674.169276244838</v>
      </c>
      <c r="L2414" s="5">
        <v>22018.381599979773</v>
      </c>
      <c r="M2414" s="5">
        <v>18879.640760542785</v>
      </c>
      <c r="N2414" s="5">
        <v>19225.139878706803</v>
      </c>
      <c r="O2414" s="5">
        <v>83458.030763693328</v>
      </c>
      <c r="P2414" s="5">
        <v>17643.087208586294</v>
      </c>
      <c r="Q2414" s="5">
        <v>73941.636731325911</v>
      </c>
      <c r="R2414" s="5">
        <v>27349.63499959607</v>
      </c>
    </row>
    <row r="2415" spans="9:18">
      <c r="I2415" s="4">
        <v>2400</v>
      </c>
      <c r="J2415" s="5">
        <v>14960.076233580705</v>
      </c>
      <c r="K2415" s="5">
        <v>16873.752266014431</v>
      </c>
      <c r="L2415" s="5">
        <v>18602.881797624486</v>
      </c>
      <c r="M2415" s="5">
        <v>21272.00214469912</v>
      </c>
      <c r="N2415" s="5">
        <v>9989.086510768735</v>
      </c>
      <c r="O2415" s="5">
        <v>40304.23053285561</v>
      </c>
      <c r="P2415" s="5">
        <v>17643.087208586294</v>
      </c>
      <c r="Q2415" s="5">
        <v>8474.2603471579441</v>
      </c>
      <c r="R2415" s="5">
        <v>86510.608303273053</v>
      </c>
    </row>
    <row r="2416" spans="9:18">
      <c r="I2416" s="4">
        <v>2401</v>
      </c>
      <c r="J2416" s="5">
        <v>7855.2948890116513</v>
      </c>
      <c r="K2416" s="5">
        <v>15698.764831033119</v>
      </c>
      <c r="L2416" s="5">
        <v>14344.859750762502</v>
      </c>
      <c r="M2416" s="5">
        <v>24981.974172352908</v>
      </c>
      <c r="N2416" s="5">
        <v>57711.498171893618</v>
      </c>
      <c r="O2416" s="5">
        <v>16505.600261180331</v>
      </c>
      <c r="P2416" s="5">
        <v>83536.241167211992</v>
      </c>
      <c r="Q2416" s="5">
        <v>28078.365156847896</v>
      </c>
      <c r="R2416" s="5">
        <v>2180.6148629084787</v>
      </c>
    </row>
    <row r="2417" spans="9:18">
      <c r="I2417" s="4">
        <v>2402</v>
      </c>
      <c r="J2417" s="5">
        <v>12056.41843703942</v>
      </c>
      <c r="K2417" s="5">
        <v>17495.743706488822</v>
      </c>
      <c r="L2417" s="5">
        <v>17683.765335572589</v>
      </c>
      <c r="M2417" s="5">
        <v>20229.919588372999</v>
      </c>
      <c r="N2417" s="5">
        <v>39406.658185292261</v>
      </c>
      <c r="O2417" s="5">
        <v>13550.031670770122</v>
      </c>
      <c r="P2417" s="5">
        <v>40377.463755170742</v>
      </c>
      <c r="Q2417" s="5">
        <v>27018.509959127641</v>
      </c>
      <c r="R2417" s="5">
        <v>3311.4906988006405</v>
      </c>
    </row>
    <row r="2418" spans="9:18">
      <c r="I2418" s="4">
        <v>2403</v>
      </c>
      <c r="J2418" s="5">
        <v>17005.744061105343</v>
      </c>
      <c r="K2418" s="5">
        <v>13719.930466819731</v>
      </c>
      <c r="L2418" s="5">
        <v>15664.99858445921</v>
      </c>
      <c r="M2418" s="5">
        <v>12987.517521908694</v>
      </c>
      <c r="N2418" s="5">
        <v>18410.937863650517</v>
      </c>
      <c r="O2418" s="5">
        <v>40581.847217937895</v>
      </c>
      <c r="P2418" s="5">
        <v>18862.487147419793</v>
      </c>
      <c r="Q2418" s="5">
        <v>116445.46783345108</v>
      </c>
      <c r="R2418" s="5">
        <v>5865.9802599669383</v>
      </c>
    </row>
    <row r="2419" spans="9:18">
      <c r="I2419" s="4">
        <v>2404</v>
      </c>
      <c r="J2419" s="5">
        <v>28214.771032351968</v>
      </c>
      <c r="K2419" s="5">
        <v>53937.689698015136</v>
      </c>
      <c r="L2419" s="5">
        <v>14264.23790876064</v>
      </c>
      <c r="M2419" s="5">
        <v>10451.914120098167</v>
      </c>
      <c r="N2419" s="5">
        <v>19125.360074567652</v>
      </c>
      <c r="O2419" s="5">
        <v>16826.763259351828</v>
      </c>
      <c r="P2419" s="5">
        <v>33715.790977629549</v>
      </c>
      <c r="Q2419" s="5">
        <v>96632.959478514502</v>
      </c>
      <c r="R2419" s="5">
        <v>3311.4906988006405</v>
      </c>
    </row>
    <row r="2420" spans="9:18">
      <c r="I2420" s="4">
        <v>2405</v>
      </c>
      <c r="J2420" s="5">
        <v>22370.105711697011</v>
      </c>
      <c r="K2420" s="5">
        <v>15347.101709242541</v>
      </c>
      <c r="L2420" s="5">
        <v>27289.607394458035</v>
      </c>
      <c r="M2420" s="5">
        <v>30830.81083227017</v>
      </c>
      <c r="N2420" s="5">
        <v>26565.664379767408</v>
      </c>
      <c r="O2420" s="5">
        <v>12110.196126281628</v>
      </c>
      <c r="P2420" s="5">
        <v>17643.087208586294</v>
      </c>
      <c r="Q2420" s="5">
        <v>53055.59182561023</v>
      </c>
      <c r="R2420" s="5">
        <v>89167.415757270224</v>
      </c>
    </row>
    <row r="2421" spans="9:18">
      <c r="I2421" s="4">
        <v>2406</v>
      </c>
      <c r="J2421" s="5">
        <v>13663.281817546009</v>
      </c>
      <c r="K2421" s="5">
        <v>29672.680843304515</v>
      </c>
      <c r="L2421" s="5">
        <v>22319.409576580376</v>
      </c>
      <c r="M2421" s="5">
        <v>19890.009981657669</v>
      </c>
      <c r="N2421" s="5">
        <v>27841.916587595573</v>
      </c>
      <c r="O2421" s="5">
        <v>8801.3667015774663</v>
      </c>
      <c r="P2421" s="5">
        <v>48123.003747643132</v>
      </c>
      <c r="Q2421" s="5">
        <v>9454.5906023793759</v>
      </c>
      <c r="R2421" s="5">
        <v>6681.1887184356683</v>
      </c>
    </row>
    <row r="2422" spans="9:18">
      <c r="I2422" s="4">
        <v>2407</v>
      </c>
      <c r="J2422" s="5">
        <v>17679.321624063952</v>
      </c>
      <c r="K2422" s="5">
        <v>9769.3659785458403</v>
      </c>
      <c r="L2422" s="5">
        <v>17683.765335572589</v>
      </c>
      <c r="M2422" s="5">
        <v>41403.687663920646</v>
      </c>
      <c r="N2422" s="5">
        <v>10882.757905166785</v>
      </c>
      <c r="O2422" s="5">
        <v>27062.73412298776</v>
      </c>
      <c r="P2422" s="5">
        <v>54292.749740228588</v>
      </c>
      <c r="Q2422" s="5">
        <v>29432.473148002948</v>
      </c>
      <c r="R2422" s="5">
        <v>6681.1887184356683</v>
      </c>
    </row>
    <row r="2423" spans="9:18">
      <c r="I2423" s="4">
        <v>2408</v>
      </c>
      <c r="J2423" s="5">
        <v>16156.372629961115</v>
      </c>
      <c r="K2423" s="5">
        <v>20887.307279900142</v>
      </c>
      <c r="L2423" s="5">
        <v>22412.045018675239</v>
      </c>
      <c r="M2423" s="5">
        <v>23913.435663027711</v>
      </c>
      <c r="N2423" s="5">
        <v>12297.015342318469</v>
      </c>
      <c r="O2423" s="5">
        <v>10270.120415297655</v>
      </c>
      <c r="P2423" s="5">
        <v>44816.412248582856</v>
      </c>
      <c r="Q2423" s="5">
        <v>21421.044775857536</v>
      </c>
      <c r="R2423" s="5">
        <v>9913.4206865238284</v>
      </c>
    </row>
    <row r="2424" spans="9:18">
      <c r="I2424" s="4">
        <v>2409</v>
      </c>
      <c r="J2424" s="5">
        <v>22188.291830993156</v>
      </c>
      <c r="K2424" s="5">
        <v>17495.743706488822</v>
      </c>
      <c r="L2424" s="5">
        <v>23561.450544884348</v>
      </c>
      <c r="M2424" s="5">
        <v>11860.862376247747</v>
      </c>
      <c r="N2424" s="5">
        <v>36962.805083900916</v>
      </c>
      <c r="O2424" s="5">
        <v>16505.600261180331</v>
      </c>
      <c r="P2424" s="5">
        <v>12639.596794453437</v>
      </c>
      <c r="Q2424" s="5">
        <v>22483.395143121877</v>
      </c>
      <c r="R2424" s="5">
        <v>51358.6267760993</v>
      </c>
    </row>
    <row r="2425" spans="9:18">
      <c r="I2425" s="4">
        <v>2410</v>
      </c>
      <c r="J2425" s="5">
        <v>17679.321624063952</v>
      </c>
      <c r="K2425" s="5">
        <v>11206.053243692098</v>
      </c>
      <c r="L2425" s="5">
        <v>14042.41908879921</v>
      </c>
      <c r="M2425" s="5">
        <v>29058.117767351498</v>
      </c>
      <c r="N2425" s="5">
        <v>15251.140047572881</v>
      </c>
      <c r="O2425" s="5">
        <v>10746.295275180995</v>
      </c>
      <c r="P2425" s="5">
        <v>8877.9712092977989</v>
      </c>
      <c r="Q2425" s="5">
        <v>11928.872068442162</v>
      </c>
      <c r="R2425" s="5">
        <v>41056.152565483346</v>
      </c>
    </row>
    <row r="2426" spans="9:18">
      <c r="I2426" s="4">
        <v>2411</v>
      </c>
      <c r="J2426" s="5">
        <v>17592.832480262863</v>
      </c>
      <c r="K2426" s="5">
        <v>18821.113178054162</v>
      </c>
      <c r="L2426" s="5">
        <v>15764.107424863063</v>
      </c>
      <c r="M2426" s="5">
        <v>15202.972920708273</v>
      </c>
      <c r="N2426" s="5">
        <v>21617.945168312468</v>
      </c>
      <c r="O2426" s="5">
        <v>53028.643350899503</v>
      </c>
      <c r="P2426" s="5">
        <v>32155.527541400057</v>
      </c>
      <c r="Q2426" s="5">
        <v>56069.347629295014</v>
      </c>
      <c r="R2426" s="5">
        <v>216919.53009911609</v>
      </c>
    </row>
    <row r="2427" spans="9:18">
      <c r="I2427" s="4">
        <v>2412</v>
      </c>
      <c r="J2427" s="5">
        <v>28085.9245102444</v>
      </c>
      <c r="K2427" s="5">
        <v>19467.955014411935</v>
      </c>
      <c r="L2427" s="5">
        <v>21428.663623484812</v>
      </c>
      <c r="M2427" s="5">
        <v>6367.5407465007311</v>
      </c>
      <c r="N2427" s="5">
        <v>36962.805083900916</v>
      </c>
      <c r="O2427" s="5">
        <v>13613.378495715853</v>
      </c>
      <c r="P2427" s="5">
        <v>9811.9720599964548</v>
      </c>
      <c r="Q2427" s="5">
        <v>11173.074396969254</v>
      </c>
      <c r="R2427" s="5">
        <v>84289.422255274636</v>
      </c>
    </row>
    <row r="2428" spans="9:18">
      <c r="I2428" s="4">
        <v>2413</v>
      </c>
      <c r="J2428" s="5">
        <v>15064.079707240266</v>
      </c>
      <c r="K2428" s="5">
        <v>21218.439146892688</v>
      </c>
      <c r="L2428" s="5">
        <v>16293.265064857471</v>
      </c>
      <c r="M2428" s="5">
        <v>6367.5407465007311</v>
      </c>
      <c r="N2428" s="5">
        <v>11684.605182472778</v>
      </c>
      <c r="O2428" s="5">
        <v>11282.178219986479</v>
      </c>
      <c r="P2428" s="5">
        <v>35569.894390728325</v>
      </c>
      <c r="Q2428" s="5">
        <v>37277.391668005912</v>
      </c>
      <c r="R2428" s="5">
        <v>7784.2246210242874</v>
      </c>
    </row>
    <row r="2429" spans="9:18">
      <c r="I2429" s="4">
        <v>2414</v>
      </c>
      <c r="J2429" s="5">
        <v>16088.430030489333</v>
      </c>
      <c r="K2429" s="5">
        <v>35705.595198125673</v>
      </c>
      <c r="L2429" s="5">
        <v>16955.349467865559</v>
      </c>
      <c r="M2429" s="5">
        <v>21712.71007234112</v>
      </c>
      <c r="N2429" s="5">
        <v>11635.644856128632</v>
      </c>
      <c r="O2429" s="5">
        <v>66253.993323243907</v>
      </c>
      <c r="P2429" s="5">
        <v>33500.490132682797</v>
      </c>
      <c r="Q2429" s="5">
        <v>27789.973552634947</v>
      </c>
      <c r="R2429" s="5">
        <v>7879.038918914337</v>
      </c>
    </row>
    <row r="2430" spans="9:18">
      <c r="I2430" s="4">
        <v>2415</v>
      </c>
      <c r="J2430" s="5">
        <v>17592.832480262863</v>
      </c>
      <c r="K2430" s="5">
        <v>14021.934268028277</v>
      </c>
      <c r="L2430" s="5">
        <v>17243.440968229323</v>
      </c>
      <c r="M2430" s="5">
        <v>18043.539897080744</v>
      </c>
      <c r="N2430" s="5">
        <v>23283.854578052265</v>
      </c>
      <c r="O2430" s="5">
        <v>24258.192244316608</v>
      </c>
      <c r="P2430" s="5">
        <v>10966.822219855034</v>
      </c>
      <c r="Q2430" s="5">
        <v>9138.5169630896526</v>
      </c>
      <c r="R2430" s="5">
        <v>10885.018205103002</v>
      </c>
    </row>
    <row r="2431" spans="9:18">
      <c r="I2431" s="4">
        <v>2416</v>
      </c>
      <c r="J2431" s="5">
        <v>22370.105711697011</v>
      </c>
      <c r="K2431" s="5">
        <v>10931.803935361211</v>
      </c>
      <c r="L2431" s="5">
        <v>17693.864646288712</v>
      </c>
      <c r="M2431" s="5">
        <v>26477.996319655329</v>
      </c>
      <c r="N2431" s="5">
        <v>34295.124147811541</v>
      </c>
      <c r="O2431" s="5">
        <v>20991.103410982985</v>
      </c>
      <c r="P2431" s="5">
        <v>54100.778483493887</v>
      </c>
      <c r="Q2431" s="5">
        <v>9645.8788061228515</v>
      </c>
      <c r="R2431" s="5">
        <v>41418.225609677866</v>
      </c>
    </row>
    <row r="2432" spans="9:18">
      <c r="I2432" s="4">
        <v>2417</v>
      </c>
      <c r="J2432" s="5">
        <v>15130.594750069789</v>
      </c>
      <c r="K2432" s="5">
        <v>14579.232378315752</v>
      </c>
      <c r="L2432" s="5">
        <v>22162.138529251199</v>
      </c>
      <c r="M2432" s="5">
        <v>7334.8610818348589</v>
      </c>
      <c r="N2432" s="5">
        <v>4770.4216775830728</v>
      </c>
      <c r="O2432" s="5">
        <v>40581.847217937895</v>
      </c>
      <c r="P2432" s="5">
        <v>3831.1492650071077</v>
      </c>
      <c r="Q2432" s="5">
        <v>43417.41805414496</v>
      </c>
      <c r="R2432" s="5">
        <v>54594.567438884274</v>
      </c>
    </row>
    <row r="2433" spans="9:18">
      <c r="I2433" s="4">
        <v>2418</v>
      </c>
      <c r="J2433" s="5">
        <v>15623.733864199699</v>
      </c>
      <c r="K2433" s="5">
        <v>11507.182177474708</v>
      </c>
      <c r="L2433" s="5">
        <v>19189.275558866306</v>
      </c>
      <c r="M2433" s="5">
        <v>18691.941789825862</v>
      </c>
      <c r="N2433" s="5">
        <v>15130.853682762778</v>
      </c>
      <c r="O2433" s="5">
        <v>9320.7026593487881</v>
      </c>
      <c r="P2433" s="5">
        <v>8662.4232458952465</v>
      </c>
      <c r="Q2433" s="5">
        <v>8880.8074399558282</v>
      </c>
      <c r="R2433" s="5">
        <v>7879.038918914337</v>
      </c>
    </row>
    <row r="2434" spans="9:18">
      <c r="I2434" s="4">
        <v>2419</v>
      </c>
      <c r="J2434" s="5">
        <v>12035.382213755307</v>
      </c>
      <c r="K2434" s="5">
        <v>18086.448513145526</v>
      </c>
      <c r="L2434" s="5">
        <v>15922.087958863045</v>
      </c>
      <c r="M2434" s="5">
        <v>13139.022167648376</v>
      </c>
      <c r="N2434" s="5">
        <v>11952.903761138405</v>
      </c>
      <c r="O2434" s="5">
        <v>25604.597681740845</v>
      </c>
      <c r="P2434" s="5">
        <v>49519.098753410741</v>
      </c>
      <c r="Q2434" s="5">
        <v>59964.86015574776</v>
      </c>
      <c r="R2434" s="5">
        <v>3433.6677391851467</v>
      </c>
    </row>
    <row r="2435" spans="9:18">
      <c r="I2435" s="4">
        <v>2420</v>
      </c>
      <c r="J2435" s="5">
        <v>16156.372629961115</v>
      </c>
      <c r="K2435" s="5">
        <v>16674.541027260992</v>
      </c>
      <c r="L2435" s="5">
        <v>22018.381599979773</v>
      </c>
      <c r="M2435" s="5">
        <v>19262.243095117232</v>
      </c>
      <c r="N2435" s="5">
        <v>11952.903761138405</v>
      </c>
      <c r="O2435" s="5">
        <v>11282.178219986479</v>
      </c>
      <c r="P2435" s="5">
        <v>95486.196907583406</v>
      </c>
      <c r="Q2435" s="5">
        <v>37073.980790337926</v>
      </c>
      <c r="R2435" s="5">
        <v>96845.299789249824</v>
      </c>
    </row>
    <row r="2436" spans="9:18">
      <c r="I2436" s="4">
        <v>2421</v>
      </c>
      <c r="J2436" s="5">
        <v>49463.324094345015</v>
      </c>
      <c r="K2436" s="5">
        <v>19467.955014411935</v>
      </c>
      <c r="L2436" s="5">
        <v>17693.864646288712</v>
      </c>
      <c r="M2436" s="5">
        <v>23454.775510296178</v>
      </c>
      <c r="N2436" s="5">
        <v>20583.564383988036</v>
      </c>
      <c r="O2436" s="5">
        <v>5909.5347260996277</v>
      </c>
      <c r="P2436" s="5">
        <v>36724.352187786957</v>
      </c>
      <c r="Q2436" s="5">
        <v>48756.323642664109</v>
      </c>
      <c r="R2436" s="5">
        <v>302760.11878714536</v>
      </c>
    </row>
    <row r="2437" spans="9:18">
      <c r="I2437" s="4">
        <v>2422</v>
      </c>
      <c r="J2437" s="5">
        <v>13595.404057849493</v>
      </c>
      <c r="K2437" s="5">
        <v>23543.914024953676</v>
      </c>
      <c r="L2437" s="5">
        <v>13622.976145621742</v>
      </c>
      <c r="M2437" s="5">
        <v>12987.517521908694</v>
      </c>
      <c r="N2437" s="5">
        <v>21617.945168312468</v>
      </c>
      <c r="O2437" s="5">
        <v>10746.295275180995</v>
      </c>
      <c r="P2437" s="5">
        <v>74840.036182179319</v>
      </c>
      <c r="Q2437" s="5">
        <v>13214.632802255031</v>
      </c>
      <c r="R2437" s="5">
        <v>17304.847214362417</v>
      </c>
    </row>
    <row r="2438" spans="9:18">
      <c r="I2438" s="4">
        <v>2423</v>
      </c>
      <c r="J2438" s="5">
        <v>11036.461796239426</v>
      </c>
      <c r="K2438" s="5">
        <v>9739.7813029644258</v>
      </c>
      <c r="L2438" s="5">
        <v>15651.346103181355</v>
      </c>
      <c r="M2438" s="5">
        <v>23449.501569180404</v>
      </c>
      <c r="N2438" s="5">
        <v>23998.040874392525</v>
      </c>
      <c r="O2438" s="5">
        <v>20930.098352661731</v>
      </c>
      <c r="P2438" s="5">
        <v>10532.667493814919</v>
      </c>
      <c r="Q2438" s="5">
        <v>79566.621912742485</v>
      </c>
      <c r="R2438" s="5">
        <v>84289.422255274636</v>
      </c>
    </row>
    <row r="2439" spans="9:18">
      <c r="I2439" s="4">
        <v>2424</v>
      </c>
      <c r="J2439" s="5">
        <v>14076.209333698853</v>
      </c>
      <c r="K2439" s="5">
        <v>14136.873097602549</v>
      </c>
      <c r="L2439" s="5">
        <v>15487.970507365942</v>
      </c>
      <c r="M2439" s="5">
        <v>13022.686998540772</v>
      </c>
      <c r="N2439" s="5">
        <v>16581.915858379376</v>
      </c>
      <c r="O2439" s="5">
        <v>10369.402667058452</v>
      </c>
      <c r="P2439" s="5">
        <v>74840.036182179319</v>
      </c>
      <c r="Q2439" s="5">
        <v>37277.391668005912</v>
      </c>
      <c r="R2439" s="5">
        <v>17687.533637716911</v>
      </c>
    </row>
    <row r="2440" spans="9:18">
      <c r="I2440" s="4">
        <v>2425</v>
      </c>
      <c r="J2440" s="5">
        <v>14671.176405938595</v>
      </c>
      <c r="K2440" s="5">
        <v>18086.448513145526</v>
      </c>
      <c r="L2440" s="5">
        <v>16017.890956041876</v>
      </c>
      <c r="M2440" s="5">
        <v>20229.919588372999</v>
      </c>
      <c r="N2440" s="5">
        <v>39406.658185292261</v>
      </c>
      <c r="O2440" s="5">
        <v>12110.196126281628</v>
      </c>
      <c r="P2440" s="5">
        <v>55119.366528283317</v>
      </c>
      <c r="Q2440" s="5">
        <v>17153.530968450712</v>
      </c>
      <c r="R2440" s="5">
        <v>3989.7956692889929</v>
      </c>
    </row>
    <row r="2441" spans="9:18">
      <c r="I2441" s="4">
        <v>2426</v>
      </c>
      <c r="J2441" s="5">
        <v>13447.638004246244</v>
      </c>
      <c r="K2441" s="5">
        <v>12026.500118162745</v>
      </c>
      <c r="L2441" s="5">
        <v>18379.634651549037</v>
      </c>
      <c r="M2441" s="5">
        <v>18691.941789825862</v>
      </c>
      <c r="N2441" s="5">
        <v>8555.1229659096207</v>
      </c>
      <c r="O2441" s="5">
        <v>9869.5889207969612</v>
      </c>
      <c r="P2441" s="5">
        <v>46514.467673254068</v>
      </c>
      <c r="Q2441" s="5">
        <v>31902.904306425251</v>
      </c>
      <c r="R2441" s="5">
        <v>3989.7956692889929</v>
      </c>
    </row>
    <row r="2442" spans="9:18">
      <c r="I2442" s="4">
        <v>2427</v>
      </c>
      <c r="J2442" s="5">
        <v>23517.429992060665</v>
      </c>
      <c r="K2442" s="5">
        <v>21527.93129974293</v>
      </c>
      <c r="L2442" s="5">
        <v>17128.574519497746</v>
      </c>
      <c r="M2442" s="5">
        <v>20788.503422877813</v>
      </c>
      <c r="N2442" s="5">
        <v>23998.040874392525</v>
      </c>
      <c r="O2442" s="5">
        <v>36759.655306288936</v>
      </c>
      <c r="P2442" s="5">
        <v>16650.229067545235</v>
      </c>
      <c r="Q2442" s="5">
        <v>17153.530968450712</v>
      </c>
      <c r="R2442" s="5">
        <v>90296.353221228885</v>
      </c>
    </row>
    <row r="2443" spans="9:18">
      <c r="I2443" s="4">
        <v>2428</v>
      </c>
      <c r="J2443" s="5">
        <v>15130.594750069789</v>
      </c>
      <c r="K2443" s="5">
        <v>14136.873097602549</v>
      </c>
      <c r="L2443" s="5">
        <v>18379.634651549037</v>
      </c>
      <c r="M2443" s="5">
        <v>19097.39635881727</v>
      </c>
      <c r="N2443" s="5">
        <v>24769.339976495565</v>
      </c>
      <c r="O2443" s="5">
        <v>49114.195066822271</v>
      </c>
      <c r="P2443" s="5">
        <v>9965.8330787532959</v>
      </c>
      <c r="Q2443" s="5">
        <v>14064.158297039334</v>
      </c>
      <c r="R2443" s="5">
        <v>114016.93673542379</v>
      </c>
    </row>
    <row r="2444" spans="9:18">
      <c r="I2444" s="4">
        <v>2429</v>
      </c>
      <c r="J2444" s="5">
        <v>17005.744061105343</v>
      </c>
      <c r="K2444" s="5">
        <v>16081.362509465702</v>
      </c>
      <c r="L2444" s="5">
        <v>22018.381599979773</v>
      </c>
      <c r="M2444" s="5">
        <v>16001.653036457456</v>
      </c>
      <c r="N2444" s="5">
        <v>18410.937863650517</v>
      </c>
      <c r="O2444" s="5">
        <v>27062.73412298776</v>
      </c>
      <c r="P2444" s="5">
        <v>41657.50350099193</v>
      </c>
      <c r="Q2444" s="5">
        <v>73941.636731325911</v>
      </c>
      <c r="R2444" s="5">
        <v>35232.418639121184</v>
      </c>
    </row>
    <row r="2445" spans="9:18">
      <c r="I2445" s="4">
        <v>2430</v>
      </c>
      <c r="J2445" s="5">
        <v>7855.2948890116513</v>
      </c>
      <c r="K2445" s="5">
        <v>14878.52734402675</v>
      </c>
      <c r="L2445" s="5">
        <v>16577.562442697115</v>
      </c>
      <c r="M2445" s="5">
        <v>15346.383801976139</v>
      </c>
      <c r="N2445" s="5">
        <v>48565.498233359976</v>
      </c>
      <c r="O2445" s="5">
        <v>53028.643350899503</v>
      </c>
      <c r="P2445" s="5">
        <v>10733.318076105543</v>
      </c>
      <c r="Q2445" s="5">
        <v>43417.41805414496</v>
      </c>
      <c r="R2445" s="5">
        <v>10885.018205103002</v>
      </c>
    </row>
    <row r="2446" spans="9:18">
      <c r="I2446" s="4">
        <v>2431</v>
      </c>
      <c r="J2446" s="5">
        <v>14420.293087375476</v>
      </c>
      <c r="K2446" s="5">
        <v>16081.362509465702</v>
      </c>
      <c r="L2446" s="5">
        <v>15651.346103181355</v>
      </c>
      <c r="M2446" s="5">
        <v>15202.972920708273</v>
      </c>
      <c r="N2446" s="5">
        <v>13511.694619545402</v>
      </c>
      <c r="O2446" s="5">
        <v>24247.516962783076</v>
      </c>
      <c r="P2446" s="5">
        <v>55119.366528283317</v>
      </c>
      <c r="Q2446" s="5">
        <v>9652.8114206999071</v>
      </c>
      <c r="R2446" s="5">
        <v>8130.5639219412278</v>
      </c>
    </row>
    <row r="2447" spans="9:18">
      <c r="I2447" s="4">
        <v>2432</v>
      </c>
      <c r="J2447" s="5">
        <v>73074.062486361407</v>
      </c>
      <c r="K2447" s="5">
        <v>17128.860847126922</v>
      </c>
      <c r="L2447" s="5">
        <v>22319.409576580376</v>
      </c>
      <c r="M2447" s="5">
        <v>41698.977215629871</v>
      </c>
      <c r="N2447" s="5">
        <v>24020.875410266352</v>
      </c>
      <c r="O2447" s="5">
        <v>9320.7026593487881</v>
      </c>
      <c r="P2447" s="5">
        <v>36724.352187786957</v>
      </c>
      <c r="Q2447" s="5">
        <v>17493.456269945855</v>
      </c>
      <c r="R2447" s="5">
        <v>55012.315589742022</v>
      </c>
    </row>
    <row r="2448" spans="9:18">
      <c r="I2448" s="4">
        <v>2433</v>
      </c>
      <c r="J2448" s="5">
        <v>22812.564910649318</v>
      </c>
      <c r="K2448" s="5">
        <v>53937.689698015136</v>
      </c>
      <c r="L2448" s="5">
        <v>14175.160754078657</v>
      </c>
      <c r="M2448" s="5">
        <v>32751.734100446065</v>
      </c>
      <c r="N2448" s="5">
        <v>22868.569282757788</v>
      </c>
      <c r="O2448" s="5">
        <v>25604.597681740845</v>
      </c>
      <c r="P2448" s="5">
        <v>9047.5556949992188</v>
      </c>
      <c r="Q2448" s="5">
        <v>30495.121067047665</v>
      </c>
      <c r="R2448" s="5">
        <v>17304.847214362417</v>
      </c>
    </row>
    <row r="2449" spans="9:18">
      <c r="I2449" s="4">
        <v>2434</v>
      </c>
      <c r="J2449" s="5">
        <v>11854.381651026555</v>
      </c>
      <c r="K2449" s="5">
        <v>16199.334613834633</v>
      </c>
      <c r="L2449" s="5">
        <v>15759.954187048656</v>
      </c>
      <c r="M2449" s="5">
        <v>13414.385151739983</v>
      </c>
      <c r="N2449" s="5">
        <v>63974.903847153939</v>
      </c>
      <c r="O2449" s="5">
        <v>20489.622805425737</v>
      </c>
      <c r="P2449" s="5">
        <v>8877.9712092977989</v>
      </c>
      <c r="Q2449" s="5">
        <v>20883.852062640355</v>
      </c>
      <c r="R2449" s="5">
        <v>3989.7956692889929</v>
      </c>
    </row>
    <row r="2450" spans="9:18">
      <c r="I2450" s="4">
        <v>2435</v>
      </c>
      <c r="J2450" s="5">
        <v>14750.660273177687</v>
      </c>
      <c r="K2450" s="5">
        <v>12777.667398488715</v>
      </c>
      <c r="L2450" s="5">
        <v>34748.877779456467</v>
      </c>
      <c r="M2450" s="5">
        <v>37411.178129764201</v>
      </c>
      <c r="N2450" s="5">
        <v>51261.622558090799</v>
      </c>
      <c r="O2450" s="5">
        <v>13117.417685535194</v>
      </c>
      <c r="P2450" s="5">
        <v>21933.779100635442</v>
      </c>
      <c r="Q2450" s="5">
        <v>70295.978314632754</v>
      </c>
      <c r="R2450" s="5">
        <v>20303.08745527079</v>
      </c>
    </row>
    <row r="2451" spans="9:18">
      <c r="I2451" s="4">
        <v>2436</v>
      </c>
      <c r="J2451" s="5">
        <v>31053.540961463306</v>
      </c>
      <c r="K2451" s="5">
        <v>56656.842992470461</v>
      </c>
      <c r="L2451" s="5">
        <v>14811.370758813007</v>
      </c>
      <c r="M2451" s="5">
        <v>31472.019071027709</v>
      </c>
      <c r="N2451" s="5">
        <v>15251.140047572881</v>
      </c>
      <c r="O2451" s="5">
        <v>35865.625349531729</v>
      </c>
      <c r="P2451" s="5">
        <v>44646.134934589521</v>
      </c>
      <c r="Q2451" s="5">
        <v>12451.066014448154</v>
      </c>
      <c r="R2451" s="5">
        <v>62674.060343500474</v>
      </c>
    </row>
    <row r="2452" spans="9:18">
      <c r="I2452" s="4">
        <v>2437</v>
      </c>
      <c r="J2452" s="5">
        <v>45301.532027110363</v>
      </c>
      <c r="K2452" s="5">
        <v>35488.449387009874</v>
      </c>
      <c r="L2452" s="5">
        <v>25389.332759288587</v>
      </c>
      <c r="M2452" s="5">
        <v>19151.339770278159</v>
      </c>
      <c r="N2452" s="5">
        <v>12592.300437162297</v>
      </c>
      <c r="O2452" s="5">
        <v>15124.35050053727</v>
      </c>
      <c r="P2452" s="5">
        <v>17737.38315098183</v>
      </c>
      <c r="Q2452" s="5">
        <v>15663.43865741136</v>
      </c>
      <c r="R2452" s="5">
        <v>3311.4906988006405</v>
      </c>
    </row>
    <row r="2453" spans="9:18">
      <c r="I2453" s="4">
        <v>2438</v>
      </c>
      <c r="J2453" s="5">
        <v>13663.281817546009</v>
      </c>
      <c r="K2453" s="5">
        <v>21218.439146892688</v>
      </c>
      <c r="L2453" s="5">
        <v>16451.333928028147</v>
      </c>
      <c r="M2453" s="5">
        <v>24981.974172352908</v>
      </c>
      <c r="N2453" s="5">
        <v>23998.040874392525</v>
      </c>
      <c r="O2453" s="5">
        <v>16572.483389649329</v>
      </c>
      <c r="P2453" s="5">
        <v>44816.412248582856</v>
      </c>
      <c r="Q2453" s="5">
        <v>100789.83462564547</v>
      </c>
      <c r="R2453" s="5">
        <v>26783.439354489365</v>
      </c>
    </row>
    <row r="2454" spans="9:18">
      <c r="I2454" s="4">
        <v>2439</v>
      </c>
      <c r="J2454" s="5">
        <v>33627.941293959229</v>
      </c>
      <c r="K2454" s="5">
        <v>14021.934268028277</v>
      </c>
      <c r="L2454" s="5">
        <v>15651.346103181355</v>
      </c>
      <c r="M2454" s="5">
        <v>29058.117767351498</v>
      </c>
      <c r="N2454" s="5">
        <v>4770.4216775830728</v>
      </c>
      <c r="O2454" s="5">
        <v>13966.178986479143</v>
      </c>
      <c r="P2454" s="5">
        <v>33500.490132682797</v>
      </c>
      <c r="Q2454" s="5">
        <v>19315.033835554255</v>
      </c>
      <c r="R2454" s="5">
        <v>6360.7905155660001</v>
      </c>
    </row>
    <row r="2455" spans="9:18">
      <c r="I2455" s="4">
        <v>2440</v>
      </c>
      <c r="J2455" s="5">
        <v>19121.054099180623</v>
      </c>
      <c r="K2455" s="5">
        <v>31910.762633549082</v>
      </c>
      <c r="L2455" s="5">
        <v>14042.41908879921</v>
      </c>
      <c r="M2455" s="5">
        <v>7334.8610818348589</v>
      </c>
      <c r="N2455" s="5">
        <v>26565.664379767408</v>
      </c>
      <c r="O2455" s="5">
        <v>25802.481365323994</v>
      </c>
      <c r="P2455" s="5">
        <v>9047.5556949992188</v>
      </c>
      <c r="Q2455" s="5">
        <v>43417.41805414496</v>
      </c>
      <c r="R2455" s="5">
        <v>6360.7905155660001</v>
      </c>
    </row>
    <row r="2456" spans="9:18">
      <c r="I2456" s="4">
        <v>2441</v>
      </c>
      <c r="J2456" s="5">
        <v>16459.003095225507</v>
      </c>
      <c r="K2456" s="5">
        <v>12026.500118162745</v>
      </c>
      <c r="L2456" s="5">
        <v>19359.475411188432</v>
      </c>
      <c r="M2456" s="5">
        <v>13642.678686731051</v>
      </c>
      <c r="N2456" s="5">
        <v>21931.347680292267</v>
      </c>
      <c r="O2456" s="5">
        <v>11282.178219986479</v>
      </c>
      <c r="P2456" s="5">
        <v>35213.322626437533</v>
      </c>
      <c r="Q2456" s="5">
        <v>37073.980790337926</v>
      </c>
      <c r="R2456" s="5">
        <v>84289.422255274636</v>
      </c>
    </row>
    <row r="2457" spans="9:18">
      <c r="I2457" s="4">
        <v>2442</v>
      </c>
      <c r="J2457" s="5">
        <v>23517.429992060665</v>
      </c>
      <c r="K2457" s="5">
        <v>15698.764831033119</v>
      </c>
      <c r="L2457" s="5">
        <v>21954.536591034263</v>
      </c>
      <c r="M2457" s="5">
        <v>30785.663999045999</v>
      </c>
      <c r="N2457" s="5">
        <v>23746.795665493762</v>
      </c>
      <c r="O2457" s="5">
        <v>45451.954570113048</v>
      </c>
      <c r="P2457" s="5">
        <v>41657.50350099193</v>
      </c>
      <c r="Q2457" s="5">
        <v>25156.033327562815</v>
      </c>
      <c r="R2457" s="5">
        <v>12116.34255245842</v>
      </c>
    </row>
    <row r="2458" spans="9:18">
      <c r="I2458" s="4">
        <v>2443</v>
      </c>
      <c r="J2458" s="5">
        <v>15623.733864199699</v>
      </c>
      <c r="K2458" s="5">
        <v>11206.053243692098</v>
      </c>
      <c r="L2458" s="5">
        <v>10896.494237357269</v>
      </c>
      <c r="M2458" s="5">
        <v>42282.977640783138</v>
      </c>
      <c r="N2458" s="5">
        <v>21617.945168312468</v>
      </c>
      <c r="O2458" s="5">
        <v>13117.417685535194</v>
      </c>
      <c r="P2458" s="5">
        <v>28537.545734403488</v>
      </c>
      <c r="Q2458" s="5">
        <v>42044.890065817184</v>
      </c>
      <c r="R2458" s="5">
        <v>7879.038918914337</v>
      </c>
    </row>
    <row r="2459" spans="9:18">
      <c r="I2459" s="4">
        <v>2444</v>
      </c>
      <c r="J2459" s="5">
        <v>14076.209333698853</v>
      </c>
      <c r="K2459" s="5">
        <v>13559.080695844099</v>
      </c>
      <c r="L2459" s="5">
        <v>15922.087958863045</v>
      </c>
      <c r="M2459" s="5">
        <v>13642.678686731051</v>
      </c>
      <c r="N2459" s="5">
        <v>23998.040874392525</v>
      </c>
      <c r="O2459" s="5">
        <v>8024.6340027919978</v>
      </c>
      <c r="P2459" s="5">
        <v>32167.874670939738</v>
      </c>
      <c r="Q2459" s="5">
        <v>31974.553851773013</v>
      </c>
      <c r="R2459" s="5">
        <v>16039.216896723072</v>
      </c>
    </row>
    <row r="2460" spans="9:18">
      <c r="I2460" s="4">
        <v>2445</v>
      </c>
      <c r="J2460" s="5">
        <v>27392.038553726634</v>
      </c>
      <c r="K2460" s="5">
        <v>16952.949313901812</v>
      </c>
      <c r="L2460" s="5">
        <v>25007.552172398639</v>
      </c>
      <c r="M2460" s="5">
        <v>31554.722481137964</v>
      </c>
      <c r="N2460" s="5">
        <v>11684.605182472778</v>
      </c>
      <c r="O2460" s="5">
        <v>16572.483389649329</v>
      </c>
      <c r="P2460" s="5">
        <v>5735.6883097179207</v>
      </c>
      <c r="Q2460" s="5">
        <v>37277.391668005912</v>
      </c>
      <c r="R2460" s="5">
        <v>261393.32711858812</v>
      </c>
    </row>
    <row r="2461" spans="9:18">
      <c r="I2461" s="4">
        <v>2446</v>
      </c>
      <c r="J2461" s="5">
        <v>15873.12561080002</v>
      </c>
      <c r="K2461" s="5">
        <v>14878.52734402675</v>
      </c>
      <c r="L2461" s="5">
        <v>17128.574519497746</v>
      </c>
      <c r="M2461" s="5">
        <v>32751.734100446065</v>
      </c>
      <c r="N2461" s="5">
        <v>15804.474686449519</v>
      </c>
      <c r="O2461" s="5">
        <v>8121.6248378263163</v>
      </c>
      <c r="P2461" s="5">
        <v>34768.042801665702</v>
      </c>
      <c r="Q2461" s="5">
        <v>7349.2234634219121</v>
      </c>
      <c r="R2461" s="5">
        <v>33863.04333215439</v>
      </c>
    </row>
    <row r="2462" spans="9:18">
      <c r="I2462" s="4">
        <v>2447</v>
      </c>
      <c r="J2462" s="5">
        <v>12452.764985867625</v>
      </c>
      <c r="K2462" s="5">
        <v>16952.949313901812</v>
      </c>
      <c r="L2462" s="5">
        <v>18602.881797624486</v>
      </c>
      <c r="M2462" s="5">
        <v>6367.5407465007311</v>
      </c>
      <c r="N2462" s="5">
        <v>14921.795973817481</v>
      </c>
      <c r="O2462" s="5">
        <v>5444.7598502623823</v>
      </c>
      <c r="P2462" s="5">
        <v>26126.807131356076</v>
      </c>
      <c r="Q2462" s="5">
        <v>25156.033327562815</v>
      </c>
      <c r="R2462" s="5">
        <v>50287.76786557267</v>
      </c>
    </row>
    <row r="2463" spans="9:18">
      <c r="I2463" s="4">
        <v>2448</v>
      </c>
      <c r="J2463" s="5">
        <v>28214.771032351968</v>
      </c>
      <c r="K2463" s="5">
        <v>14878.52734402675</v>
      </c>
      <c r="L2463" s="5">
        <v>15651.346103181355</v>
      </c>
      <c r="M2463" s="5">
        <v>29834.240613550006</v>
      </c>
      <c r="N2463" s="5">
        <v>39406.658185292261</v>
      </c>
      <c r="O2463" s="5">
        <v>4231.3144655921506</v>
      </c>
      <c r="P2463" s="5">
        <v>36724.352187786957</v>
      </c>
      <c r="Q2463" s="5">
        <v>37802.358878968138</v>
      </c>
      <c r="R2463" s="5">
        <v>24722.972470599001</v>
      </c>
    </row>
    <row r="2464" spans="9:18">
      <c r="I2464" s="4">
        <v>2449</v>
      </c>
      <c r="J2464" s="5">
        <v>16733.020222212988</v>
      </c>
      <c r="K2464" s="5">
        <v>21218.439146892688</v>
      </c>
      <c r="L2464" s="5">
        <v>14264.23790876064</v>
      </c>
      <c r="M2464" s="5">
        <v>18043.539897080744</v>
      </c>
      <c r="N2464" s="5">
        <v>15130.853682762778</v>
      </c>
      <c r="O2464" s="5">
        <v>10270.120415297655</v>
      </c>
      <c r="P2464" s="5">
        <v>27452.975716953504</v>
      </c>
      <c r="Q2464" s="5">
        <v>52421.574537857021</v>
      </c>
      <c r="R2464" s="5">
        <v>12116.34255245842</v>
      </c>
    </row>
    <row r="2465" spans="9:18">
      <c r="I2465" s="4">
        <v>2450</v>
      </c>
      <c r="J2465" s="5">
        <v>13841.207384998772</v>
      </c>
      <c r="K2465" s="5">
        <v>14587.813833513306</v>
      </c>
      <c r="L2465" s="5">
        <v>11827.803406885578</v>
      </c>
      <c r="M2465" s="5">
        <v>19262.243095117232</v>
      </c>
      <c r="N2465" s="5">
        <v>45581.602064432409</v>
      </c>
      <c r="O2465" s="5">
        <v>10676.618215263648</v>
      </c>
      <c r="P2465" s="5">
        <v>12790.85158217316</v>
      </c>
      <c r="Q2465" s="5">
        <v>13099.063525342741</v>
      </c>
      <c r="R2465" s="5">
        <v>5865.9802599669383</v>
      </c>
    </row>
    <row r="2466" spans="9:18">
      <c r="I2466" s="4">
        <v>2451</v>
      </c>
      <c r="J2466" s="5">
        <v>14680.308400328413</v>
      </c>
      <c r="K2466" s="5">
        <v>15129.619337591721</v>
      </c>
      <c r="L2466" s="5">
        <v>15487.970507365942</v>
      </c>
      <c r="M2466" s="5">
        <v>25580.243606220469</v>
      </c>
      <c r="N2466" s="5">
        <v>21931.347680292267</v>
      </c>
      <c r="O2466" s="5">
        <v>5444.7598502623823</v>
      </c>
      <c r="P2466" s="5">
        <v>14376.883105731285</v>
      </c>
      <c r="Q2466" s="5">
        <v>48756.323642664109</v>
      </c>
      <c r="R2466" s="5">
        <v>7201.7586694681067</v>
      </c>
    </row>
    <row r="2467" spans="9:18">
      <c r="I2467" s="4">
        <v>2452</v>
      </c>
      <c r="J2467" s="5">
        <v>14710.037865351254</v>
      </c>
      <c r="K2467" s="5">
        <v>11558.357574452555</v>
      </c>
      <c r="L2467" s="5">
        <v>21725.131459372977</v>
      </c>
      <c r="M2467" s="5">
        <v>19795.661011456152</v>
      </c>
      <c r="N2467" s="5">
        <v>23043.345403059295</v>
      </c>
      <c r="O2467" s="5">
        <v>27062.73412298776</v>
      </c>
      <c r="P2467" s="5">
        <v>22601.57564624758</v>
      </c>
      <c r="Q2467" s="5">
        <v>37277.391668005912</v>
      </c>
      <c r="R2467" s="5">
        <v>8046.7106309763258</v>
      </c>
    </row>
    <row r="2468" spans="9:18">
      <c r="I2468" s="4">
        <v>2453</v>
      </c>
      <c r="J2468" s="5">
        <v>16088.430030489333</v>
      </c>
      <c r="K2468" s="5">
        <v>15631.937142257386</v>
      </c>
      <c r="L2468" s="5">
        <v>18634.523182776735</v>
      </c>
      <c r="M2468" s="5">
        <v>30830.81083227017</v>
      </c>
      <c r="N2468" s="5">
        <v>24853.247795632611</v>
      </c>
      <c r="O2468" s="5">
        <v>51330.340277512776</v>
      </c>
      <c r="P2468" s="5">
        <v>54923.423457863879</v>
      </c>
      <c r="Q2468" s="5">
        <v>79566.621912742485</v>
      </c>
      <c r="R2468" s="5">
        <v>50287.76786557267</v>
      </c>
    </row>
    <row r="2469" spans="9:18">
      <c r="I2469" s="4">
        <v>2454</v>
      </c>
      <c r="J2469" s="5">
        <v>13045.114546182727</v>
      </c>
      <c r="K2469" s="5">
        <v>61827.107730316675</v>
      </c>
      <c r="L2469" s="5">
        <v>17693.864646288712</v>
      </c>
      <c r="M2469" s="5">
        <v>29058.117767351498</v>
      </c>
      <c r="N2469" s="5">
        <v>26115.05281128412</v>
      </c>
      <c r="O2469" s="5">
        <v>19492.655596593511</v>
      </c>
      <c r="P2469" s="5">
        <v>32167.874670939738</v>
      </c>
      <c r="Q2469" s="5">
        <v>21421.044775857536</v>
      </c>
      <c r="R2469" s="5">
        <v>40368.364083205248</v>
      </c>
    </row>
    <row r="2470" spans="9:18">
      <c r="I2470" s="4">
        <v>2455</v>
      </c>
      <c r="J2470" s="5">
        <v>22188.291830993156</v>
      </c>
      <c r="K2470" s="5">
        <v>15129.619337591721</v>
      </c>
      <c r="L2470" s="5">
        <v>17073.17760523731</v>
      </c>
      <c r="M2470" s="5">
        <v>10142.860128720422</v>
      </c>
      <c r="N2470" s="5">
        <v>21009.255892677338</v>
      </c>
      <c r="O2470" s="5">
        <v>10746.295275180995</v>
      </c>
      <c r="P2470" s="5">
        <v>74840.036182179319</v>
      </c>
      <c r="Q2470" s="5">
        <v>27789.973552634947</v>
      </c>
      <c r="R2470" s="5">
        <v>9913.4206865238284</v>
      </c>
    </row>
    <row r="2471" spans="9:18">
      <c r="I2471" s="4">
        <v>2456</v>
      </c>
      <c r="J2471" s="5">
        <v>12888.204629170894</v>
      </c>
      <c r="K2471" s="5">
        <v>20887.307279900142</v>
      </c>
      <c r="L2471" s="5">
        <v>10896.494237357269</v>
      </c>
      <c r="M2471" s="5">
        <v>33862.836621974391</v>
      </c>
      <c r="N2471" s="5">
        <v>25549.748582175915</v>
      </c>
      <c r="O2471" s="5">
        <v>35286.662852302201</v>
      </c>
      <c r="P2471" s="5">
        <v>9482.0186426688688</v>
      </c>
      <c r="Q2471" s="5">
        <v>37802.358878968138</v>
      </c>
      <c r="R2471" s="5">
        <v>24831.679362998926</v>
      </c>
    </row>
    <row r="2472" spans="9:18">
      <c r="I2472" s="4">
        <v>2457</v>
      </c>
      <c r="J2472" s="5">
        <v>8580.4413740966302</v>
      </c>
      <c r="K2472" s="5">
        <v>23327.217259521742</v>
      </c>
      <c r="L2472" s="5">
        <v>15651.346103181355</v>
      </c>
      <c r="M2472" s="5">
        <v>13642.678686731051</v>
      </c>
      <c r="N2472" s="5">
        <v>29468.83360104046</v>
      </c>
      <c r="O2472" s="5">
        <v>41800.463215706819</v>
      </c>
      <c r="P2472" s="5">
        <v>55119.366528283317</v>
      </c>
      <c r="Q2472" s="5">
        <v>37073.980790337926</v>
      </c>
      <c r="R2472" s="5">
        <v>122304.95880137496</v>
      </c>
    </row>
    <row r="2473" spans="9:18">
      <c r="I2473" s="4">
        <v>2458</v>
      </c>
      <c r="J2473" s="5">
        <v>14741.240040396578</v>
      </c>
      <c r="K2473" s="5">
        <v>6949.5708823216592</v>
      </c>
      <c r="L2473" s="5">
        <v>13867.07093008449</v>
      </c>
      <c r="M2473" s="5">
        <v>20185.026038758231</v>
      </c>
      <c r="N2473" s="5">
        <v>15786.177386596903</v>
      </c>
      <c r="O2473" s="5">
        <v>20930.098352661731</v>
      </c>
      <c r="P2473" s="5">
        <v>48123.003747643132</v>
      </c>
      <c r="Q2473" s="5">
        <v>59134.059519022907</v>
      </c>
      <c r="R2473" s="5">
        <v>27349.63499959607</v>
      </c>
    </row>
    <row r="2474" spans="9:18">
      <c r="I2474" s="4">
        <v>2459</v>
      </c>
      <c r="J2474" s="5">
        <v>14420.293087375476</v>
      </c>
      <c r="K2474" s="5">
        <v>19467.955014411935</v>
      </c>
      <c r="L2474" s="5">
        <v>18634.523182776735</v>
      </c>
      <c r="M2474" s="5">
        <v>19433.64679949253</v>
      </c>
      <c r="N2474" s="5">
        <v>26565.664379767408</v>
      </c>
      <c r="O2474" s="5">
        <v>51330.340277512776</v>
      </c>
      <c r="P2474" s="5">
        <v>46514.467673254068</v>
      </c>
      <c r="Q2474" s="5">
        <v>96632.959478514502</v>
      </c>
      <c r="R2474" s="5">
        <v>123773.40402252052</v>
      </c>
    </row>
    <row r="2475" spans="9:18">
      <c r="I2475" s="4">
        <v>2460</v>
      </c>
      <c r="J2475" s="5">
        <v>14420.293087375476</v>
      </c>
      <c r="K2475" s="5">
        <v>11507.182177474708</v>
      </c>
      <c r="L2475" s="5">
        <v>27144.958215276103</v>
      </c>
      <c r="M2475" s="5">
        <v>19890.009981657669</v>
      </c>
      <c r="N2475" s="5">
        <v>9209.4418830788036</v>
      </c>
      <c r="O2475" s="5">
        <v>55264.438774006347</v>
      </c>
      <c r="P2475" s="5">
        <v>10180.109839011631</v>
      </c>
      <c r="Q2475" s="5">
        <v>71213.172792303565</v>
      </c>
      <c r="R2475" s="5">
        <v>33863.04333215439</v>
      </c>
    </row>
    <row r="2476" spans="9:18">
      <c r="I2476" s="4">
        <v>2461</v>
      </c>
      <c r="J2476" s="5">
        <v>15064.079707240266</v>
      </c>
      <c r="K2476" s="5">
        <v>32294.121255311245</v>
      </c>
      <c r="L2476" s="5">
        <v>13037.115556745504</v>
      </c>
      <c r="M2476" s="5">
        <v>11860.862376247747</v>
      </c>
      <c r="N2476" s="5">
        <v>23043.345403059295</v>
      </c>
      <c r="O2476" s="5">
        <v>35865.625349531729</v>
      </c>
      <c r="P2476" s="5">
        <v>13452.921824087563</v>
      </c>
      <c r="Q2476" s="5">
        <v>16591.881190929333</v>
      </c>
      <c r="R2476" s="5">
        <v>51358.6267760993</v>
      </c>
    </row>
    <row r="2477" spans="9:18">
      <c r="I2477" s="4">
        <v>2462</v>
      </c>
      <c r="J2477" s="5">
        <v>31559.699247539775</v>
      </c>
      <c r="K2477" s="5">
        <v>15347.101709242541</v>
      </c>
      <c r="L2477" s="5">
        <v>16577.562442697115</v>
      </c>
      <c r="M2477" s="5">
        <v>14217.48832834715</v>
      </c>
      <c r="N2477" s="5">
        <v>19125.360074567652</v>
      </c>
      <c r="O2477" s="5">
        <v>9708.4497800977806</v>
      </c>
      <c r="P2477" s="5">
        <v>83536.241167211992</v>
      </c>
      <c r="Q2477" s="5">
        <v>54060.5331097772</v>
      </c>
      <c r="R2477" s="5">
        <v>50287.76786557267</v>
      </c>
    </row>
    <row r="2478" spans="9:18">
      <c r="I2478" s="4">
        <v>2463</v>
      </c>
      <c r="J2478" s="5">
        <v>12888.204629170894</v>
      </c>
      <c r="K2478" s="5">
        <v>61827.107730316675</v>
      </c>
      <c r="L2478" s="5">
        <v>15225.811035017256</v>
      </c>
      <c r="M2478" s="5">
        <v>20788.503422877813</v>
      </c>
      <c r="N2478" s="5">
        <v>17811.114014514766</v>
      </c>
      <c r="O2478" s="5">
        <v>67717.30633712461</v>
      </c>
      <c r="P2478" s="5">
        <v>38771.994792132391</v>
      </c>
      <c r="Q2478" s="5">
        <v>13214.632802255031</v>
      </c>
      <c r="R2478" s="5">
        <v>33290.909836056817</v>
      </c>
    </row>
    <row r="2479" spans="9:18">
      <c r="I2479" s="4">
        <v>2464</v>
      </c>
      <c r="J2479" s="5">
        <v>16145.071869702888</v>
      </c>
      <c r="K2479" s="5">
        <v>53937.689698015136</v>
      </c>
      <c r="L2479" s="5">
        <v>15060.431658965737</v>
      </c>
      <c r="M2479" s="5">
        <v>20041.623430301417</v>
      </c>
      <c r="N2479" s="5">
        <v>51261.622558090799</v>
      </c>
      <c r="O2479" s="5">
        <v>31172.963108652857</v>
      </c>
      <c r="P2479" s="5">
        <v>27708.613526855763</v>
      </c>
      <c r="Q2479" s="5">
        <v>19541.409060825732</v>
      </c>
      <c r="R2479" s="5">
        <v>46004.399892616471</v>
      </c>
    </row>
    <row r="2480" spans="9:18">
      <c r="I2480" s="4">
        <v>2465</v>
      </c>
      <c r="J2480" s="5">
        <v>15873.12561080002</v>
      </c>
      <c r="K2480" s="5">
        <v>11857.447519815871</v>
      </c>
      <c r="L2480" s="5">
        <v>17578.712723867691</v>
      </c>
      <c r="M2480" s="5">
        <v>9623.0342442006167</v>
      </c>
      <c r="N2480" s="5">
        <v>28426.778914975595</v>
      </c>
      <c r="O2480" s="5">
        <v>62082.6862081785</v>
      </c>
      <c r="P2480" s="5">
        <v>18963.234565965948</v>
      </c>
      <c r="Q2480" s="5">
        <v>19315.033835554255</v>
      </c>
      <c r="R2480" s="5">
        <v>41056.152565483346</v>
      </c>
    </row>
    <row r="2481" spans="9:18">
      <c r="I2481" s="4">
        <v>2466</v>
      </c>
      <c r="J2481" s="5">
        <v>13045.114546182727</v>
      </c>
      <c r="K2481" s="5">
        <v>16081.362509465702</v>
      </c>
      <c r="L2481" s="5">
        <v>19359.475411188432</v>
      </c>
      <c r="M2481" s="5">
        <v>13414.385151739983</v>
      </c>
      <c r="N2481" s="5">
        <v>24020.875410266352</v>
      </c>
      <c r="O2481" s="5">
        <v>9708.4497800977806</v>
      </c>
      <c r="P2481" s="5">
        <v>10532.667493814919</v>
      </c>
      <c r="Q2481" s="5">
        <v>129470.11441833655</v>
      </c>
      <c r="R2481" s="5">
        <v>96845.299789249824</v>
      </c>
    </row>
    <row r="2482" spans="9:18">
      <c r="I2482" s="4">
        <v>2467</v>
      </c>
      <c r="J2482" s="5">
        <v>15554.996700302558</v>
      </c>
      <c r="K2482" s="5">
        <v>7753.2116148734594</v>
      </c>
      <c r="L2482" s="5">
        <v>17578.712723867691</v>
      </c>
      <c r="M2482" s="5">
        <v>19042.78605337895</v>
      </c>
      <c r="N2482" s="5">
        <v>32184.535272543482</v>
      </c>
      <c r="O2482" s="5">
        <v>79848.944504816522</v>
      </c>
      <c r="P2482" s="5">
        <v>35213.322626437533</v>
      </c>
      <c r="Q2482" s="5">
        <v>20987.925664394581</v>
      </c>
      <c r="R2482" s="5">
        <v>38898.713625068609</v>
      </c>
    </row>
    <row r="2483" spans="9:18">
      <c r="I2483" s="4">
        <v>2468</v>
      </c>
      <c r="J2483" s="5">
        <v>12701.339251949787</v>
      </c>
      <c r="K2483" s="5">
        <v>32294.121255311245</v>
      </c>
      <c r="L2483" s="5">
        <v>21725.131459372977</v>
      </c>
      <c r="M2483" s="5">
        <v>41698.977215629871</v>
      </c>
      <c r="N2483" s="5">
        <v>41563.89847100406</v>
      </c>
      <c r="O2483" s="5">
        <v>10270.120415297655</v>
      </c>
      <c r="P2483" s="5">
        <v>83536.241167211992</v>
      </c>
      <c r="Q2483" s="5">
        <v>70295.978314632754</v>
      </c>
      <c r="R2483" s="5">
        <v>62674.060343500474</v>
      </c>
    </row>
    <row r="2484" spans="9:18">
      <c r="I2484" s="4">
        <v>2469</v>
      </c>
      <c r="J2484" s="5">
        <v>12452.764985867625</v>
      </c>
      <c r="K2484" s="5">
        <v>24728.095385476983</v>
      </c>
      <c r="L2484" s="5">
        <v>15664.99858445921</v>
      </c>
      <c r="M2484" s="5">
        <v>10111.451009425113</v>
      </c>
      <c r="N2484" s="5">
        <v>63974.903847153939</v>
      </c>
      <c r="O2484" s="5">
        <v>49114.195066822271</v>
      </c>
      <c r="P2484" s="5">
        <v>12639.596794453437</v>
      </c>
      <c r="Q2484" s="5">
        <v>31902.904306425251</v>
      </c>
      <c r="R2484" s="5">
        <v>12116.34255245842</v>
      </c>
    </row>
    <row r="2485" spans="9:18">
      <c r="I2485" s="4">
        <v>2470</v>
      </c>
      <c r="J2485" s="5">
        <v>16710.807721801892</v>
      </c>
      <c r="K2485" s="5">
        <v>53937.689698015136</v>
      </c>
      <c r="L2485" s="5">
        <v>15764.107424863063</v>
      </c>
      <c r="M2485" s="5">
        <v>29834.240613550006</v>
      </c>
      <c r="N2485" s="5">
        <v>34295.124147811541</v>
      </c>
      <c r="O2485" s="5">
        <v>3171.3006415671193</v>
      </c>
      <c r="P2485" s="5">
        <v>3930.0915591834291</v>
      </c>
      <c r="Q2485" s="5">
        <v>129470.11441833655</v>
      </c>
      <c r="R2485" s="5">
        <v>89167.415757270224</v>
      </c>
    </row>
    <row r="2486" spans="9:18">
      <c r="I2486" s="4">
        <v>2471</v>
      </c>
      <c r="J2486" s="5">
        <v>28590.354879265724</v>
      </c>
      <c r="K2486" s="5">
        <v>11149.572204897504</v>
      </c>
      <c r="L2486" s="5">
        <v>17128.574519497746</v>
      </c>
      <c r="M2486" s="5">
        <v>19262.243095117232</v>
      </c>
      <c r="N2486" s="5">
        <v>17891.96347244953</v>
      </c>
      <c r="O2486" s="5">
        <v>42492.261063288854</v>
      </c>
      <c r="P2486" s="5">
        <v>34768.042801665702</v>
      </c>
      <c r="Q2486" s="5">
        <v>9454.5906023793759</v>
      </c>
      <c r="R2486" s="5">
        <v>91403.228438796665</v>
      </c>
    </row>
    <row r="2487" spans="9:18">
      <c r="I2487" s="4">
        <v>2472</v>
      </c>
      <c r="J2487" s="5">
        <v>29760.443016608337</v>
      </c>
      <c r="K2487" s="5">
        <v>21218.439146892688</v>
      </c>
      <c r="L2487" s="5">
        <v>17920.486090689363</v>
      </c>
      <c r="M2487" s="5">
        <v>15346.383801976139</v>
      </c>
      <c r="N2487" s="5">
        <v>23283.854578052265</v>
      </c>
      <c r="O2487" s="5">
        <v>13117.417685535194</v>
      </c>
      <c r="P2487" s="5">
        <v>28537.545734403488</v>
      </c>
      <c r="Q2487" s="5">
        <v>22145.301831504508</v>
      </c>
      <c r="R2487" s="5">
        <v>12194.45251033065</v>
      </c>
    </row>
    <row r="2488" spans="9:18">
      <c r="I2488" s="4">
        <v>2473</v>
      </c>
      <c r="J2488" s="5">
        <v>17592.832480262863</v>
      </c>
      <c r="K2488" s="5">
        <v>35488.449387009874</v>
      </c>
      <c r="L2488" s="5">
        <v>15746.942257105531</v>
      </c>
      <c r="M2488" s="5">
        <v>36301.422888051464</v>
      </c>
      <c r="N2488" s="5">
        <v>21931.347680292267</v>
      </c>
      <c r="O2488" s="5">
        <v>49114.195066822271</v>
      </c>
      <c r="P2488" s="5">
        <v>3017.2887813579896</v>
      </c>
      <c r="Q2488" s="5">
        <v>9645.8788061228515</v>
      </c>
      <c r="R2488" s="5">
        <v>51141.799458534304</v>
      </c>
    </row>
    <row r="2489" spans="9:18">
      <c r="I2489" s="4">
        <v>2474</v>
      </c>
      <c r="J2489" s="5">
        <v>14741.240040396578</v>
      </c>
      <c r="K2489" s="5">
        <v>14095.75230105142</v>
      </c>
      <c r="L2489" s="5">
        <v>34748.877779456467</v>
      </c>
      <c r="M2489" s="5">
        <v>32751.734100446065</v>
      </c>
      <c r="N2489" s="5">
        <v>11788.341482962171</v>
      </c>
      <c r="O2489" s="5">
        <v>28431.436490368542</v>
      </c>
      <c r="P2489" s="5">
        <v>63015.124693769802</v>
      </c>
      <c r="Q2489" s="5">
        <v>7349.2234634219121</v>
      </c>
      <c r="R2489" s="5">
        <v>86510.608303273053</v>
      </c>
    </row>
    <row r="2490" spans="9:18">
      <c r="I2490" s="4">
        <v>2475</v>
      </c>
      <c r="J2490" s="5">
        <v>13595.404057849493</v>
      </c>
      <c r="K2490" s="5">
        <v>12423.491400404893</v>
      </c>
      <c r="L2490" s="5">
        <v>13622.976145621742</v>
      </c>
      <c r="M2490" s="5">
        <v>14660.631931099009</v>
      </c>
      <c r="N2490" s="5">
        <v>23998.040874392525</v>
      </c>
      <c r="O2490" s="5">
        <v>31172.963108652857</v>
      </c>
      <c r="P2490" s="5">
        <v>55152.110177667731</v>
      </c>
      <c r="Q2490" s="5">
        <v>31019.493883163672</v>
      </c>
      <c r="R2490" s="5">
        <v>30571.564004538617</v>
      </c>
    </row>
    <row r="2491" spans="9:18">
      <c r="I2491" s="4">
        <v>2476</v>
      </c>
      <c r="J2491" s="5">
        <v>12056.41843703942</v>
      </c>
      <c r="K2491" s="5">
        <v>14351.415257675473</v>
      </c>
      <c r="L2491" s="5">
        <v>16071.478531535273</v>
      </c>
      <c r="M2491" s="5">
        <v>30785.663999045999</v>
      </c>
      <c r="N2491" s="5">
        <v>11251.634703629026</v>
      </c>
      <c r="O2491" s="5">
        <v>30876.675913171162</v>
      </c>
      <c r="P2491" s="5">
        <v>12992.105410393709</v>
      </c>
      <c r="Q2491" s="5">
        <v>37497.234505125656</v>
      </c>
      <c r="R2491" s="5">
        <v>10885.018205103002</v>
      </c>
    </row>
    <row r="2492" spans="9:18">
      <c r="I2492" s="4">
        <v>2477</v>
      </c>
      <c r="J2492" s="5">
        <v>28085.9245102444</v>
      </c>
      <c r="K2492" s="5">
        <v>22732.797143159998</v>
      </c>
      <c r="L2492" s="5">
        <v>13417.453622029931</v>
      </c>
      <c r="M2492" s="5">
        <v>12619.198742021435</v>
      </c>
      <c r="N2492" s="5">
        <v>24853.247795632611</v>
      </c>
      <c r="O2492" s="5">
        <v>53007.660727727191</v>
      </c>
      <c r="P2492" s="5">
        <v>31127.87225845682</v>
      </c>
      <c r="Q2492" s="5">
        <v>92068.726035424203</v>
      </c>
      <c r="R2492" s="5">
        <v>51141.799458534304</v>
      </c>
    </row>
    <row r="2493" spans="9:18">
      <c r="I2493" s="4">
        <v>2478</v>
      </c>
      <c r="J2493" s="5">
        <v>31559.699247539775</v>
      </c>
      <c r="K2493" s="5">
        <v>13719.930466819731</v>
      </c>
      <c r="L2493" s="5">
        <v>19189.275558866306</v>
      </c>
      <c r="M2493" s="5">
        <v>19890.009981657669</v>
      </c>
      <c r="N2493" s="5">
        <v>14921.795973817481</v>
      </c>
      <c r="O2493" s="5">
        <v>9708.4497800977806</v>
      </c>
      <c r="P2493" s="5">
        <v>28537.545734403488</v>
      </c>
      <c r="Q2493" s="5">
        <v>7457.1844090365566</v>
      </c>
      <c r="R2493" s="5">
        <v>93933.045103013996</v>
      </c>
    </row>
    <row r="2494" spans="9:18">
      <c r="I2494" s="4">
        <v>2479</v>
      </c>
      <c r="J2494" s="5">
        <v>16459.003095225507</v>
      </c>
      <c r="K2494" s="5">
        <v>14351.415257675473</v>
      </c>
      <c r="L2494" s="5">
        <v>14175.160754078657</v>
      </c>
      <c r="M2494" s="5">
        <v>16500.222621933419</v>
      </c>
      <c r="N2494" s="5">
        <v>32184.535272543482</v>
      </c>
      <c r="O2494" s="5">
        <v>16505.600261180331</v>
      </c>
      <c r="P2494" s="5">
        <v>44646.134934589521</v>
      </c>
      <c r="Q2494" s="5">
        <v>25156.033327562815</v>
      </c>
      <c r="R2494" s="5">
        <v>55012.315589742022</v>
      </c>
    </row>
    <row r="2495" spans="9:18">
      <c r="I2495" s="4">
        <v>2480</v>
      </c>
      <c r="J2495" s="5">
        <v>45301.532027110363</v>
      </c>
      <c r="K2495" s="5">
        <v>10931.803935361211</v>
      </c>
      <c r="L2495" s="5">
        <v>17683.765335572589</v>
      </c>
      <c r="M2495" s="5">
        <v>26477.996319655329</v>
      </c>
      <c r="N2495" s="5">
        <v>18410.937863650517</v>
      </c>
      <c r="O2495" s="5">
        <v>28431.436490368542</v>
      </c>
      <c r="P2495" s="5">
        <v>14773.185437294762</v>
      </c>
      <c r="Q2495" s="5">
        <v>8502.450657922871</v>
      </c>
      <c r="R2495" s="5">
        <v>16039.216896723072</v>
      </c>
    </row>
    <row r="2496" spans="9:18">
      <c r="I2496" s="4">
        <v>2481</v>
      </c>
      <c r="J2496" s="5">
        <v>9368.8270679249108</v>
      </c>
      <c r="K2496" s="5">
        <v>13559.080695844099</v>
      </c>
      <c r="L2496" s="5">
        <v>15922.087958863045</v>
      </c>
      <c r="M2496" s="5">
        <v>22961.931350882205</v>
      </c>
      <c r="N2496" s="5">
        <v>20292.069765667391</v>
      </c>
      <c r="O2496" s="5">
        <v>18637.945795127704</v>
      </c>
      <c r="P2496" s="5">
        <v>5836.7810663002319</v>
      </c>
      <c r="Q2496" s="5">
        <v>44911.749632594299</v>
      </c>
      <c r="R2496" s="5">
        <v>76851.431017396084</v>
      </c>
    </row>
    <row r="2497" spans="9:18">
      <c r="I2497" s="4">
        <v>2482</v>
      </c>
      <c r="J2497" s="5">
        <v>14749.343145806102</v>
      </c>
      <c r="K2497" s="5">
        <v>53937.689698015136</v>
      </c>
      <c r="L2497" s="5">
        <v>18379.634651549037</v>
      </c>
      <c r="M2497" s="5">
        <v>9623.0342442006167</v>
      </c>
      <c r="N2497" s="5">
        <v>24769.339976495565</v>
      </c>
      <c r="O2497" s="5">
        <v>66253.993323243907</v>
      </c>
      <c r="P2497" s="5">
        <v>20391.123772341358</v>
      </c>
      <c r="Q2497" s="5">
        <v>28797.29222718185</v>
      </c>
      <c r="R2497" s="5">
        <v>182942.88598316166</v>
      </c>
    </row>
    <row r="2498" spans="9:18">
      <c r="I2498" s="4">
        <v>2483</v>
      </c>
      <c r="J2498" s="5">
        <v>11843.28062342474</v>
      </c>
      <c r="K2498" s="5">
        <v>10931.803935361211</v>
      </c>
      <c r="L2498" s="5">
        <v>19078.910217042379</v>
      </c>
      <c r="M2498" s="5">
        <v>11529.920007560097</v>
      </c>
      <c r="N2498" s="5">
        <v>48565.498233359976</v>
      </c>
      <c r="O2498" s="5">
        <v>20930.098352661731</v>
      </c>
      <c r="P2498" s="5">
        <v>23769.190223735484</v>
      </c>
      <c r="Q2498" s="5">
        <v>129470.11441833655</v>
      </c>
      <c r="R2498" s="5">
        <v>2180.6148629084787</v>
      </c>
    </row>
    <row r="2499" spans="9:18">
      <c r="I2499" s="4">
        <v>2484</v>
      </c>
      <c r="J2499" s="5">
        <v>13663.281817546009</v>
      </c>
      <c r="K2499" s="5">
        <v>12423.491400404893</v>
      </c>
      <c r="L2499" s="5">
        <v>15471.738323660695</v>
      </c>
      <c r="M2499" s="5">
        <v>23913.435663027711</v>
      </c>
      <c r="N2499" s="5">
        <v>10882.757905166785</v>
      </c>
      <c r="O2499" s="5">
        <v>6199.3195463515376</v>
      </c>
      <c r="P2499" s="5">
        <v>10532.667493814919</v>
      </c>
      <c r="Q2499" s="5">
        <v>48756.323642664109</v>
      </c>
      <c r="R2499" s="5">
        <v>72640.340924600489</v>
      </c>
    </row>
    <row r="2500" spans="9:18">
      <c r="I2500" s="4">
        <v>2485</v>
      </c>
      <c r="J2500" s="5">
        <v>17679.321624063952</v>
      </c>
      <c r="K2500" s="5">
        <v>14095.75230105142</v>
      </c>
      <c r="L2500" s="5">
        <v>14796.875457021113</v>
      </c>
      <c r="M2500" s="5">
        <v>21833.004790208965</v>
      </c>
      <c r="N2500" s="5">
        <v>37309.151967087455</v>
      </c>
      <c r="O2500" s="5">
        <v>27503.656957929088</v>
      </c>
      <c r="P2500" s="5">
        <v>46514.467673254068</v>
      </c>
      <c r="Q2500" s="5">
        <v>28567.61306643406</v>
      </c>
      <c r="R2500" s="5">
        <v>89167.415757270224</v>
      </c>
    </row>
    <row r="2501" spans="9:18">
      <c r="I2501" s="4">
        <v>2486</v>
      </c>
      <c r="J2501" s="5">
        <v>9368.8270679249108</v>
      </c>
      <c r="K2501" s="5">
        <v>14854.898507619706</v>
      </c>
      <c r="L2501" s="5">
        <v>27289.607394458035</v>
      </c>
      <c r="M2501" s="5">
        <v>18177.175180585615</v>
      </c>
      <c r="N2501" s="5">
        <v>14335.478134989447</v>
      </c>
      <c r="O2501" s="5">
        <v>27503.656957929088</v>
      </c>
      <c r="P2501" s="5">
        <v>17643.087208586294</v>
      </c>
      <c r="Q2501" s="5">
        <v>31974.553851773013</v>
      </c>
      <c r="R2501" s="5">
        <v>76851.431017396084</v>
      </c>
    </row>
    <row r="2502" spans="9:18">
      <c r="I2502" s="4">
        <v>2487</v>
      </c>
      <c r="J2502" s="5">
        <v>11036.461796239426</v>
      </c>
      <c r="K2502" s="5">
        <v>7753.2116148734594</v>
      </c>
      <c r="L2502" s="5">
        <v>14815.394001212817</v>
      </c>
      <c r="M2502" s="5">
        <v>18043.539897080744</v>
      </c>
      <c r="N2502" s="5">
        <v>25424.029865101274</v>
      </c>
      <c r="O2502" s="5">
        <v>62082.6862081785</v>
      </c>
      <c r="P2502" s="5">
        <v>35213.322626437533</v>
      </c>
      <c r="Q2502" s="5">
        <v>129470.11441833655</v>
      </c>
      <c r="R2502" s="5">
        <v>14051.647494499957</v>
      </c>
    </row>
    <row r="2503" spans="9:18">
      <c r="I2503" s="4">
        <v>2488</v>
      </c>
      <c r="J2503" s="5">
        <v>15081.728672246438</v>
      </c>
      <c r="K2503" s="5">
        <v>14095.75230105142</v>
      </c>
      <c r="L2503" s="5">
        <v>13023.361770761438</v>
      </c>
      <c r="M2503" s="5">
        <v>14432.283063351901</v>
      </c>
      <c r="N2503" s="5">
        <v>15786.177386596903</v>
      </c>
      <c r="O2503" s="5">
        <v>16462.170789592048</v>
      </c>
      <c r="P2503" s="5">
        <v>20391.123772341358</v>
      </c>
      <c r="Q2503" s="5">
        <v>21421.044775857536</v>
      </c>
      <c r="R2503" s="5">
        <v>38898.713625068609</v>
      </c>
    </row>
    <row r="2504" spans="9:18">
      <c r="I2504" s="4">
        <v>2489</v>
      </c>
      <c r="J2504" s="5">
        <v>16710.807721801892</v>
      </c>
      <c r="K2504" s="5">
        <v>14021.934268028277</v>
      </c>
      <c r="L2504" s="5">
        <v>19078.910217042379</v>
      </c>
      <c r="M2504" s="5">
        <v>41403.687663920646</v>
      </c>
      <c r="N2504" s="5">
        <v>23746.795665493762</v>
      </c>
      <c r="O2504" s="5">
        <v>4231.3144655921506</v>
      </c>
      <c r="P2504" s="5">
        <v>21813.848941464526</v>
      </c>
      <c r="Q2504" s="5">
        <v>25156.033327562815</v>
      </c>
      <c r="R2504" s="5">
        <v>90296.353221228885</v>
      </c>
    </row>
    <row r="2505" spans="9:18">
      <c r="I2505" s="4">
        <v>2490</v>
      </c>
      <c r="J2505" s="5">
        <v>15064.079707240266</v>
      </c>
      <c r="K2505" s="5">
        <v>17903.387243834499</v>
      </c>
      <c r="L2505" s="5">
        <v>17243.440968229323</v>
      </c>
      <c r="M2505" s="5">
        <v>23908.621352410395</v>
      </c>
      <c r="N2505" s="5">
        <v>27841.916587595573</v>
      </c>
      <c r="O2505" s="5">
        <v>8121.6248378263163</v>
      </c>
      <c r="P2505" s="5">
        <v>32155.527541400057</v>
      </c>
      <c r="Q2505" s="5">
        <v>3272.4685014937832</v>
      </c>
      <c r="R2505" s="5">
        <v>90296.353221228885</v>
      </c>
    </row>
    <row r="2506" spans="9:18">
      <c r="I2506" s="4">
        <v>2491</v>
      </c>
      <c r="J2506" s="5">
        <v>12056.41843703942</v>
      </c>
      <c r="K2506" s="5">
        <v>11558.357574452555</v>
      </c>
      <c r="L2506" s="5">
        <v>16106.634875163341</v>
      </c>
      <c r="M2506" s="5">
        <v>10142.860128720422</v>
      </c>
      <c r="N2506" s="5">
        <v>20583.564383988036</v>
      </c>
      <c r="O2506" s="5">
        <v>28431.436490368542</v>
      </c>
      <c r="P2506" s="5">
        <v>9965.8330787532959</v>
      </c>
      <c r="Q2506" s="5">
        <v>14064.158297039334</v>
      </c>
      <c r="R2506" s="5">
        <v>216919.53009911609</v>
      </c>
    </row>
    <row r="2507" spans="9:18">
      <c r="I2507" s="4">
        <v>2492</v>
      </c>
      <c r="J2507" s="5">
        <v>20768.286261788198</v>
      </c>
      <c r="K2507" s="5">
        <v>21527.93129974293</v>
      </c>
      <c r="L2507" s="5">
        <v>18215.751370765771</v>
      </c>
      <c r="M2507" s="5">
        <v>14432.283063351901</v>
      </c>
      <c r="N2507" s="5">
        <v>15804.474686449519</v>
      </c>
      <c r="O2507" s="5">
        <v>24247.516962783076</v>
      </c>
      <c r="P2507" s="5">
        <v>6275.8915673055426</v>
      </c>
      <c r="Q2507" s="5">
        <v>17153.530968450712</v>
      </c>
      <c r="R2507" s="5">
        <v>17687.533637716911</v>
      </c>
    </row>
    <row r="2508" spans="9:18">
      <c r="I2508" s="4">
        <v>2493</v>
      </c>
      <c r="J2508" s="5">
        <v>9368.8270679249108</v>
      </c>
      <c r="K2508" s="5">
        <v>16273.14570113692</v>
      </c>
      <c r="L2508" s="5">
        <v>18810.091753970282</v>
      </c>
      <c r="M2508" s="5">
        <v>31460.745851561904</v>
      </c>
      <c r="N2508" s="5">
        <v>9209.4418830788036</v>
      </c>
      <c r="O2508" s="5">
        <v>26268.613803794757</v>
      </c>
      <c r="P2508" s="5">
        <v>12639.596794453437</v>
      </c>
      <c r="Q2508" s="5">
        <v>43417.41805414496</v>
      </c>
      <c r="R2508" s="5">
        <v>44707.053087992797</v>
      </c>
    </row>
    <row r="2509" spans="9:18">
      <c r="I2509" s="4">
        <v>2494</v>
      </c>
      <c r="J2509" s="5">
        <v>16088.430030489333</v>
      </c>
      <c r="K2509" s="5">
        <v>21187.174639714212</v>
      </c>
      <c r="L2509" s="5">
        <v>17716.90539191998</v>
      </c>
      <c r="M2509" s="5">
        <v>22815.60259636537</v>
      </c>
      <c r="N2509" s="5">
        <v>11251.634703629026</v>
      </c>
      <c r="O2509" s="5">
        <v>26268.613803794757</v>
      </c>
      <c r="P2509" s="5">
        <v>83536.241167211992</v>
      </c>
      <c r="Q2509" s="5">
        <v>6386.5227360487288</v>
      </c>
      <c r="R2509" s="5">
        <v>24722.972470599001</v>
      </c>
    </row>
    <row r="2510" spans="9:18">
      <c r="I2510" s="4">
        <v>2495</v>
      </c>
      <c r="J2510" s="5">
        <v>16710.807721801892</v>
      </c>
      <c r="K2510" s="5">
        <v>24728.095385476983</v>
      </c>
      <c r="L2510" s="5">
        <v>16955.349467865559</v>
      </c>
      <c r="M2510" s="5">
        <v>16001.653036457456</v>
      </c>
      <c r="N2510" s="5">
        <v>15804.474686449519</v>
      </c>
      <c r="O2510" s="5">
        <v>20721.57544042755</v>
      </c>
      <c r="P2510" s="5">
        <v>12992.105410393709</v>
      </c>
      <c r="Q2510" s="5">
        <v>148345.62878828164</v>
      </c>
      <c r="R2510" s="5">
        <v>81423.874800517297</v>
      </c>
    </row>
    <row r="2511" spans="9:18">
      <c r="I2511" s="4">
        <v>2496</v>
      </c>
      <c r="J2511" s="5">
        <v>21150.169973104224</v>
      </c>
      <c r="K2511" s="5">
        <v>16199.334613834633</v>
      </c>
      <c r="L2511" s="5">
        <v>22412.045018675239</v>
      </c>
      <c r="M2511" s="5">
        <v>17370.588707072598</v>
      </c>
      <c r="N2511" s="5">
        <v>19225.139878706803</v>
      </c>
      <c r="O2511" s="5">
        <v>16826.763259351828</v>
      </c>
      <c r="P2511" s="5">
        <v>25258.981945036445</v>
      </c>
      <c r="Q2511" s="5">
        <v>96632.959478514502</v>
      </c>
      <c r="R2511" s="5">
        <v>14706.681111065362</v>
      </c>
    </row>
    <row r="2512" spans="9:18">
      <c r="I2512" s="4">
        <v>2497</v>
      </c>
      <c r="J2512" s="5">
        <v>23517.429992060665</v>
      </c>
      <c r="K2512" s="5">
        <v>14017.262946034314</v>
      </c>
      <c r="L2512" s="5">
        <v>18215.751370765771</v>
      </c>
      <c r="M2512" s="5">
        <v>21833.004790208965</v>
      </c>
      <c r="N2512" s="5">
        <v>11684.605182472778</v>
      </c>
      <c r="O2512" s="5">
        <v>15936.062371781712</v>
      </c>
      <c r="P2512" s="5">
        <v>25258.981945036445</v>
      </c>
      <c r="Q2512" s="5">
        <v>3272.4685014937832</v>
      </c>
      <c r="R2512" s="5">
        <v>181970.23111012415</v>
      </c>
    </row>
    <row r="2513" spans="9:18">
      <c r="I2513" s="4">
        <v>2498</v>
      </c>
      <c r="J2513" s="5">
        <v>16733.020222212988</v>
      </c>
      <c r="K2513" s="5">
        <v>14095.75230105142</v>
      </c>
      <c r="L2513" s="5">
        <v>23760.785349782636</v>
      </c>
      <c r="M2513" s="5">
        <v>21833.004790208965</v>
      </c>
      <c r="N2513" s="5">
        <v>21931.347680292267</v>
      </c>
      <c r="O2513" s="5">
        <v>27068.054847826614</v>
      </c>
      <c r="P2513" s="5">
        <v>54100.778483493887</v>
      </c>
      <c r="Q2513" s="5">
        <v>13099.063525342741</v>
      </c>
      <c r="R2513" s="5">
        <v>16039.216896723072</v>
      </c>
    </row>
    <row r="2514" spans="9:18">
      <c r="I2514" s="4">
        <v>2499</v>
      </c>
      <c r="J2514" s="5">
        <v>13045.114546182727</v>
      </c>
      <c r="K2514" s="5">
        <v>61827.107730316675</v>
      </c>
      <c r="L2514" s="5">
        <v>18215.751370765771</v>
      </c>
      <c r="M2514" s="5">
        <v>17370.588707072598</v>
      </c>
      <c r="N2514" s="5">
        <v>13511.694619545402</v>
      </c>
      <c r="O2514" s="5">
        <v>94068.324736096256</v>
      </c>
      <c r="P2514" s="5">
        <v>24349.301972630979</v>
      </c>
      <c r="Q2514" s="5">
        <v>37277.391668005912</v>
      </c>
      <c r="R2514" s="5">
        <v>7879.038918914337</v>
      </c>
    </row>
    <row r="2515" spans="9:18">
      <c r="I2515" s="4">
        <v>2500</v>
      </c>
      <c r="J2515" s="5">
        <v>13391.049101507895</v>
      </c>
      <c r="K2515" s="5">
        <v>31910.762633549082</v>
      </c>
      <c r="L2515" s="5">
        <v>27144.958215276103</v>
      </c>
      <c r="M2515" s="5">
        <v>21833.004790208965</v>
      </c>
      <c r="N2515" s="5">
        <v>23583.581287126868</v>
      </c>
      <c r="O2515" s="5">
        <v>10746.295275180995</v>
      </c>
      <c r="P2515" s="5">
        <v>74840.036182179319</v>
      </c>
      <c r="Q2515" s="5">
        <v>22145.301831504508</v>
      </c>
      <c r="R2515" s="5">
        <v>14706.681111065362</v>
      </c>
    </row>
    <row r="2516" spans="9:18">
      <c r="I2516" s="4">
        <v>2501</v>
      </c>
      <c r="J2516" s="5">
        <v>19048.674633640545</v>
      </c>
      <c r="K2516" s="5">
        <v>7753.2116148734594</v>
      </c>
      <c r="L2516" s="5">
        <v>14815.394001212817</v>
      </c>
      <c r="M2516" s="5">
        <v>31460.745851561904</v>
      </c>
      <c r="N2516" s="5">
        <v>15251.140047572881</v>
      </c>
      <c r="O2516" s="5">
        <v>27195.510785031525</v>
      </c>
      <c r="P2516" s="5">
        <v>27708.613526855763</v>
      </c>
      <c r="Q2516" s="5">
        <v>11928.872068442162</v>
      </c>
      <c r="R2516" s="5">
        <v>9913.4206865238284</v>
      </c>
    </row>
    <row r="2517" spans="9:18">
      <c r="I2517" s="4">
        <v>2502</v>
      </c>
      <c r="J2517" s="5">
        <v>13447.638004246244</v>
      </c>
      <c r="K2517" s="5">
        <v>9769.3659785458403</v>
      </c>
      <c r="L2517" s="5">
        <v>17128.574519497746</v>
      </c>
      <c r="M2517" s="5">
        <v>10451.914120098167</v>
      </c>
      <c r="N2517" s="5">
        <v>21931.347680292267</v>
      </c>
      <c r="O2517" s="5">
        <v>16462.170789592048</v>
      </c>
      <c r="P2517" s="5">
        <v>41657.50350099193</v>
      </c>
      <c r="Q2517" s="5">
        <v>31855.809428519857</v>
      </c>
      <c r="R2517" s="5">
        <v>7784.2246210242874</v>
      </c>
    </row>
    <row r="2518" spans="9:18">
      <c r="I2518" s="4">
        <v>2503</v>
      </c>
      <c r="J2518" s="5">
        <v>15786.811016780619</v>
      </c>
      <c r="K2518" s="5">
        <v>23543.914024953676</v>
      </c>
      <c r="L2518" s="5">
        <v>22412.045018675239</v>
      </c>
      <c r="M2518" s="5">
        <v>19042.78605337895</v>
      </c>
      <c r="N2518" s="5">
        <v>48565.498233359976</v>
      </c>
      <c r="O2518" s="5">
        <v>10738.305003664611</v>
      </c>
      <c r="P2518" s="5">
        <v>25258.981945036445</v>
      </c>
      <c r="Q2518" s="5">
        <v>27789.973552634947</v>
      </c>
      <c r="R2518" s="5">
        <v>10885.018205103002</v>
      </c>
    </row>
    <row r="2519" spans="9:18">
      <c r="I2519" s="4">
        <v>2504</v>
      </c>
      <c r="J2519" s="5">
        <v>26634.853073396614</v>
      </c>
      <c r="K2519" s="5">
        <v>23934.551191616061</v>
      </c>
      <c r="L2519" s="5">
        <v>27289.607394458035</v>
      </c>
      <c r="M2519" s="5">
        <v>37411.178129764201</v>
      </c>
      <c r="N2519" s="5">
        <v>35826.921212852278</v>
      </c>
      <c r="O2519" s="5">
        <v>16505.600261180331</v>
      </c>
      <c r="P2519" s="5">
        <v>27708.613526855763</v>
      </c>
      <c r="Q2519" s="5">
        <v>16803.875627203233</v>
      </c>
      <c r="R2519" s="5">
        <v>19133.693426869788</v>
      </c>
    </row>
    <row r="2520" spans="9:18">
      <c r="I2520" s="4">
        <v>2505</v>
      </c>
      <c r="J2520" s="5">
        <v>16733.020222212988</v>
      </c>
      <c r="K2520" s="5">
        <v>24728.095385476983</v>
      </c>
      <c r="L2520" s="5">
        <v>14811.370758813007</v>
      </c>
      <c r="M2520" s="5">
        <v>18691.941789825862</v>
      </c>
      <c r="N2520" s="5">
        <v>48565.498233359976</v>
      </c>
      <c r="O2520" s="5">
        <v>24422.445067017139</v>
      </c>
      <c r="P2520" s="5">
        <v>40377.463755170742</v>
      </c>
      <c r="Q2520" s="5">
        <v>9454.5906023793759</v>
      </c>
      <c r="R2520" s="5">
        <v>12194.45251033065</v>
      </c>
    </row>
    <row r="2521" spans="9:18">
      <c r="I2521" s="4">
        <v>2506</v>
      </c>
      <c r="J2521" s="5">
        <v>31053.540961463306</v>
      </c>
      <c r="K2521" s="5">
        <v>43843.85059185313</v>
      </c>
      <c r="L2521" s="5">
        <v>19359.475411188432</v>
      </c>
      <c r="M2521" s="5">
        <v>13139.022167648376</v>
      </c>
      <c r="N2521" s="5">
        <v>51261.622558090799</v>
      </c>
      <c r="O2521" s="5">
        <v>25802.481365323994</v>
      </c>
      <c r="P2521" s="5">
        <v>77603.711720266961</v>
      </c>
      <c r="Q2521" s="5">
        <v>2356.8990887111336</v>
      </c>
      <c r="R2521" s="5">
        <v>123773.40402252052</v>
      </c>
    </row>
    <row r="2522" spans="9:18">
      <c r="I2522" s="4">
        <v>2507</v>
      </c>
      <c r="J2522" s="5">
        <v>14344.692898101612</v>
      </c>
      <c r="K2522" s="5">
        <v>15768.312122029349</v>
      </c>
      <c r="L2522" s="5">
        <v>22412.045018675239</v>
      </c>
      <c r="M2522" s="5">
        <v>29834.240613550006</v>
      </c>
      <c r="N2522" s="5">
        <v>40377.252444397986</v>
      </c>
      <c r="O2522" s="5">
        <v>27503.656957929088</v>
      </c>
      <c r="P2522" s="5">
        <v>29283.825979394511</v>
      </c>
      <c r="Q2522" s="5">
        <v>59964.86015574776</v>
      </c>
      <c r="R2522" s="5">
        <v>7784.2246210242874</v>
      </c>
    </row>
    <row r="2523" spans="9:18">
      <c r="I2523" s="4">
        <v>2508</v>
      </c>
      <c r="J2523" s="5">
        <v>17592.832480262863</v>
      </c>
      <c r="K2523" s="5">
        <v>35705.595198125673</v>
      </c>
      <c r="L2523" s="5">
        <v>17920.486090689363</v>
      </c>
      <c r="M2523" s="5">
        <v>36301.422888051464</v>
      </c>
      <c r="N2523" s="5">
        <v>12523.573732460784</v>
      </c>
      <c r="O2523" s="5">
        <v>25604.597681740845</v>
      </c>
      <c r="P2523" s="5">
        <v>54292.749740228588</v>
      </c>
      <c r="Q2523" s="5">
        <v>27789.973552634947</v>
      </c>
      <c r="R2523" s="5">
        <v>44707.053087992797</v>
      </c>
    </row>
    <row r="2524" spans="9:18">
      <c r="I2524" s="4">
        <v>2509</v>
      </c>
      <c r="J2524" s="5">
        <v>73074.062486361407</v>
      </c>
      <c r="K2524" s="5">
        <v>13652.224205833634</v>
      </c>
      <c r="L2524" s="5">
        <v>17243.440968229323</v>
      </c>
      <c r="M2524" s="5">
        <v>36301.422888051464</v>
      </c>
      <c r="N2524" s="5">
        <v>16418.492928415813</v>
      </c>
      <c r="O2524" s="5">
        <v>27195.510785031525</v>
      </c>
      <c r="P2524" s="5">
        <v>22601.57564624758</v>
      </c>
      <c r="Q2524" s="5">
        <v>59964.86015574776</v>
      </c>
      <c r="R2524" s="5">
        <v>62674.060343500474</v>
      </c>
    </row>
    <row r="2525" spans="9:18">
      <c r="I2525" s="4">
        <v>2510</v>
      </c>
      <c r="J2525" s="5">
        <v>12035.382213755307</v>
      </c>
      <c r="K2525" s="5">
        <v>11206.053243692098</v>
      </c>
      <c r="L2525" s="5">
        <v>15060.431658965737</v>
      </c>
      <c r="M2525" s="5">
        <v>13022.686998540772</v>
      </c>
      <c r="N2525" s="5">
        <v>11751.639947035985</v>
      </c>
      <c r="O2525" s="5">
        <v>24258.192244316608</v>
      </c>
      <c r="P2525" s="5">
        <v>54923.423457863879</v>
      </c>
      <c r="Q2525" s="5">
        <v>116445.46783345108</v>
      </c>
      <c r="R2525" s="5">
        <v>24831.679362998926</v>
      </c>
    </row>
    <row r="2526" spans="9:18">
      <c r="I2526" s="4">
        <v>2511</v>
      </c>
      <c r="J2526" s="5">
        <v>31559.699247539775</v>
      </c>
      <c r="K2526" s="5">
        <v>14674.169276244838</v>
      </c>
      <c r="L2526" s="5">
        <v>22412.045018675239</v>
      </c>
      <c r="M2526" s="5">
        <v>13139.022167648376</v>
      </c>
      <c r="N2526" s="5">
        <v>9563.1256545330361</v>
      </c>
      <c r="O2526" s="5">
        <v>13840.304699955392</v>
      </c>
      <c r="P2526" s="5">
        <v>55152.110177667731</v>
      </c>
      <c r="Q2526" s="5">
        <v>21421.044775857536</v>
      </c>
      <c r="R2526" s="5">
        <v>14706.681111065362</v>
      </c>
    </row>
    <row r="2527" spans="9:18">
      <c r="I2527" s="4">
        <v>2512</v>
      </c>
      <c r="J2527" s="5">
        <v>16788.081681455456</v>
      </c>
      <c r="K2527" s="5">
        <v>16674.541027260992</v>
      </c>
      <c r="L2527" s="5">
        <v>10752.183901283248</v>
      </c>
      <c r="M2527" s="5">
        <v>42282.977640783138</v>
      </c>
      <c r="N2527" s="5">
        <v>11635.644856128632</v>
      </c>
      <c r="O2527" s="5">
        <v>21930.527973988665</v>
      </c>
      <c r="P2527" s="5">
        <v>17643.087208586294</v>
      </c>
      <c r="Q2527" s="5">
        <v>9652.8114206999071</v>
      </c>
      <c r="R2527" s="5">
        <v>6681.1887184356683</v>
      </c>
    </row>
    <row r="2528" spans="9:18">
      <c r="I2528" s="4">
        <v>2513</v>
      </c>
      <c r="J2528" s="5">
        <v>14420.293087375476</v>
      </c>
      <c r="K2528" s="5">
        <v>17903.387243834499</v>
      </c>
      <c r="L2528" s="5">
        <v>17693.864646288712</v>
      </c>
      <c r="M2528" s="5">
        <v>10142.860128720422</v>
      </c>
      <c r="N2528" s="5">
        <v>17214.078970533748</v>
      </c>
      <c r="O2528" s="5">
        <v>40581.847217937895</v>
      </c>
      <c r="P2528" s="5">
        <v>10180.109839011631</v>
      </c>
      <c r="Q2528" s="5">
        <v>31019.493883163672</v>
      </c>
      <c r="R2528" s="5">
        <v>54594.567438884274</v>
      </c>
    </row>
    <row r="2529" spans="9:18">
      <c r="I2529" s="4">
        <v>2514</v>
      </c>
      <c r="J2529" s="5">
        <v>12888.204629170894</v>
      </c>
      <c r="K2529" s="5">
        <v>11558.357574452555</v>
      </c>
      <c r="L2529" s="5">
        <v>14691.846656953887</v>
      </c>
      <c r="M2529" s="5">
        <v>12934.591863415189</v>
      </c>
      <c r="N2529" s="5">
        <v>39672.376281023731</v>
      </c>
      <c r="O2529" s="5">
        <v>8801.3667015774663</v>
      </c>
      <c r="P2529" s="5">
        <v>14376.883105731285</v>
      </c>
      <c r="Q2529" s="5">
        <v>28567.61306643406</v>
      </c>
      <c r="R2529" s="5">
        <v>72640.340924600489</v>
      </c>
    </row>
    <row r="2530" spans="9:18">
      <c r="I2530" s="4">
        <v>2515</v>
      </c>
      <c r="J2530" s="5">
        <v>16710.807721801892</v>
      </c>
      <c r="K2530" s="5">
        <v>13288.692555879701</v>
      </c>
      <c r="L2530" s="5">
        <v>29265.217478369766</v>
      </c>
      <c r="M2530" s="5">
        <v>22961.931350882205</v>
      </c>
      <c r="N2530" s="5">
        <v>23008.246229813707</v>
      </c>
      <c r="O2530" s="5">
        <v>45451.954570113048</v>
      </c>
      <c r="P2530" s="5">
        <v>12639.596794453437</v>
      </c>
      <c r="Q2530" s="5">
        <v>28567.61306643406</v>
      </c>
      <c r="R2530" s="5">
        <v>91403.228438796665</v>
      </c>
    </row>
    <row r="2531" spans="9:18">
      <c r="I2531" s="4">
        <v>2516</v>
      </c>
      <c r="J2531" s="5">
        <v>29760.443016608337</v>
      </c>
      <c r="K2531" s="5">
        <v>8223.1266007477425</v>
      </c>
      <c r="L2531" s="5">
        <v>13358.459356674217</v>
      </c>
      <c r="M2531" s="5">
        <v>42282.977640783138</v>
      </c>
      <c r="N2531" s="5">
        <v>48565.498233359976</v>
      </c>
      <c r="O2531" s="5">
        <v>4231.3144655921506</v>
      </c>
      <c r="P2531" s="5">
        <v>27708.613526855763</v>
      </c>
      <c r="Q2531" s="5">
        <v>129470.11441833655</v>
      </c>
      <c r="R2531" s="5">
        <v>72561.496699005787</v>
      </c>
    </row>
    <row r="2532" spans="9:18">
      <c r="I2532" s="4">
        <v>2517</v>
      </c>
      <c r="J2532" s="5">
        <v>14741.240040396578</v>
      </c>
      <c r="K2532" s="5">
        <v>16132.555399908759</v>
      </c>
      <c r="L2532" s="5">
        <v>15225.811035017256</v>
      </c>
      <c r="M2532" s="5">
        <v>23454.775510296178</v>
      </c>
      <c r="N2532" s="5">
        <v>12297.015342318469</v>
      </c>
      <c r="O2532" s="5">
        <v>41653.890350944224</v>
      </c>
      <c r="P2532" s="5">
        <v>9047.5556949992188</v>
      </c>
      <c r="Q2532" s="5">
        <v>3272.4685014937832</v>
      </c>
      <c r="R2532" s="5">
        <v>18349.337771428582</v>
      </c>
    </row>
    <row r="2533" spans="9:18">
      <c r="I2533" s="4">
        <v>2518</v>
      </c>
      <c r="J2533" s="5">
        <v>14749.343145806102</v>
      </c>
      <c r="K2533" s="5">
        <v>37822.375317881044</v>
      </c>
      <c r="L2533" s="5">
        <v>16577.562442697115</v>
      </c>
      <c r="M2533" s="5">
        <v>17542.15972125496</v>
      </c>
      <c r="N2533" s="5">
        <v>16418.492928415813</v>
      </c>
      <c r="O2533" s="5">
        <v>20489.622805425737</v>
      </c>
      <c r="P2533" s="5">
        <v>34768.042801665702</v>
      </c>
      <c r="Q2533" s="5">
        <v>6386.5227360487288</v>
      </c>
      <c r="R2533" s="5">
        <v>17304.847214362417</v>
      </c>
    </row>
    <row r="2534" spans="9:18">
      <c r="I2534" s="4">
        <v>2519</v>
      </c>
      <c r="J2534" s="5">
        <v>15648.665245032147</v>
      </c>
      <c r="K2534" s="5">
        <v>19467.955014411935</v>
      </c>
      <c r="L2534" s="5">
        <v>14796.875457021113</v>
      </c>
      <c r="M2534" s="5">
        <v>22815.60259636537</v>
      </c>
      <c r="N2534" s="5">
        <v>28426.778914975595</v>
      </c>
      <c r="O2534" s="5">
        <v>5909.5347260996277</v>
      </c>
      <c r="P2534" s="5">
        <v>8662.4232458952465</v>
      </c>
      <c r="Q2534" s="5">
        <v>8502.450657922871</v>
      </c>
      <c r="R2534" s="5">
        <v>33290.909836056817</v>
      </c>
    </row>
    <row r="2535" spans="9:18">
      <c r="I2535" s="4">
        <v>2520</v>
      </c>
      <c r="J2535" s="5">
        <v>16459.003095225507</v>
      </c>
      <c r="K2535" s="5">
        <v>32073.547537933715</v>
      </c>
      <c r="L2535" s="5">
        <v>15922.087958863045</v>
      </c>
      <c r="M2535" s="5">
        <v>9623.0342442006167</v>
      </c>
      <c r="N2535" s="5">
        <v>16418.492928415813</v>
      </c>
      <c r="O2535" s="5">
        <v>10676.618215263648</v>
      </c>
      <c r="P2535" s="5">
        <v>8662.4232458952465</v>
      </c>
      <c r="Q2535" s="5">
        <v>19541.409060825732</v>
      </c>
      <c r="R2535" s="5">
        <v>27349.63499959607</v>
      </c>
    </row>
    <row r="2536" spans="9:18">
      <c r="I2536" s="4">
        <v>2521</v>
      </c>
      <c r="J2536" s="5">
        <v>16166.107684907736</v>
      </c>
      <c r="K2536" s="5">
        <v>22732.797143159998</v>
      </c>
      <c r="L2536" s="5">
        <v>14264.23790876064</v>
      </c>
      <c r="M2536" s="5">
        <v>21833.004790208965</v>
      </c>
      <c r="N2536" s="5">
        <v>15130.853682762778</v>
      </c>
      <c r="O2536" s="5">
        <v>30608.431994348266</v>
      </c>
      <c r="P2536" s="5">
        <v>10966.822219855034</v>
      </c>
      <c r="Q2536" s="5">
        <v>15623.622662102793</v>
      </c>
      <c r="R2536" s="5">
        <v>31715.273557891396</v>
      </c>
    </row>
    <row r="2537" spans="9:18">
      <c r="I2537" s="4">
        <v>2522</v>
      </c>
      <c r="J2537" s="5">
        <v>26634.853073396614</v>
      </c>
      <c r="K2537" s="5">
        <v>18218.584572172625</v>
      </c>
      <c r="L2537" s="5">
        <v>14649.721476864312</v>
      </c>
      <c r="M2537" s="5">
        <v>9623.0342442006167</v>
      </c>
      <c r="N2537" s="5">
        <v>12297.015342318469</v>
      </c>
      <c r="O2537" s="5">
        <v>62082.6862081785</v>
      </c>
      <c r="P2537" s="5">
        <v>27373.102585108634</v>
      </c>
      <c r="Q2537" s="5">
        <v>28797.29222718185</v>
      </c>
      <c r="R2537" s="5">
        <v>34970.397641695177</v>
      </c>
    </row>
    <row r="2538" spans="9:18">
      <c r="I2538" s="4">
        <v>2523</v>
      </c>
      <c r="J2538" s="5">
        <v>16145.071869702888</v>
      </c>
      <c r="K2538" s="5">
        <v>15698.764831033119</v>
      </c>
      <c r="L2538" s="5">
        <v>15471.738323660695</v>
      </c>
      <c r="M2538" s="5">
        <v>18691.941789825862</v>
      </c>
      <c r="N2538" s="5">
        <v>12523.573732460784</v>
      </c>
      <c r="O2538" s="5">
        <v>16572.483389649329</v>
      </c>
      <c r="P2538" s="5">
        <v>20403.656304140692</v>
      </c>
      <c r="Q2538" s="5">
        <v>30266.563414010914</v>
      </c>
      <c r="R2538" s="5">
        <v>6681.1887184356683</v>
      </c>
    </row>
    <row r="2539" spans="9:18">
      <c r="I2539" s="4">
        <v>2524</v>
      </c>
      <c r="J2539" s="5">
        <v>16156.372629961115</v>
      </c>
      <c r="K2539" s="5">
        <v>34164.842952759042</v>
      </c>
      <c r="L2539" s="5">
        <v>29265.217478369766</v>
      </c>
      <c r="M2539" s="5">
        <v>23067.94260629595</v>
      </c>
      <c r="N2539" s="5">
        <v>10882.757905166785</v>
      </c>
      <c r="O2539" s="5">
        <v>27062.73412298776</v>
      </c>
      <c r="P2539" s="5">
        <v>26126.807131356076</v>
      </c>
      <c r="Q2539" s="5">
        <v>6386.5227360487288</v>
      </c>
      <c r="R2539" s="5">
        <v>14706.681111065362</v>
      </c>
    </row>
    <row r="2540" spans="9:18">
      <c r="I2540" s="4">
        <v>2525</v>
      </c>
      <c r="J2540" s="5">
        <v>15623.733864199699</v>
      </c>
      <c r="K2540" s="5">
        <v>34058.671324159091</v>
      </c>
      <c r="L2540" s="5">
        <v>19359.475411188432</v>
      </c>
      <c r="M2540" s="5">
        <v>18816.787977140237</v>
      </c>
      <c r="N2540" s="5">
        <v>15804.474686449519</v>
      </c>
      <c r="O2540" s="5">
        <v>94068.324736096256</v>
      </c>
      <c r="P2540" s="5">
        <v>26126.807131356076</v>
      </c>
      <c r="Q2540" s="5">
        <v>30266.563414010914</v>
      </c>
      <c r="R2540" s="5">
        <v>181970.23111012415</v>
      </c>
    </row>
    <row r="2541" spans="9:18">
      <c r="I2541" s="4">
        <v>2526</v>
      </c>
      <c r="J2541" s="5">
        <v>22188.291830993156</v>
      </c>
      <c r="K2541" s="5">
        <v>8223.1266007477425</v>
      </c>
      <c r="L2541" s="5">
        <v>13358.459356674217</v>
      </c>
      <c r="M2541" s="5">
        <v>13414.385151739983</v>
      </c>
      <c r="N2541" s="5">
        <v>39672.376281023731</v>
      </c>
      <c r="O2541" s="5">
        <v>51330.340277512776</v>
      </c>
      <c r="P2541" s="5">
        <v>3930.0915591834291</v>
      </c>
      <c r="Q2541" s="5">
        <v>73941.636731325911</v>
      </c>
      <c r="R2541" s="5">
        <v>6681.1887184356683</v>
      </c>
    </row>
    <row r="2542" spans="9:18">
      <c r="I2542" s="4">
        <v>2527</v>
      </c>
      <c r="J2542" s="5">
        <v>7855.2948890116513</v>
      </c>
      <c r="K2542" s="5">
        <v>11403.533194020869</v>
      </c>
      <c r="L2542" s="5">
        <v>14264.23790876064</v>
      </c>
      <c r="M2542" s="5">
        <v>29041.83725675238</v>
      </c>
      <c r="N2542" s="5">
        <v>46248.895746171031</v>
      </c>
      <c r="O2542" s="5">
        <v>55264.438774006347</v>
      </c>
      <c r="P2542" s="5">
        <v>8877.9712092977989</v>
      </c>
      <c r="Q2542" s="5">
        <v>9454.5906023793759</v>
      </c>
      <c r="R2542" s="5">
        <v>8130.5639219412278</v>
      </c>
    </row>
    <row r="2543" spans="9:18">
      <c r="I2543" s="4">
        <v>2528</v>
      </c>
      <c r="J2543" s="5">
        <v>18650.249281571734</v>
      </c>
      <c r="K2543" s="5">
        <v>18821.113178054162</v>
      </c>
      <c r="L2543" s="5">
        <v>17920.486090689363</v>
      </c>
      <c r="M2543" s="5">
        <v>23515.935489506261</v>
      </c>
      <c r="N2543" s="5">
        <v>11635.644856128632</v>
      </c>
      <c r="O2543" s="5">
        <v>13519.384207850644</v>
      </c>
      <c r="P2543" s="5">
        <v>13452.921824087563</v>
      </c>
      <c r="Q2543" s="5">
        <v>48866.209623168346</v>
      </c>
      <c r="R2543" s="5">
        <v>54594.567438884274</v>
      </c>
    </row>
    <row r="2544" spans="9:18">
      <c r="I2544" s="4">
        <v>2529</v>
      </c>
      <c r="J2544" s="5">
        <v>13663.281817546009</v>
      </c>
      <c r="K2544" s="5">
        <v>31910.762633549082</v>
      </c>
      <c r="L2544" s="5">
        <v>17693.864646288712</v>
      </c>
      <c r="M2544" s="5">
        <v>22961.931350882205</v>
      </c>
      <c r="N2544" s="5">
        <v>26115.05281128412</v>
      </c>
      <c r="O2544" s="5">
        <v>30656.031716467984</v>
      </c>
      <c r="P2544" s="5">
        <v>21933.779100635442</v>
      </c>
      <c r="Q2544" s="5">
        <v>59134.059519022907</v>
      </c>
      <c r="R2544" s="5">
        <v>23583.884732956092</v>
      </c>
    </row>
    <row r="2545" spans="9:18">
      <c r="I2545" s="4">
        <v>2530</v>
      </c>
      <c r="J2545" s="5">
        <v>11936.262457073821</v>
      </c>
      <c r="K2545" s="5">
        <v>16873.752266014431</v>
      </c>
      <c r="L2545" s="5">
        <v>14175.160754078657</v>
      </c>
      <c r="M2545" s="5">
        <v>20041.623430301417</v>
      </c>
      <c r="N2545" s="5">
        <v>26565.664379767408</v>
      </c>
      <c r="O2545" s="5">
        <v>15124.35050053727</v>
      </c>
      <c r="P2545" s="5">
        <v>9965.8330787532959</v>
      </c>
      <c r="Q2545" s="5">
        <v>22145.301831504508</v>
      </c>
      <c r="R2545" s="5">
        <v>40368.364083205248</v>
      </c>
    </row>
    <row r="2546" spans="9:18">
      <c r="I2546" s="4">
        <v>2531</v>
      </c>
      <c r="J2546" s="5">
        <v>15623.733864199699</v>
      </c>
      <c r="K2546" s="5">
        <v>15129.619337591721</v>
      </c>
      <c r="L2546" s="5">
        <v>16106.634875163341</v>
      </c>
      <c r="M2546" s="5">
        <v>41698.977215629871</v>
      </c>
      <c r="N2546" s="5">
        <v>20718.434293991453</v>
      </c>
      <c r="O2546" s="5">
        <v>20489.622805425737</v>
      </c>
      <c r="P2546" s="5">
        <v>17974.179326980211</v>
      </c>
      <c r="Q2546" s="5">
        <v>31019.493883163672</v>
      </c>
      <c r="R2546" s="5">
        <v>51141.799458534304</v>
      </c>
    </row>
    <row r="2547" spans="9:18">
      <c r="I2547" s="4">
        <v>2532</v>
      </c>
      <c r="J2547" s="5">
        <v>26634.853073396614</v>
      </c>
      <c r="K2547" s="5">
        <v>35705.595198125673</v>
      </c>
      <c r="L2547" s="5">
        <v>16451.333928028147</v>
      </c>
      <c r="M2547" s="5">
        <v>19430.369425783585</v>
      </c>
      <c r="N2547" s="5">
        <v>37309.151967087455</v>
      </c>
      <c r="O2547" s="5">
        <v>13519.384207850644</v>
      </c>
      <c r="P2547" s="5">
        <v>8877.9712092977989</v>
      </c>
      <c r="Q2547" s="5">
        <v>28776.080424849053</v>
      </c>
      <c r="R2547" s="5">
        <v>17687.533637716911</v>
      </c>
    </row>
    <row r="2548" spans="9:18">
      <c r="I2548" s="4">
        <v>2533</v>
      </c>
      <c r="J2548" s="5">
        <v>14344.692898101612</v>
      </c>
      <c r="K2548" s="5">
        <v>14497.035717129334</v>
      </c>
      <c r="L2548" s="5">
        <v>17683.765335572589</v>
      </c>
      <c r="M2548" s="5">
        <v>19795.661011456152</v>
      </c>
      <c r="N2548" s="5">
        <v>11604.12831603515</v>
      </c>
      <c r="O2548" s="5">
        <v>35286.662852302201</v>
      </c>
      <c r="P2548" s="5">
        <v>27452.975716953504</v>
      </c>
      <c r="Q2548" s="5">
        <v>22483.395143121877</v>
      </c>
      <c r="R2548" s="5">
        <v>17687.533637716911</v>
      </c>
    </row>
    <row r="2549" spans="9:18">
      <c r="I2549" s="4">
        <v>2534</v>
      </c>
      <c r="J2549" s="5">
        <v>17592.832480262863</v>
      </c>
      <c r="K2549" s="5">
        <v>32294.121255311245</v>
      </c>
      <c r="L2549" s="5">
        <v>22162.138529251199</v>
      </c>
      <c r="M2549" s="5">
        <v>10111.451009425113</v>
      </c>
      <c r="N2549" s="5">
        <v>12592.300437162297</v>
      </c>
      <c r="O2549" s="5">
        <v>67717.30633712461</v>
      </c>
      <c r="P2549" s="5">
        <v>83536.241167211992</v>
      </c>
      <c r="Q2549" s="5">
        <v>56069.347629295014</v>
      </c>
      <c r="R2549" s="5">
        <v>20236.767651156802</v>
      </c>
    </row>
    <row r="2550" spans="9:18">
      <c r="I2550" s="4">
        <v>2535</v>
      </c>
      <c r="J2550" s="5">
        <v>15064.079707240266</v>
      </c>
      <c r="K2550" s="5">
        <v>15428.770955406064</v>
      </c>
      <c r="L2550" s="5">
        <v>17311.244744664215</v>
      </c>
      <c r="M2550" s="5">
        <v>23067.94260629595</v>
      </c>
      <c r="N2550" s="5">
        <v>57711.498171893618</v>
      </c>
      <c r="O2550" s="5">
        <v>9320.7026593487881</v>
      </c>
      <c r="P2550" s="5">
        <v>8662.4232458952465</v>
      </c>
      <c r="Q2550" s="5">
        <v>20883.852062640355</v>
      </c>
      <c r="R2550" s="5">
        <v>20303.08745527079</v>
      </c>
    </row>
    <row r="2551" spans="9:18">
      <c r="I2551" s="4">
        <v>2536</v>
      </c>
      <c r="J2551" s="5">
        <v>18650.249281571734</v>
      </c>
      <c r="K2551" s="5">
        <v>16952.949313901812</v>
      </c>
      <c r="L2551" s="5">
        <v>20698.842353987733</v>
      </c>
      <c r="M2551" s="5">
        <v>32497.510405113037</v>
      </c>
      <c r="N2551" s="5">
        <v>26152.705108198839</v>
      </c>
      <c r="O2551" s="5">
        <v>16826.763259351828</v>
      </c>
      <c r="P2551" s="5">
        <v>8069.5385577067918</v>
      </c>
      <c r="Q2551" s="5">
        <v>12253.299944531094</v>
      </c>
      <c r="R2551" s="5">
        <v>20236.767651156802</v>
      </c>
    </row>
    <row r="2552" spans="9:18">
      <c r="I2552" s="4">
        <v>2537</v>
      </c>
      <c r="J2552" s="5">
        <v>21888.821432026474</v>
      </c>
      <c r="K2552" s="5">
        <v>16873.752266014431</v>
      </c>
      <c r="L2552" s="5">
        <v>15225.811035017256</v>
      </c>
      <c r="M2552" s="5">
        <v>33862.836621974391</v>
      </c>
      <c r="N2552" s="5">
        <v>27833.630848857778</v>
      </c>
      <c r="O2552" s="5">
        <v>30876.675913171162</v>
      </c>
      <c r="P2552" s="5">
        <v>40377.463755170742</v>
      </c>
      <c r="Q2552" s="5">
        <v>71213.172792303565</v>
      </c>
      <c r="R2552" s="5">
        <v>3311.4906988006405</v>
      </c>
    </row>
    <row r="2553" spans="9:18">
      <c r="I2553" s="4">
        <v>2538</v>
      </c>
      <c r="J2553" s="5">
        <v>17679.321624063952</v>
      </c>
      <c r="K2553" s="5">
        <v>10931.803935361211</v>
      </c>
      <c r="L2553" s="5">
        <v>15923.549351835489</v>
      </c>
      <c r="M2553" s="5">
        <v>16881.579299055</v>
      </c>
      <c r="N2553" s="5">
        <v>13909.728487455486</v>
      </c>
      <c r="O2553" s="5">
        <v>18637.945795127704</v>
      </c>
      <c r="P2553" s="5">
        <v>13793.886507202402</v>
      </c>
      <c r="Q2553" s="5">
        <v>31902.904306425251</v>
      </c>
      <c r="R2553" s="5">
        <v>12130.167062525341</v>
      </c>
    </row>
    <row r="2554" spans="9:18">
      <c r="I2554" s="4">
        <v>2539</v>
      </c>
      <c r="J2554" s="5">
        <v>16416.142496463777</v>
      </c>
      <c r="K2554" s="5">
        <v>18821.113178054162</v>
      </c>
      <c r="L2554" s="5">
        <v>13358.459356674217</v>
      </c>
      <c r="M2554" s="5">
        <v>33862.836621974391</v>
      </c>
      <c r="N2554" s="5">
        <v>12523.573732460784</v>
      </c>
      <c r="O2554" s="5">
        <v>19430.912633256889</v>
      </c>
      <c r="P2554" s="5">
        <v>14376.883105731285</v>
      </c>
      <c r="Q2554" s="5">
        <v>71213.172792303565</v>
      </c>
      <c r="R2554" s="5">
        <v>91403.228438796665</v>
      </c>
    </row>
    <row r="2555" spans="9:18">
      <c r="I2555" s="4">
        <v>2540</v>
      </c>
      <c r="J2555" s="5">
        <v>28085.9245102444</v>
      </c>
      <c r="K2555" s="5">
        <v>14351.415257675473</v>
      </c>
      <c r="L2555" s="5">
        <v>20698.842353987733</v>
      </c>
      <c r="M2555" s="5">
        <v>20788.503422877813</v>
      </c>
      <c r="N2555" s="5">
        <v>10882.757905166785</v>
      </c>
      <c r="O2555" s="5">
        <v>62082.6862081785</v>
      </c>
      <c r="P2555" s="5">
        <v>9811.9720599964548</v>
      </c>
      <c r="Q2555" s="5">
        <v>8474.2603471579441</v>
      </c>
      <c r="R2555" s="5">
        <v>8105.1944146993656</v>
      </c>
    </row>
    <row r="2556" spans="9:18">
      <c r="I2556" s="4">
        <v>2541</v>
      </c>
      <c r="J2556" s="5">
        <v>14076.209333698853</v>
      </c>
      <c r="K2556" s="5">
        <v>18218.584572172625</v>
      </c>
      <c r="L2556" s="5">
        <v>16293.265064857471</v>
      </c>
      <c r="M2556" s="5">
        <v>14660.631931099009</v>
      </c>
      <c r="N2556" s="5">
        <v>26115.05281128412</v>
      </c>
      <c r="O2556" s="5">
        <v>18637.945795127704</v>
      </c>
      <c r="P2556" s="5">
        <v>38771.994792132391</v>
      </c>
      <c r="Q2556" s="5">
        <v>7457.1844090365566</v>
      </c>
      <c r="R2556" s="5">
        <v>3433.6677391851467</v>
      </c>
    </row>
    <row r="2557" spans="9:18">
      <c r="I2557" s="4">
        <v>2542</v>
      </c>
      <c r="J2557" s="5">
        <v>9405.362381917912</v>
      </c>
      <c r="K2557" s="5">
        <v>23543.914024953676</v>
      </c>
      <c r="L2557" s="5">
        <v>17482.478480142941</v>
      </c>
      <c r="M2557" s="5">
        <v>15346.383801976139</v>
      </c>
      <c r="N2557" s="5">
        <v>23746.795665493762</v>
      </c>
      <c r="O2557" s="5">
        <v>27508.313315384185</v>
      </c>
      <c r="P2557" s="5">
        <v>18963.234565965948</v>
      </c>
      <c r="Q2557" s="5">
        <v>52421.574537857021</v>
      </c>
      <c r="R2557" s="5">
        <v>87776.138236389699</v>
      </c>
    </row>
    <row r="2558" spans="9:18">
      <c r="I2558" s="4">
        <v>2543</v>
      </c>
      <c r="J2558" s="5">
        <v>11936.262457073821</v>
      </c>
      <c r="K2558" s="5">
        <v>11857.447519815871</v>
      </c>
      <c r="L2558" s="5">
        <v>18810.091753970282</v>
      </c>
      <c r="M2558" s="5">
        <v>20788.503422877813</v>
      </c>
      <c r="N2558" s="5">
        <v>19225.139878706803</v>
      </c>
      <c r="O2558" s="5">
        <v>40304.23053285561</v>
      </c>
      <c r="P2558" s="5">
        <v>18862.487147419793</v>
      </c>
      <c r="Q2558" s="5">
        <v>3909.239690544402</v>
      </c>
      <c r="R2558" s="5">
        <v>72640.340924600489</v>
      </c>
    </row>
    <row r="2559" spans="9:18">
      <c r="I2559" s="4">
        <v>2544</v>
      </c>
      <c r="J2559" s="5">
        <v>9405.362381917912</v>
      </c>
      <c r="K2559" s="5">
        <v>6949.5708823216592</v>
      </c>
      <c r="L2559" s="5">
        <v>18379.634651549037</v>
      </c>
      <c r="M2559" s="5">
        <v>15202.972920708273</v>
      </c>
      <c r="N2559" s="5">
        <v>4770.4216775830728</v>
      </c>
      <c r="O2559" s="5">
        <v>67717.30633712461</v>
      </c>
      <c r="P2559" s="5">
        <v>35213.322626437533</v>
      </c>
      <c r="Q2559" s="5">
        <v>30266.563414010914</v>
      </c>
      <c r="R2559" s="5">
        <v>51141.799458534304</v>
      </c>
    </row>
    <row r="2560" spans="9:18">
      <c r="I2560" s="4">
        <v>2545</v>
      </c>
      <c r="J2560" s="5">
        <v>11936.262457073821</v>
      </c>
      <c r="K2560" s="5">
        <v>34058.671324159091</v>
      </c>
      <c r="L2560" s="5">
        <v>17073.17760523731</v>
      </c>
      <c r="M2560" s="5">
        <v>29041.83725675238</v>
      </c>
      <c r="N2560" s="5">
        <v>11788.341482962171</v>
      </c>
      <c r="O2560" s="5">
        <v>27084.483614751469</v>
      </c>
      <c r="P2560" s="5">
        <v>35569.894390728325</v>
      </c>
      <c r="Q2560" s="5">
        <v>73941.636731325911</v>
      </c>
      <c r="R2560" s="5">
        <v>38898.713625068609</v>
      </c>
    </row>
    <row r="2561" spans="9:18">
      <c r="I2561" s="4">
        <v>2546</v>
      </c>
      <c r="J2561" s="5">
        <v>14017.326487344162</v>
      </c>
      <c r="K2561" s="5">
        <v>32294.121255311245</v>
      </c>
      <c r="L2561" s="5">
        <v>15922.087958863045</v>
      </c>
      <c r="M2561" s="5">
        <v>11680.747299075838</v>
      </c>
      <c r="N2561" s="5">
        <v>25549.748582175915</v>
      </c>
      <c r="O2561" s="5">
        <v>20721.57544042755</v>
      </c>
      <c r="P2561" s="5">
        <v>23769.190223735484</v>
      </c>
      <c r="Q2561" s="5">
        <v>3272.4685014937832</v>
      </c>
      <c r="R2561" s="5">
        <v>91403.228438796665</v>
      </c>
    </row>
    <row r="2562" spans="9:18">
      <c r="I2562" s="4">
        <v>2547</v>
      </c>
      <c r="J2562" s="5">
        <v>49463.324094345015</v>
      </c>
      <c r="K2562" s="5">
        <v>18821.113178054162</v>
      </c>
      <c r="L2562" s="5">
        <v>15759.954187048656</v>
      </c>
      <c r="M2562" s="5">
        <v>17349.963215818931</v>
      </c>
      <c r="N2562" s="5">
        <v>9209.4418830788036</v>
      </c>
      <c r="O2562" s="5">
        <v>83458.030763693328</v>
      </c>
      <c r="P2562" s="5">
        <v>17974.179326980211</v>
      </c>
      <c r="Q2562" s="5">
        <v>37073.980790337926</v>
      </c>
      <c r="R2562" s="5">
        <v>2180.6148629084787</v>
      </c>
    </row>
    <row r="2563" spans="9:18">
      <c r="I2563" s="4">
        <v>2548</v>
      </c>
      <c r="J2563" s="5">
        <v>11116.191595722205</v>
      </c>
      <c r="K2563" s="5">
        <v>21527.93129974293</v>
      </c>
      <c r="L2563" s="5">
        <v>18810.091753970282</v>
      </c>
      <c r="M2563" s="5">
        <v>37411.178129764201</v>
      </c>
      <c r="N2563" s="5">
        <v>37309.151967087455</v>
      </c>
      <c r="O2563" s="5">
        <v>10738.305003664611</v>
      </c>
      <c r="P2563" s="5">
        <v>12992.105410393709</v>
      </c>
      <c r="Q2563" s="5">
        <v>37802.358878968138</v>
      </c>
      <c r="R2563" s="5">
        <v>44707.053087992797</v>
      </c>
    </row>
    <row r="2564" spans="9:18">
      <c r="I2564" s="4">
        <v>2549</v>
      </c>
      <c r="J2564" s="5">
        <v>16710.807721801892</v>
      </c>
      <c r="K2564" s="5">
        <v>12026.500118162745</v>
      </c>
      <c r="L2564" s="5">
        <v>15300.182042823812</v>
      </c>
      <c r="M2564" s="5">
        <v>20550.782384061673</v>
      </c>
      <c r="N2564" s="5">
        <v>21909.120225822895</v>
      </c>
      <c r="O2564" s="5">
        <v>5444.7598502623823</v>
      </c>
      <c r="P2564" s="5">
        <v>22708.601480587709</v>
      </c>
      <c r="Q2564" s="5">
        <v>31618.396253255491</v>
      </c>
      <c r="R2564" s="5">
        <v>33290.909836056817</v>
      </c>
    </row>
    <row r="2565" spans="9:18">
      <c r="I2565" s="4">
        <v>2550</v>
      </c>
      <c r="J2565" s="5">
        <v>16459.003095225507</v>
      </c>
      <c r="K2565" s="5">
        <v>34058.671324159091</v>
      </c>
      <c r="L2565" s="5">
        <v>15664.99858445921</v>
      </c>
      <c r="M2565" s="5">
        <v>16881.579299055</v>
      </c>
      <c r="N2565" s="5">
        <v>46248.895746171031</v>
      </c>
      <c r="O2565" s="5">
        <v>35865.625349531729</v>
      </c>
      <c r="P2565" s="5">
        <v>22601.57564624758</v>
      </c>
      <c r="Q2565" s="5">
        <v>8502.450657922871</v>
      </c>
      <c r="R2565" s="5">
        <v>90296.353221228885</v>
      </c>
    </row>
    <row r="2566" spans="9:18">
      <c r="I2566" s="4">
        <v>2551</v>
      </c>
      <c r="J2566" s="5">
        <v>14017.326487344162</v>
      </c>
      <c r="K2566" s="5">
        <v>17495.743706488822</v>
      </c>
      <c r="L2566" s="5">
        <v>14042.41908879921</v>
      </c>
      <c r="M2566" s="5">
        <v>22961.931350882205</v>
      </c>
      <c r="N2566" s="5">
        <v>26152.705108198839</v>
      </c>
      <c r="O2566" s="5">
        <v>27084.483614751469</v>
      </c>
      <c r="P2566" s="5">
        <v>12992.105410393709</v>
      </c>
      <c r="Q2566" s="5">
        <v>28797.29222718185</v>
      </c>
      <c r="R2566" s="5">
        <v>93933.045103013996</v>
      </c>
    </row>
    <row r="2567" spans="9:18">
      <c r="I2567" s="4">
        <v>2552</v>
      </c>
      <c r="J2567" s="5">
        <v>14420.293087375476</v>
      </c>
      <c r="K2567" s="5">
        <v>11149.572204897504</v>
      </c>
      <c r="L2567" s="5">
        <v>13358.459356674217</v>
      </c>
      <c r="M2567" s="5">
        <v>20550.782384061673</v>
      </c>
      <c r="N2567" s="5">
        <v>15786.177386596903</v>
      </c>
      <c r="O2567" s="5">
        <v>24258.192244316608</v>
      </c>
      <c r="P2567" s="5">
        <v>49519.098753410741</v>
      </c>
      <c r="Q2567" s="5">
        <v>70295.978314632754</v>
      </c>
      <c r="R2567" s="5">
        <v>72561.496699005787</v>
      </c>
    </row>
    <row r="2568" spans="9:18">
      <c r="I2568" s="4">
        <v>2553</v>
      </c>
      <c r="J2568" s="5">
        <v>16459.003095225507</v>
      </c>
      <c r="K2568" s="5">
        <v>61827.107730316675</v>
      </c>
      <c r="L2568" s="5">
        <v>14042.41908879921</v>
      </c>
      <c r="M2568" s="5">
        <v>7334.8610818348589</v>
      </c>
      <c r="N2568" s="5">
        <v>36962.805083900916</v>
      </c>
      <c r="O2568" s="5">
        <v>20930.098352661731</v>
      </c>
      <c r="P2568" s="5">
        <v>21813.848941464526</v>
      </c>
      <c r="Q2568" s="5">
        <v>12451.066014448154</v>
      </c>
      <c r="R2568" s="5">
        <v>17304.847214362417</v>
      </c>
    </row>
    <row r="2569" spans="9:18">
      <c r="I2569" s="4">
        <v>2554</v>
      </c>
      <c r="J2569" s="5">
        <v>12056.41843703942</v>
      </c>
      <c r="K2569" s="5">
        <v>11206.053243692098</v>
      </c>
      <c r="L2569" s="5">
        <v>14610.165745300763</v>
      </c>
      <c r="M2569" s="5">
        <v>23454.775510296178</v>
      </c>
      <c r="N2569" s="5">
        <v>21909.120225822895</v>
      </c>
      <c r="O2569" s="5">
        <v>55264.438774006347</v>
      </c>
      <c r="P2569" s="5">
        <v>3930.0915591834291</v>
      </c>
      <c r="Q2569" s="5">
        <v>28567.61306643406</v>
      </c>
      <c r="R2569" s="5">
        <v>3989.7956692889929</v>
      </c>
    </row>
    <row r="2570" spans="9:18">
      <c r="I2570" s="4">
        <v>2555</v>
      </c>
      <c r="J2570" s="5">
        <v>14960.076233580705</v>
      </c>
      <c r="K2570" s="5">
        <v>30552.499930043898</v>
      </c>
      <c r="L2570" s="5">
        <v>14175.160754078657</v>
      </c>
      <c r="M2570" s="5">
        <v>13414.385151739983</v>
      </c>
      <c r="N2570" s="5">
        <v>23043.345403059295</v>
      </c>
      <c r="O2570" s="5">
        <v>40581.847217937895</v>
      </c>
      <c r="P2570" s="5">
        <v>34768.042801665702</v>
      </c>
      <c r="Q2570" s="5">
        <v>31618.396253255491</v>
      </c>
      <c r="R2570" s="5">
        <v>17687.533637716911</v>
      </c>
    </row>
    <row r="2571" spans="9:18">
      <c r="I2571" s="4">
        <v>2556</v>
      </c>
      <c r="J2571" s="5">
        <v>15064.079707240266</v>
      </c>
      <c r="K2571" s="5">
        <v>16934.093371663999</v>
      </c>
      <c r="L2571" s="5">
        <v>22018.381599979773</v>
      </c>
      <c r="M2571" s="5">
        <v>19795.661011456152</v>
      </c>
      <c r="N2571" s="5">
        <v>12592.300437162297</v>
      </c>
      <c r="O2571" s="5">
        <v>6199.3195463515376</v>
      </c>
      <c r="P2571" s="5">
        <v>49519.098753410741</v>
      </c>
      <c r="Q2571" s="5">
        <v>100789.83462564547</v>
      </c>
      <c r="R2571" s="5">
        <v>89167.415757270224</v>
      </c>
    </row>
    <row r="2572" spans="9:18">
      <c r="I2572" s="4">
        <v>2557</v>
      </c>
      <c r="J2572" s="5">
        <v>14538.277247583976</v>
      </c>
      <c r="K2572" s="5">
        <v>14854.898507619706</v>
      </c>
      <c r="L2572" s="5">
        <v>22412.045018675239</v>
      </c>
      <c r="M2572" s="5">
        <v>29058.117767351498</v>
      </c>
      <c r="N2572" s="5">
        <v>12592.300437162297</v>
      </c>
      <c r="O2572" s="5">
        <v>36759.655306288936</v>
      </c>
      <c r="P2572" s="5">
        <v>26541.896041444568</v>
      </c>
      <c r="Q2572" s="5">
        <v>47365.380972950254</v>
      </c>
      <c r="R2572" s="5">
        <v>41418.225609677866</v>
      </c>
    </row>
    <row r="2573" spans="9:18">
      <c r="I2573" s="4">
        <v>2558</v>
      </c>
      <c r="J2573" s="5">
        <v>11936.262457073821</v>
      </c>
      <c r="K2573" s="5">
        <v>14579.232378315752</v>
      </c>
      <c r="L2573" s="5">
        <v>17578.712723867691</v>
      </c>
      <c r="M2573" s="5">
        <v>13139.022167648376</v>
      </c>
      <c r="N2573" s="5">
        <v>20583.564383988036</v>
      </c>
      <c r="O2573" s="5">
        <v>53504.725169095313</v>
      </c>
      <c r="P2573" s="5">
        <v>14316.965520592317</v>
      </c>
      <c r="Q2573" s="5">
        <v>129470.11441833655</v>
      </c>
      <c r="R2573" s="5">
        <v>86510.608303273053</v>
      </c>
    </row>
    <row r="2574" spans="9:18">
      <c r="I2574" s="4">
        <v>2559</v>
      </c>
      <c r="J2574" s="5">
        <v>14710.037865351254</v>
      </c>
      <c r="K2574" s="5">
        <v>13288.692555879701</v>
      </c>
      <c r="L2574" s="5">
        <v>13417.453622029931</v>
      </c>
      <c r="M2574" s="5">
        <v>7334.8610818348589</v>
      </c>
      <c r="N2574" s="5">
        <v>27841.916587595573</v>
      </c>
      <c r="O2574" s="5">
        <v>83458.030763693328</v>
      </c>
      <c r="P2574" s="5">
        <v>54923.423457863879</v>
      </c>
      <c r="Q2574" s="5">
        <v>15663.43865741136</v>
      </c>
      <c r="R2574" s="5">
        <v>65420.116221752483</v>
      </c>
    </row>
    <row r="2575" spans="9:18">
      <c r="I2575" s="4">
        <v>2560</v>
      </c>
      <c r="J2575" s="5">
        <v>15130.594750069789</v>
      </c>
      <c r="K2575" s="5">
        <v>15391.837334808681</v>
      </c>
      <c r="L2575" s="5">
        <v>14649.721476864312</v>
      </c>
      <c r="M2575" s="5">
        <v>18043.539897080744</v>
      </c>
      <c r="N2575" s="5">
        <v>20292.069765667391</v>
      </c>
      <c r="O2575" s="5">
        <v>41653.890350944224</v>
      </c>
      <c r="P2575" s="5">
        <v>16650.229067545235</v>
      </c>
      <c r="Q2575" s="5">
        <v>20883.852062640355</v>
      </c>
      <c r="R2575" s="5">
        <v>90296.353221228885</v>
      </c>
    </row>
    <row r="2576" spans="9:18">
      <c r="I2576" s="4">
        <v>2561</v>
      </c>
      <c r="J2576" s="5">
        <v>45301.532027110363</v>
      </c>
      <c r="K2576" s="5">
        <v>11149.572204897504</v>
      </c>
      <c r="L2576" s="5">
        <v>24256.352541181568</v>
      </c>
      <c r="M2576" s="5">
        <v>23913.435663027711</v>
      </c>
      <c r="N2576" s="5">
        <v>35826.921212852278</v>
      </c>
      <c r="O2576" s="5">
        <v>4231.3144655921506</v>
      </c>
      <c r="P2576" s="5">
        <v>38024.168395914428</v>
      </c>
      <c r="Q2576" s="5">
        <v>10151.908492905288</v>
      </c>
      <c r="R2576" s="5">
        <v>8130.5639219412278</v>
      </c>
    </row>
    <row r="2577" spans="9:18">
      <c r="I2577" s="4">
        <v>2562</v>
      </c>
      <c r="J2577" s="5">
        <v>16416.142496463777</v>
      </c>
      <c r="K2577" s="5">
        <v>11507.182177474708</v>
      </c>
      <c r="L2577" s="5">
        <v>18602.881797624486</v>
      </c>
      <c r="M2577" s="5">
        <v>30785.663999045999</v>
      </c>
      <c r="N2577" s="5">
        <v>14335.478134989447</v>
      </c>
      <c r="O2577" s="5">
        <v>27068.054847826614</v>
      </c>
      <c r="P2577" s="5">
        <v>10180.109839011631</v>
      </c>
      <c r="Q2577" s="5">
        <v>9652.8114206999071</v>
      </c>
      <c r="R2577" s="5">
        <v>54594.567438884274</v>
      </c>
    </row>
    <row r="2578" spans="9:18">
      <c r="I2578" s="4">
        <v>2563</v>
      </c>
      <c r="J2578" s="5">
        <v>29760.443016608337</v>
      </c>
      <c r="K2578" s="5">
        <v>21218.439146892688</v>
      </c>
      <c r="L2578" s="5">
        <v>14175.160754078657</v>
      </c>
      <c r="M2578" s="5">
        <v>20185.026038758231</v>
      </c>
      <c r="N2578" s="5">
        <v>27833.630848857778</v>
      </c>
      <c r="O2578" s="5">
        <v>8121.6248378263163</v>
      </c>
      <c r="P2578" s="5">
        <v>17643.087208586294</v>
      </c>
      <c r="Q2578" s="5">
        <v>17493.456269945855</v>
      </c>
      <c r="R2578" s="5">
        <v>8130.5639219412278</v>
      </c>
    </row>
    <row r="2579" spans="9:18">
      <c r="I2579" s="4">
        <v>2564</v>
      </c>
      <c r="J2579" s="5">
        <v>13663.281817546009</v>
      </c>
      <c r="K2579" s="5">
        <v>23327.217259521742</v>
      </c>
      <c r="L2579" s="5">
        <v>23760.785349782636</v>
      </c>
      <c r="M2579" s="5">
        <v>10142.860128720422</v>
      </c>
      <c r="N2579" s="5">
        <v>20558.672182394013</v>
      </c>
      <c r="O2579" s="5">
        <v>35865.625349531729</v>
      </c>
      <c r="P2579" s="5">
        <v>25258.981945036445</v>
      </c>
      <c r="Q2579" s="5">
        <v>54060.5331097772</v>
      </c>
      <c r="R2579" s="5">
        <v>17304.847214362417</v>
      </c>
    </row>
    <row r="2580" spans="9:18">
      <c r="I2580" s="4">
        <v>2565</v>
      </c>
      <c r="J2580" s="5">
        <v>16088.430030489333</v>
      </c>
      <c r="K2580" s="5">
        <v>12026.500118162745</v>
      </c>
      <c r="L2580" s="5">
        <v>22018.381599979773</v>
      </c>
      <c r="M2580" s="5">
        <v>18691.941789825862</v>
      </c>
      <c r="N2580" s="5">
        <v>17891.96347244953</v>
      </c>
      <c r="O2580" s="5">
        <v>45451.954570113048</v>
      </c>
      <c r="P2580" s="5">
        <v>6275.8915673055426</v>
      </c>
      <c r="Q2580" s="5">
        <v>7457.1844090365566</v>
      </c>
      <c r="R2580" s="5">
        <v>89167.415757270224</v>
      </c>
    </row>
    <row r="2581" spans="9:18">
      <c r="I2581" s="4">
        <v>2566</v>
      </c>
      <c r="J2581" s="5">
        <v>11843.28062342474</v>
      </c>
      <c r="K2581" s="5">
        <v>16952.949313901812</v>
      </c>
      <c r="L2581" s="5">
        <v>17482.478480142941</v>
      </c>
      <c r="M2581" s="5">
        <v>33862.836621974391</v>
      </c>
      <c r="N2581" s="5">
        <v>9209.4418830788036</v>
      </c>
      <c r="O2581" s="5">
        <v>77417.02098927302</v>
      </c>
      <c r="P2581" s="5">
        <v>14376.883105731285</v>
      </c>
      <c r="Q2581" s="5">
        <v>19315.033835554255</v>
      </c>
      <c r="R2581" s="5">
        <v>12194.45251033065</v>
      </c>
    </row>
    <row r="2582" spans="9:18">
      <c r="I2582" s="4">
        <v>2567</v>
      </c>
      <c r="J2582" s="5">
        <v>12701.339251949787</v>
      </c>
      <c r="K2582" s="5">
        <v>16674.541027260992</v>
      </c>
      <c r="L2582" s="5">
        <v>15651.346103181355</v>
      </c>
      <c r="M2582" s="5">
        <v>21072.983263501868</v>
      </c>
      <c r="N2582" s="5">
        <v>18367.429489032103</v>
      </c>
      <c r="O2582" s="5">
        <v>15936.062371781712</v>
      </c>
      <c r="P2582" s="5">
        <v>27820.721938889761</v>
      </c>
      <c r="Q2582" s="5">
        <v>17234.335939857254</v>
      </c>
      <c r="R2582" s="5">
        <v>7879.038918914337</v>
      </c>
    </row>
    <row r="2583" spans="9:18">
      <c r="I2583" s="4">
        <v>2568</v>
      </c>
      <c r="J2583" s="5">
        <v>14750.660273177687</v>
      </c>
      <c r="K2583" s="5">
        <v>16665.1498926479</v>
      </c>
      <c r="L2583" s="5">
        <v>19189.275558866306</v>
      </c>
      <c r="M2583" s="5">
        <v>21332.072353846772</v>
      </c>
      <c r="N2583" s="5">
        <v>23998.040874392525</v>
      </c>
      <c r="O2583" s="5">
        <v>53007.660727727191</v>
      </c>
      <c r="P2583" s="5">
        <v>41657.50350099193</v>
      </c>
      <c r="Q2583" s="5">
        <v>8502.450657922871</v>
      </c>
      <c r="R2583" s="5">
        <v>50287.76786557267</v>
      </c>
    </row>
    <row r="2584" spans="9:18">
      <c r="I2584" s="4">
        <v>2569</v>
      </c>
      <c r="J2584" s="5">
        <v>16544.73779470181</v>
      </c>
      <c r="K2584" s="5">
        <v>13331.01856102917</v>
      </c>
      <c r="L2584" s="5">
        <v>18602.881797624486</v>
      </c>
      <c r="M2584" s="5">
        <v>37411.178129764201</v>
      </c>
      <c r="N2584" s="5">
        <v>37309.151967087455</v>
      </c>
      <c r="O2584" s="5">
        <v>62082.6862081785</v>
      </c>
      <c r="P2584" s="5">
        <v>9811.9720599964548</v>
      </c>
      <c r="Q2584" s="5">
        <v>31974.553851773013</v>
      </c>
      <c r="R2584" s="5">
        <v>7952.6989268572033</v>
      </c>
    </row>
    <row r="2585" spans="9:18">
      <c r="I2585" s="4">
        <v>2570</v>
      </c>
      <c r="J2585" s="5">
        <v>11843.28062342474</v>
      </c>
      <c r="K2585" s="5">
        <v>14674.169276244838</v>
      </c>
      <c r="L2585" s="5">
        <v>17920.486090689363</v>
      </c>
      <c r="M2585" s="5">
        <v>19097.39635881727</v>
      </c>
      <c r="N2585" s="5">
        <v>14921.795973817481</v>
      </c>
      <c r="O2585" s="5">
        <v>13117.417685535194</v>
      </c>
      <c r="P2585" s="5">
        <v>38771.994792132391</v>
      </c>
      <c r="Q2585" s="5">
        <v>13099.063525342741</v>
      </c>
      <c r="R2585" s="5">
        <v>6681.1887184356683</v>
      </c>
    </row>
    <row r="2586" spans="9:18">
      <c r="I2586" s="4">
        <v>2571</v>
      </c>
      <c r="J2586" s="5">
        <v>14750.660273177687</v>
      </c>
      <c r="K2586" s="5">
        <v>11507.182177474708</v>
      </c>
      <c r="L2586" s="5">
        <v>29265.217478369766</v>
      </c>
      <c r="M2586" s="5">
        <v>20550.782384061673</v>
      </c>
      <c r="N2586" s="5">
        <v>24314.043643333731</v>
      </c>
      <c r="O2586" s="5">
        <v>30876.675913171162</v>
      </c>
      <c r="P2586" s="5">
        <v>54100.778483493887</v>
      </c>
      <c r="Q2586" s="5">
        <v>9454.5906023793759</v>
      </c>
      <c r="R2586" s="5">
        <v>54594.567438884274</v>
      </c>
    </row>
    <row r="2587" spans="9:18">
      <c r="I2587" s="4">
        <v>2572</v>
      </c>
      <c r="J2587" s="5">
        <v>27392.038553726634</v>
      </c>
      <c r="K2587" s="5">
        <v>29672.680843304515</v>
      </c>
      <c r="L2587" s="5">
        <v>17716.90539191998</v>
      </c>
      <c r="M2587" s="5">
        <v>18177.175180585615</v>
      </c>
      <c r="N2587" s="5">
        <v>9209.4418830788036</v>
      </c>
      <c r="O2587" s="5">
        <v>51330.340277512776</v>
      </c>
      <c r="P2587" s="5">
        <v>25258.981945036445</v>
      </c>
      <c r="Q2587" s="5">
        <v>13214.632802255031</v>
      </c>
      <c r="R2587" s="5">
        <v>39727.513802035661</v>
      </c>
    </row>
    <row r="2588" spans="9:18">
      <c r="I2588" s="4">
        <v>2573</v>
      </c>
      <c r="J2588" s="5">
        <v>31559.699247539775</v>
      </c>
      <c r="K2588" s="5">
        <v>10931.803935361211</v>
      </c>
      <c r="L2588" s="5">
        <v>16955.349467865559</v>
      </c>
      <c r="M2588" s="5">
        <v>13011.820191946215</v>
      </c>
      <c r="N2588" s="5">
        <v>23583.581287126868</v>
      </c>
      <c r="O2588" s="5">
        <v>40304.23053285561</v>
      </c>
      <c r="P2588" s="5">
        <v>24349.301972630979</v>
      </c>
      <c r="Q2588" s="5">
        <v>31618.396253255491</v>
      </c>
      <c r="R2588" s="5">
        <v>8046.7106309763258</v>
      </c>
    </row>
    <row r="2589" spans="9:18">
      <c r="I2589" s="4">
        <v>2574</v>
      </c>
      <c r="J2589" s="5">
        <v>21888.821432026474</v>
      </c>
      <c r="K2589" s="5">
        <v>19467.955014411935</v>
      </c>
      <c r="L2589" s="5">
        <v>20698.842353987733</v>
      </c>
      <c r="M2589" s="5">
        <v>18043.539897080744</v>
      </c>
      <c r="N2589" s="5">
        <v>14240.123545764454</v>
      </c>
      <c r="O2589" s="5">
        <v>19492.655596593511</v>
      </c>
      <c r="P2589" s="5">
        <v>9633.1652908310007</v>
      </c>
      <c r="Q2589" s="5">
        <v>9454.5906023793759</v>
      </c>
      <c r="R2589" s="5">
        <v>31715.273557891396</v>
      </c>
    </row>
    <row r="2590" spans="9:18">
      <c r="I2590" s="4">
        <v>2575</v>
      </c>
      <c r="J2590" s="5">
        <v>21717.214093683677</v>
      </c>
      <c r="K2590" s="5">
        <v>10931.803935361211</v>
      </c>
      <c r="L2590" s="5">
        <v>19078.910217042379</v>
      </c>
      <c r="M2590" s="5">
        <v>12619.198742021435</v>
      </c>
      <c r="N2590" s="5">
        <v>24314.043643333731</v>
      </c>
      <c r="O2590" s="5">
        <v>53007.660727727191</v>
      </c>
      <c r="P2590" s="5">
        <v>14316.965520592317</v>
      </c>
      <c r="Q2590" s="5">
        <v>148345.62878828164</v>
      </c>
      <c r="R2590" s="5">
        <v>26783.439354489365</v>
      </c>
    </row>
    <row r="2591" spans="9:18">
      <c r="I2591" s="4">
        <v>2576</v>
      </c>
      <c r="J2591" s="5">
        <v>26634.853073396614</v>
      </c>
      <c r="K2591" s="5">
        <v>95171.967522309933</v>
      </c>
      <c r="L2591" s="5">
        <v>29265.217478369766</v>
      </c>
      <c r="M2591" s="5">
        <v>16842.379179328669</v>
      </c>
      <c r="N2591" s="5">
        <v>36962.805083900916</v>
      </c>
      <c r="O2591" s="5">
        <v>51330.340277512776</v>
      </c>
      <c r="P2591" s="5">
        <v>28537.545734403488</v>
      </c>
      <c r="Q2591" s="5">
        <v>4631.7430487757983</v>
      </c>
      <c r="R2591" s="5">
        <v>90296.353221228885</v>
      </c>
    </row>
    <row r="2592" spans="9:18">
      <c r="I2592" s="4">
        <v>2577</v>
      </c>
      <c r="J2592" s="5">
        <v>12452.764985867625</v>
      </c>
      <c r="K2592" s="5">
        <v>18821.113178054162</v>
      </c>
      <c r="L2592" s="5">
        <v>15487.970507365942</v>
      </c>
      <c r="M2592" s="5">
        <v>13011.820191946215</v>
      </c>
      <c r="N2592" s="5">
        <v>57711.498171893618</v>
      </c>
      <c r="O2592" s="5">
        <v>14371.728352806511</v>
      </c>
      <c r="P2592" s="5">
        <v>32167.874670939738</v>
      </c>
      <c r="Q2592" s="5">
        <v>31902.904306425251</v>
      </c>
      <c r="R2592" s="5">
        <v>30571.564004538617</v>
      </c>
    </row>
    <row r="2593" spans="9:18">
      <c r="I2593" s="4">
        <v>2578</v>
      </c>
      <c r="J2593" s="5">
        <v>16511.332839561353</v>
      </c>
      <c r="K2593" s="5">
        <v>23934.551191616061</v>
      </c>
      <c r="L2593" s="5">
        <v>19224.583269019437</v>
      </c>
      <c r="M2593" s="5">
        <v>11860.862376247747</v>
      </c>
      <c r="N2593" s="5">
        <v>15251.140047572881</v>
      </c>
      <c r="O2593" s="5">
        <v>51330.340277512776</v>
      </c>
      <c r="P2593" s="5">
        <v>13793.886507202402</v>
      </c>
      <c r="Q2593" s="5">
        <v>54060.5331097772</v>
      </c>
      <c r="R2593" s="5">
        <v>51141.799458534304</v>
      </c>
    </row>
    <row r="2594" spans="9:18">
      <c r="I2594" s="4">
        <v>2579</v>
      </c>
      <c r="J2594" s="5">
        <v>12701.339251949787</v>
      </c>
      <c r="K2594" s="5">
        <v>13719.930466819731</v>
      </c>
      <c r="L2594" s="5">
        <v>17683.765335572589</v>
      </c>
      <c r="M2594" s="5">
        <v>21072.983263501868</v>
      </c>
      <c r="N2594" s="5">
        <v>11952.903761138405</v>
      </c>
      <c r="O2594" s="5">
        <v>35286.662852302201</v>
      </c>
      <c r="P2594" s="5">
        <v>18862.487147419793</v>
      </c>
      <c r="Q2594" s="5">
        <v>79566.621912742485</v>
      </c>
      <c r="R2594" s="5">
        <v>62674.060343500474</v>
      </c>
    </row>
    <row r="2595" spans="9:18">
      <c r="I2595" s="4">
        <v>2580</v>
      </c>
      <c r="J2595" s="5">
        <v>15786.811016780619</v>
      </c>
      <c r="K2595" s="5">
        <v>56656.842992470461</v>
      </c>
      <c r="L2595" s="5">
        <v>18475.258050488967</v>
      </c>
      <c r="M2595" s="5">
        <v>17370.588707072598</v>
      </c>
      <c r="N2595" s="5">
        <v>14335.478134989447</v>
      </c>
      <c r="O2595" s="5">
        <v>13550.031670770122</v>
      </c>
      <c r="P2595" s="5">
        <v>17996.895987204196</v>
      </c>
      <c r="Q2595" s="5">
        <v>29432.473148002948</v>
      </c>
      <c r="R2595" s="5">
        <v>3311.4906988006405</v>
      </c>
    </row>
    <row r="2596" spans="9:18">
      <c r="I2596" s="4">
        <v>2581</v>
      </c>
      <c r="J2596" s="5">
        <v>13391.049101507895</v>
      </c>
      <c r="K2596" s="5">
        <v>53937.689698015136</v>
      </c>
      <c r="L2596" s="5">
        <v>19189.275558866306</v>
      </c>
      <c r="M2596" s="5">
        <v>33862.836621974391</v>
      </c>
      <c r="N2596" s="5">
        <v>26152.705108198839</v>
      </c>
      <c r="O2596" s="5">
        <v>13550.031670770122</v>
      </c>
      <c r="P2596" s="5">
        <v>8877.9712092977989</v>
      </c>
      <c r="Q2596" s="5">
        <v>3272.4685014937832</v>
      </c>
      <c r="R2596" s="5">
        <v>5865.9802599669383</v>
      </c>
    </row>
    <row r="2597" spans="9:18">
      <c r="I2597" s="4">
        <v>2582</v>
      </c>
      <c r="J2597" s="5">
        <v>23517.429992060665</v>
      </c>
      <c r="K2597" s="5">
        <v>24728.095385476983</v>
      </c>
      <c r="L2597" s="5">
        <v>13417.453622029931</v>
      </c>
      <c r="M2597" s="5">
        <v>12426.949970383979</v>
      </c>
      <c r="N2597" s="5">
        <v>21933.097106966918</v>
      </c>
      <c r="O2597" s="5">
        <v>16524.769946939996</v>
      </c>
      <c r="P2597" s="5">
        <v>54292.749740228588</v>
      </c>
      <c r="Q2597" s="5">
        <v>37073.980790337926</v>
      </c>
      <c r="R2597" s="5">
        <v>81423.874800517297</v>
      </c>
    </row>
    <row r="2598" spans="9:18">
      <c r="I2598" s="4">
        <v>2583</v>
      </c>
      <c r="J2598" s="5">
        <v>12888.204629170894</v>
      </c>
      <c r="K2598" s="5">
        <v>14497.035717129334</v>
      </c>
      <c r="L2598" s="5">
        <v>16017.890956041876</v>
      </c>
      <c r="M2598" s="5">
        <v>12934.591863415189</v>
      </c>
      <c r="N2598" s="5">
        <v>24853.247795632611</v>
      </c>
      <c r="O2598" s="5">
        <v>24422.445067017139</v>
      </c>
      <c r="P2598" s="5">
        <v>55119.366528283317</v>
      </c>
      <c r="Q2598" s="5">
        <v>47365.380972950254</v>
      </c>
      <c r="R2598" s="5">
        <v>39263.770877572199</v>
      </c>
    </row>
    <row r="2599" spans="9:18">
      <c r="I2599" s="4">
        <v>2584</v>
      </c>
      <c r="J2599" s="5">
        <v>14710.037865351254</v>
      </c>
      <c r="K2599" s="5">
        <v>22732.797143159998</v>
      </c>
      <c r="L2599" s="5">
        <v>13023.361770761438</v>
      </c>
      <c r="M2599" s="5">
        <v>23515.935489506261</v>
      </c>
      <c r="N2599" s="5">
        <v>21909.120225822895</v>
      </c>
      <c r="O2599" s="5">
        <v>26565.882515615398</v>
      </c>
      <c r="P2599" s="5">
        <v>66904.018529955298</v>
      </c>
      <c r="Q2599" s="5">
        <v>8502.450657922871</v>
      </c>
      <c r="R2599" s="5">
        <v>14051.647494499957</v>
      </c>
    </row>
    <row r="2600" spans="9:18">
      <c r="I2600" s="4">
        <v>2585</v>
      </c>
      <c r="J2600" s="5">
        <v>11936.262457073821</v>
      </c>
      <c r="K2600" s="5">
        <v>15129.619337591721</v>
      </c>
      <c r="L2600" s="5">
        <v>15759.954187048656</v>
      </c>
      <c r="M2600" s="5">
        <v>15346.383801976139</v>
      </c>
      <c r="N2600" s="5">
        <v>25549.748582175915</v>
      </c>
      <c r="O2600" s="5">
        <v>3171.3006415671193</v>
      </c>
      <c r="P2600" s="5">
        <v>13452.921824087563</v>
      </c>
      <c r="Q2600" s="5">
        <v>16803.875627203233</v>
      </c>
      <c r="R2600" s="5">
        <v>31715.273557891396</v>
      </c>
    </row>
    <row r="2601" spans="9:18">
      <c r="I2601" s="4">
        <v>2586</v>
      </c>
      <c r="J2601" s="5">
        <v>12888.204629170894</v>
      </c>
      <c r="K2601" s="5">
        <v>14579.232378315752</v>
      </c>
      <c r="L2601" s="5">
        <v>15746.942257105531</v>
      </c>
      <c r="M2601" s="5">
        <v>20229.919588372999</v>
      </c>
      <c r="N2601" s="5">
        <v>26152.705108198839</v>
      </c>
      <c r="O2601" s="5">
        <v>8121.6248378263163</v>
      </c>
      <c r="P2601" s="5">
        <v>12790.85158217316</v>
      </c>
      <c r="Q2601" s="5">
        <v>17234.335939857254</v>
      </c>
      <c r="R2601" s="5">
        <v>96845.299789249824</v>
      </c>
    </row>
    <row r="2602" spans="9:18">
      <c r="I2602" s="4">
        <v>2587</v>
      </c>
      <c r="J2602" s="5">
        <v>31559.699247539775</v>
      </c>
      <c r="K2602" s="5">
        <v>14497.035717129334</v>
      </c>
      <c r="L2602" s="5">
        <v>16616.161224349555</v>
      </c>
      <c r="M2602" s="5">
        <v>16881.579299055</v>
      </c>
      <c r="N2602" s="5">
        <v>26565.664379767408</v>
      </c>
      <c r="O2602" s="5">
        <v>16826.763259351828</v>
      </c>
      <c r="P2602" s="5">
        <v>44646.134934589521</v>
      </c>
      <c r="Q2602" s="5">
        <v>48866.209623168346</v>
      </c>
      <c r="R2602" s="5">
        <v>41418.225609677866</v>
      </c>
    </row>
    <row r="2603" spans="9:18">
      <c r="I2603" s="4">
        <v>2588</v>
      </c>
      <c r="J2603" s="5">
        <v>28169.050633834027</v>
      </c>
      <c r="K2603" s="5">
        <v>16132.555399908759</v>
      </c>
      <c r="L2603" s="5">
        <v>15764.107424863063</v>
      </c>
      <c r="M2603" s="5">
        <v>18177.175180585615</v>
      </c>
      <c r="N2603" s="5">
        <v>11684.605182472778</v>
      </c>
      <c r="O2603" s="5">
        <v>5909.5347260996277</v>
      </c>
      <c r="P2603" s="5">
        <v>14327.191387816954</v>
      </c>
      <c r="Q2603" s="5">
        <v>129470.11441833655</v>
      </c>
      <c r="R2603" s="5">
        <v>181970.23111012415</v>
      </c>
    </row>
    <row r="2604" spans="9:18">
      <c r="I2604" s="4">
        <v>2589</v>
      </c>
      <c r="J2604" s="5">
        <v>16733.020222212988</v>
      </c>
      <c r="K2604" s="5">
        <v>8223.1266007477425</v>
      </c>
      <c r="L2604" s="5">
        <v>14264.23790876064</v>
      </c>
      <c r="M2604" s="5">
        <v>21833.004790208965</v>
      </c>
      <c r="N2604" s="5">
        <v>24853.247795632611</v>
      </c>
      <c r="O2604" s="5">
        <v>16572.483389649329</v>
      </c>
      <c r="P2604" s="5">
        <v>10966.822219855034</v>
      </c>
      <c r="Q2604" s="5">
        <v>16591.881190929333</v>
      </c>
      <c r="R2604" s="5">
        <v>86510.608303273053</v>
      </c>
    </row>
    <row r="2605" spans="9:18">
      <c r="I2605" s="4">
        <v>2590</v>
      </c>
      <c r="J2605" s="5">
        <v>13045.114546182727</v>
      </c>
      <c r="K2605" s="5">
        <v>17128.860847126922</v>
      </c>
      <c r="L2605" s="5">
        <v>14815.394001212817</v>
      </c>
      <c r="M2605" s="5">
        <v>21913.431401527439</v>
      </c>
      <c r="N2605" s="5">
        <v>23998.040874392525</v>
      </c>
      <c r="O2605" s="5">
        <v>45451.954570113048</v>
      </c>
      <c r="P2605" s="5">
        <v>10966.822219855034</v>
      </c>
      <c r="Q2605" s="5">
        <v>11928.872068442162</v>
      </c>
      <c r="R2605" s="5">
        <v>27349.63499959607</v>
      </c>
    </row>
    <row r="2606" spans="9:18">
      <c r="I2606" s="4">
        <v>2591</v>
      </c>
      <c r="J2606" s="5">
        <v>17005.744061105343</v>
      </c>
      <c r="K2606" s="5">
        <v>12777.667398488715</v>
      </c>
      <c r="L2606" s="5">
        <v>18215.751370765771</v>
      </c>
      <c r="M2606" s="5">
        <v>30830.81083227017</v>
      </c>
      <c r="N2606" s="5">
        <v>11251.634703629026</v>
      </c>
      <c r="O2606" s="5">
        <v>16524.769946939996</v>
      </c>
      <c r="P2606" s="5">
        <v>10966.822219855034</v>
      </c>
      <c r="Q2606" s="5">
        <v>42044.890065817184</v>
      </c>
      <c r="R2606" s="5">
        <v>39788.288251916689</v>
      </c>
    </row>
    <row r="2607" spans="9:18">
      <c r="I2607" s="4">
        <v>2592</v>
      </c>
      <c r="J2607" s="5">
        <v>22370.105711697011</v>
      </c>
      <c r="K2607" s="5">
        <v>14674.169276244838</v>
      </c>
      <c r="L2607" s="5">
        <v>14796.875457021113</v>
      </c>
      <c r="M2607" s="5">
        <v>13139.022167648376</v>
      </c>
      <c r="N2607" s="5">
        <v>21931.347680292267</v>
      </c>
      <c r="O2607" s="5">
        <v>53504.725169095313</v>
      </c>
      <c r="P2607" s="5">
        <v>12639.596794453437</v>
      </c>
      <c r="Q2607" s="5">
        <v>28776.080424849053</v>
      </c>
      <c r="R2607" s="5">
        <v>24722.972470599001</v>
      </c>
    </row>
    <row r="2608" spans="9:18">
      <c r="I2608" s="4">
        <v>2593</v>
      </c>
      <c r="J2608" s="5">
        <v>21717.214093683677</v>
      </c>
      <c r="K2608" s="5">
        <v>35488.449387009874</v>
      </c>
      <c r="L2608" s="5">
        <v>11827.803406885578</v>
      </c>
      <c r="M2608" s="5">
        <v>16500.222621933419</v>
      </c>
      <c r="N2608" s="5">
        <v>21009.255892677338</v>
      </c>
      <c r="O2608" s="5">
        <v>31172.963108652857</v>
      </c>
      <c r="P2608" s="5">
        <v>55119.366528283317</v>
      </c>
      <c r="Q2608" s="5">
        <v>37101.531383212743</v>
      </c>
      <c r="R2608" s="5">
        <v>1535.701520095213</v>
      </c>
    </row>
    <row r="2609" spans="9:18">
      <c r="I2609" s="4">
        <v>2594</v>
      </c>
      <c r="J2609" s="5">
        <v>26634.853073396614</v>
      </c>
      <c r="K2609" s="5">
        <v>32073.547537933715</v>
      </c>
      <c r="L2609" s="5">
        <v>18475.258050488967</v>
      </c>
      <c r="M2609" s="5">
        <v>16842.379179328669</v>
      </c>
      <c r="N2609" s="5">
        <v>15130.853682762778</v>
      </c>
      <c r="O2609" s="5">
        <v>35865.625349531729</v>
      </c>
      <c r="P2609" s="5">
        <v>5836.7810663002319</v>
      </c>
      <c r="Q2609" s="5">
        <v>30266.563414010914</v>
      </c>
      <c r="R2609" s="5">
        <v>123773.40402252052</v>
      </c>
    </row>
    <row r="2610" spans="9:18">
      <c r="I2610" s="4">
        <v>2595</v>
      </c>
      <c r="J2610" s="5">
        <v>15623.733864199699</v>
      </c>
      <c r="K2610" s="5">
        <v>53937.689698015136</v>
      </c>
      <c r="L2610" s="5">
        <v>18215.751370765771</v>
      </c>
      <c r="M2610" s="5">
        <v>20550.782384061673</v>
      </c>
      <c r="N2610" s="5">
        <v>26152.705108198839</v>
      </c>
      <c r="O2610" s="5">
        <v>27503.656957929088</v>
      </c>
      <c r="P2610" s="5">
        <v>27708.613526855763</v>
      </c>
      <c r="Q2610" s="5">
        <v>18097.768262249352</v>
      </c>
      <c r="R2610" s="5">
        <v>96845.299789249824</v>
      </c>
    </row>
    <row r="2611" spans="9:18">
      <c r="I2611" s="4">
        <v>2596</v>
      </c>
      <c r="J2611" s="5">
        <v>22188.291830993156</v>
      </c>
      <c r="K2611" s="5">
        <v>15487.124352801369</v>
      </c>
      <c r="L2611" s="5">
        <v>18475.258050488967</v>
      </c>
      <c r="M2611" s="5">
        <v>23067.94260629595</v>
      </c>
      <c r="N2611" s="5">
        <v>22511.351424689696</v>
      </c>
      <c r="O2611" s="5">
        <v>49114.195066822271</v>
      </c>
      <c r="P2611" s="5">
        <v>9047.5556949992188</v>
      </c>
      <c r="Q2611" s="5">
        <v>7457.1844090365566</v>
      </c>
      <c r="R2611" s="5">
        <v>123773.40402252052</v>
      </c>
    </row>
    <row r="2612" spans="9:18">
      <c r="I2612" s="4">
        <v>2597</v>
      </c>
      <c r="J2612" s="5">
        <v>16511.332839561353</v>
      </c>
      <c r="K2612" s="5">
        <v>12423.491400404893</v>
      </c>
      <c r="L2612" s="5">
        <v>13037.115556745504</v>
      </c>
      <c r="M2612" s="5">
        <v>19042.78605337895</v>
      </c>
      <c r="N2612" s="5">
        <v>11751.639947035985</v>
      </c>
      <c r="O2612" s="5">
        <v>30876.675913171162</v>
      </c>
      <c r="P2612" s="5">
        <v>83536.241167211992</v>
      </c>
      <c r="Q2612" s="5">
        <v>11928.872068442162</v>
      </c>
      <c r="R2612" s="5">
        <v>96845.299789249824</v>
      </c>
    </row>
    <row r="2613" spans="9:18">
      <c r="I2613" s="4">
        <v>2598</v>
      </c>
      <c r="J2613" s="5">
        <v>16145.071869702888</v>
      </c>
      <c r="K2613" s="5">
        <v>14095.75230105142</v>
      </c>
      <c r="L2613" s="5">
        <v>17073.17760523731</v>
      </c>
      <c r="M2613" s="5">
        <v>14660.631931099009</v>
      </c>
      <c r="N2613" s="5">
        <v>22010.718648995869</v>
      </c>
      <c r="O2613" s="5">
        <v>15936.062371781712</v>
      </c>
      <c r="P2613" s="5">
        <v>21933.779100635442</v>
      </c>
      <c r="Q2613" s="5">
        <v>8880.8074399558282</v>
      </c>
      <c r="R2613" s="5">
        <v>1535.701520095213</v>
      </c>
    </row>
    <row r="2614" spans="9:18">
      <c r="I2614" s="4">
        <v>2599</v>
      </c>
      <c r="J2614" s="5">
        <v>12452.764985867625</v>
      </c>
      <c r="K2614" s="5">
        <v>13331.01856102917</v>
      </c>
      <c r="L2614" s="5">
        <v>16014.071850041886</v>
      </c>
      <c r="M2614" s="5">
        <v>16500.222621933419</v>
      </c>
      <c r="N2614" s="5">
        <v>26152.705108198839</v>
      </c>
      <c r="O2614" s="5">
        <v>9869.5889207969612</v>
      </c>
      <c r="P2614" s="5">
        <v>24349.301972630979</v>
      </c>
      <c r="Q2614" s="5">
        <v>28567.61306643406</v>
      </c>
      <c r="R2614" s="5">
        <v>55106.806585409526</v>
      </c>
    </row>
    <row r="2615" spans="9:18">
      <c r="I2615" s="4">
        <v>2600</v>
      </c>
      <c r="J2615" s="5">
        <v>43272.831879770602</v>
      </c>
      <c r="K2615" s="5">
        <v>14095.75230105142</v>
      </c>
      <c r="L2615" s="5">
        <v>18215.751370765771</v>
      </c>
      <c r="M2615" s="5">
        <v>22815.60259636537</v>
      </c>
      <c r="N2615" s="5">
        <v>59876.136849941562</v>
      </c>
      <c r="O2615" s="5">
        <v>6199.3195463515376</v>
      </c>
      <c r="P2615" s="5">
        <v>45161.732159568586</v>
      </c>
      <c r="Q2615" s="5">
        <v>13865.641566869812</v>
      </c>
      <c r="R2615" s="5">
        <v>7784.2246210242874</v>
      </c>
    </row>
    <row r="2616" spans="9:18">
      <c r="I2616" s="4">
        <v>2601</v>
      </c>
      <c r="J2616" s="5">
        <v>20768.286261788198</v>
      </c>
      <c r="K2616" s="5">
        <v>14136.873097602549</v>
      </c>
      <c r="L2616" s="5">
        <v>18602.881797624486</v>
      </c>
      <c r="M2616" s="5">
        <v>15202.972920708273</v>
      </c>
      <c r="N2616" s="5">
        <v>26115.05281128412</v>
      </c>
      <c r="O2616" s="5">
        <v>8801.3667015774663</v>
      </c>
      <c r="P2616" s="5">
        <v>10733.318076105543</v>
      </c>
      <c r="Q2616" s="5">
        <v>30266.563414010914</v>
      </c>
      <c r="R2616" s="5">
        <v>261393.32711858812</v>
      </c>
    </row>
    <row r="2617" spans="9:18">
      <c r="I2617" s="4">
        <v>2602</v>
      </c>
      <c r="J2617" s="5">
        <v>14594.990625703947</v>
      </c>
      <c r="K2617" s="5">
        <v>16605.655749562578</v>
      </c>
      <c r="L2617" s="5">
        <v>14175.160754078657</v>
      </c>
      <c r="M2617" s="5">
        <v>15346.383801976139</v>
      </c>
      <c r="N2617" s="5">
        <v>9989.086510768735</v>
      </c>
      <c r="O2617" s="5">
        <v>19430.912633256889</v>
      </c>
      <c r="P2617" s="5">
        <v>9965.8330787532959</v>
      </c>
      <c r="Q2617" s="5">
        <v>79566.621912742485</v>
      </c>
      <c r="R2617" s="5">
        <v>55106.806585409526</v>
      </c>
    </row>
    <row r="2618" spans="9:18">
      <c r="I2618" s="4">
        <v>2603</v>
      </c>
      <c r="J2618" s="5">
        <v>45301.532027110363</v>
      </c>
      <c r="K2618" s="5">
        <v>21527.93129974293</v>
      </c>
      <c r="L2618" s="5">
        <v>23561.450544884348</v>
      </c>
      <c r="M2618" s="5">
        <v>20185.026038758231</v>
      </c>
      <c r="N2618" s="5">
        <v>11788.341482962171</v>
      </c>
      <c r="O2618" s="5">
        <v>24369.28567093279</v>
      </c>
      <c r="P2618" s="5">
        <v>49519.098753410741</v>
      </c>
      <c r="Q2618" s="5">
        <v>7349.2234634219121</v>
      </c>
      <c r="R2618" s="5">
        <v>55012.315589742022</v>
      </c>
    </row>
    <row r="2619" spans="9:18">
      <c r="I2619" s="4">
        <v>2604</v>
      </c>
      <c r="J2619" s="5">
        <v>15873.12561080002</v>
      </c>
      <c r="K2619" s="5">
        <v>17003.901855709089</v>
      </c>
      <c r="L2619" s="5">
        <v>17482.478480142941</v>
      </c>
      <c r="M2619" s="5">
        <v>22326.253555179093</v>
      </c>
      <c r="N2619" s="5">
        <v>20292.069765667391</v>
      </c>
      <c r="O2619" s="5">
        <v>26268.613803794757</v>
      </c>
      <c r="P2619" s="5">
        <v>13793.886507202402</v>
      </c>
      <c r="Q2619" s="5">
        <v>20987.925664394581</v>
      </c>
      <c r="R2619" s="5">
        <v>7394.6358885760465</v>
      </c>
    </row>
    <row r="2620" spans="9:18">
      <c r="I2620" s="4">
        <v>2605</v>
      </c>
      <c r="J2620" s="5">
        <v>11036.461796239426</v>
      </c>
      <c r="K2620" s="5">
        <v>32294.121255311245</v>
      </c>
      <c r="L2620" s="5">
        <v>15664.99858445921</v>
      </c>
      <c r="M2620" s="5">
        <v>13642.678686731051</v>
      </c>
      <c r="N2620" s="5">
        <v>26152.705108198839</v>
      </c>
      <c r="O2620" s="5">
        <v>20827.029306810669</v>
      </c>
      <c r="P2620" s="5">
        <v>34814.458119125498</v>
      </c>
      <c r="Q2620" s="5">
        <v>9454.5906023793759</v>
      </c>
      <c r="R2620" s="5">
        <v>1535.701520095213</v>
      </c>
    </row>
    <row r="2621" spans="9:18">
      <c r="I2621" s="4">
        <v>2606</v>
      </c>
      <c r="J2621" s="5">
        <v>14671.176405938595</v>
      </c>
      <c r="K2621" s="5">
        <v>43843.85059185313</v>
      </c>
      <c r="L2621" s="5">
        <v>16106.634875163341</v>
      </c>
      <c r="M2621" s="5">
        <v>15346.383801976139</v>
      </c>
      <c r="N2621" s="5">
        <v>23998.040874392525</v>
      </c>
      <c r="O2621" s="5">
        <v>53028.643350899503</v>
      </c>
      <c r="P2621" s="5">
        <v>32155.527541400057</v>
      </c>
      <c r="Q2621" s="5">
        <v>19315.033835554255</v>
      </c>
      <c r="R2621" s="5">
        <v>8105.1944146993656</v>
      </c>
    </row>
    <row r="2622" spans="9:18">
      <c r="I2622" s="4">
        <v>2607</v>
      </c>
      <c r="J2622" s="5">
        <v>15648.665245032147</v>
      </c>
      <c r="K2622" s="5">
        <v>16132.555399908759</v>
      </c>
      <c r="L2622" s="5">
        <v>17683.765335572589</v>
      </c>
      <c r="M2622" s="5">
        <v>36301.422888051464</v>
      </c>
      <c r="N2622" s="5">
        <v>21933.097106966918</v>
      </c>
      <c r="O2622" s="5">
        <v>45451.954570113048</v>
      </c>
      <c r="P2622" s="5">
        <v>55152.110177667731</v>
      </c>
      <c r="Q2622" s="5">
        <v>70295.978314632754</v>
      </c>
      <c r="R2622" s="5">
        <v>7952.6989268572033</v>
      </c>
    </row>
    <row r="2623" spans="9:18">
      <c r="I2623" s="4">
        <v>2608</v>
      </c>
      <c r="J2623" s="5">
        <v>16459.003095225507</v>
      </c>
      <c r="K2623" s="5">
        <v>11507.182177474708</v>
      </c>
      <c r="L2623" s="5">
        <v>14815.394001212817</v>
      </c>
      <c r="M2623" s="5">
        <v>10142.860128720422</v>
      </c>
      <c r="N2623" s="5">
        <v>21909.120225822895</v>
      </c>
      <c r="O2623" s="5">
        <v>8121.6248378263163</v>
      </c>
      <c r="P2623" s="5">
        <v>26541.896041444568</v>
      </c>
      <c r="Q2623" s="5">
        <v>96632.959478514502</v>
      </c>
      <c r="R2623" s="5">
        <v>14706.681111065362</v>
      </c>
    </row>
    <row r="2624" spans="9:18">
      <c r="I2624" s="4">
        <v>2609</v>
      </c>
      <c r="J2624" s="5">
        <v>19467.17453557903</v>
      </c>
      <c r="K2624" s="5">
        <v>37822.375317881044</v>
      </c>
      <c r="L2624" s="5">
        <v>23561.450544884348</v>
      </c>
      <c r="M2624" s="5">
        <v>19795.661011456152</v>
      </c>
      <c r="N2624" s="5">
        <v>23008.246229813707</v>
      </c>
      <c r="O2624" s="5">
        <v>79848.944504816522</v>
      </c>
      <c r="P2624" s="5">
        <v>32167.874670939738</v>
      </c>
      <c r="Q2624" s="5">
        <v>12451.066014448154</v>
      </c>
      <c r="R2624" s="5">
        <v>39263.770877572199</v>
      </c>
    </row>
    <row r="2625" spans="9:18">
      <c r="I2625" s="4">
        <v>2610</v>
      </c>
      <c r="J2625" s="5">
        <v>19467.17453557903</v>
      </c>
      <c r="K2625" s="5">
        <v>14021.934268028277</v>
      </c>
      <c r="L2625" s="5">
        <v>17128.574519497746</v>
      </c>
      <c r="M2625" s="5">
        <v>13022.686998540772</v>
      </c>
      <c r="N2625" s="5">
        <v>11788.341482962171</v>
      </c>
      <c r="O2625" s="5">
        <v>67717.30633712461</v>
      </c>
      <c r="P2625" s="5">
        <v>34768.042801665702</v>
      </c>
      <c r="Q2625" s="5">
        <v>29432.473148002948</v>
      </c>
      <c r="R2625" s="5">
        <v>302760.11878714536</v>
      </c>
    </row>
    <row r="2626" spans="9:18">
      <c r="I2626" s="4">
        <v>2611</v>
      </c>
      <c r="J2626" s="5">
        <v>16710.807721801892</v>
      </c>
      <c r="K2626" s="5">
        <v>19467.955014411935</v>
      </c>
      <c r="L2626" s="5">
        <v>18475.258050488967</v>
      </c>
      <c r="M2626" s="5">
        <v>24981.974172352908</v>
      </c>
      <c r="N2626" s="5">
        <v>9989.086510768735</v>
      </c>
      <c r="O2626" s="5">
        <v>20827.029306810669</v>
      </c>
      <c r="P2626" s="5">
        <v>18862.487147419793</v>
      </c>
      <c r="Q2626" s="5">
        <v>28776.080424849053</v>
      </c>
      <c r="R2626" s="5">
        <v>12194.45251033065</v>
      </c>
    </row>
    <row r="2627" spans="9:18">
      <c r="I2627" s="4">
        <v>2612</v>
      </c>
      <c r="J2627" s="5">
        <v>31559.699247539775</v>
      </c>
      <c r="K2627" s="5">
        <v>15129.619337591721</v>
      </c>
      <c r="L2627" s="5">
        <v>16577.562442697115</v>
      </c>
      <c r="M2627" s="5">
        <v>13139.022167648376</v>
      </c>
      <c r="N2627" s="5">
        <v>14240.123545764454</v>
      </c>
      <c r="O2627" s="5">
        <v>35286.662852302201</v>
      </c>
      <c r="P2627" s="5">
        <v>55119.366528283317</v>
      </c>
      <c r="Q2627" s="5">
        <v>96632.959478514502</v>
      </c>
      <c r="R2627" s="5">
        <v>26783.439354489365</v>
      </c>
    </row>
    <row r="2628" spans="9:18">
      <c r="I2628" s="4">
        <v>2613</v>
      </c>
      <c r="J2628" s="5">
        <v>16544.73779470181</v>
      </c>
      <c r="K2628" s="5">
        <v>9739.7813029644258</v>
      </c>
      <c r="L2628" s="5">
        <v>24256.352541181568</v>
      </c>
      <c r="M2628" s="5">
        <v>12619.198742021435</v>
      </c>
      <c r="N2628" s="5">
        <v>27833.630848857778</v>
      </c>
      <c r="O2628" s="5">
        <v>35286.662852302201</v>
      </c>
      <c r="P2628" s="5">
        <v>27452.975716953504</v>
      </c>
      <c r="Q2628" s="5">
        <v>22895.455950885695</v>
      </c>
      <c r="R2628" s="5">
        <v>6681.1887184356683</v>
      </c>
    </row>
    <row r="2629" spans="9:18">
      <c r="I2629" s="4">
        <v>2614</v>
      </c>
      <c r="J2629" s="5">
        <v>14538.277247583976</v>
      </c>
      <c r="K2629" s="5">
        <v>16665.1498926479</v>
      </c>
      <c r="L2629" s="5">
        <v>10896.494237357269</v>
      </c>
      <c r="M2629" s="5">
        <v>13139.022167648376</v>
      </c>
      <c r="N2629" s="5">
        <v>20583.564383988036</v>
      </c>
      <c r="O2629" s="5">
        <v>40304.23053285561</v>
      </c>
      <c r="P2629" s="5">
        <v>48123.003747643132</v>
      </c>
      <c r="Q2629" s="5">
        <v>9138.5169630896526</v>
      </c>
      <c r="R2629" s="5">
        <v>76851.431017396084</v>
      </c>
    </row>
    <row r="2630" spans="9:18">
      <c r="I2630" s="4">
        <v>2615</v>
      </c>
      <c r="J2630" s="5">
        <v>11854.381651026555</v>
      </c>
      <c r="K2630" s="5">
        <v>15782.544184844044</v>
      </c>
      <c r="L2630" s="5">
        <v>23760.785349782636</v>
      </c>
      <c r="M2630" s="5">
        <v>20229.919588372999</v>
      </c>
      <c r="N2630" s="5">
        <v>9989.086510768735</v>
      </c>
      <c r="O2630" s="5">
        <v>10270.120415297655</v>
      </c>
      <c r="P2630" s="5">
        <v>21933.779100635442</v>
      </c>
      <c r="Q2630" s="5">
        <v>17493.456269945855</v>
      </c>
      <c r="R2630" s="5">
        <v>12116.34255245842</v>
      </c>
    </row>
    <row r="2631" spans="9:18">
      <c r="I2631" s="4">
        <v>2616</v>
      </c>
      <c r="J2631" s="5">
        <v>15786.811016780619</v>
      </c>
      <c r="K2631" s="5">
        <v>18218.584572172625</v>
      </c>
      <c r="L2631" s="5">
        <v>16577.562442697115</v>
      </c>
      <c r="M2631" s="5">
        <v>15346.383801976139</v>
      </c>
      <c r="N2631" s="5">
        <v>42744.618431291936</v>
      </c>
      <c r="O2631" s="5">
        <v>10270.120415297655</v>
      </c>
      <c r="P2631" s="5">
        <v>49519.098753410741</v>
      </c>
      <c r="Q2631" s="5">
        <v>42044.890065817184</v>
      </c>
      <c r="R2631" s="5">
        <v>46004.399892616471</v>
      </c>
    </row>
    <row r="2632" spans="9:18">
      <c r="I2632" s="4">
        <v>2617</v>
      </c>
      <c r="J2632" s="5">
        <v>22370.105711697011</v>
      </c>
      <c r="K2632" s="5">
        <v>15698.764831033119</v>
      </c>
      <c r="L2632" s="5">
        <v>17311.244744664215</v>
      </c>
      <c r="M2632" s="5">
        <v>23067.94260629595</v>
      </c>
      <c r="N2632" s="5">
        <v>27833.630848857778</v>
      </c>
      <c r="O2632" s="5">
        <v>26268.613803794757</v>
      </c>
      <c r="P2632" s="5">
        <v>12992.105410393709</v>
      </c>
      <c r="Q2632" s="5">
        <v>19315.033835554255</v>
      </c>
      <c r="R2632" s="5">
        <v>18349.337771428582</v>
      </c>
    </row>
    <row r="2633" spans="9:18">
      <c r="I2633" s="4">
        <v>2618</v>
      </c>
      <c r="J2633" s="5">
        <v>13918.242013140338</v>
      </c>
      <c r="K2633" s="5">
        <v>14878.52734402675</v>
      </c>
      <c r="L2633" s="5">
        <v>17128.574519497746</v>
      </c>
      <c r="M2633" s="5">
        <v>26477.996319655329</v>
      </c>
      <c r="N2633" s="5">
        <v>24314.043643333731</v>
      </c>
      <c r="O2633" s="5">
        <v>10738.305003664611</v>
      </c>
      <c r="P2633" s="5">
        <v>12790.85158217316</v>
      </c>
      <c r="Q2633" s="5">
        <v>8502.450657922871</v>
      </c>
      <c r="R2633" s="5">
        <v>6681.1887184356683</v>
      </c>
    </row>
    <row r="2634" spans="9:18">
      <c r="I2634" s="4">
        <v>2619</v>
      </c>
      <c r="J2634" s="5">
        <v>7855.2948890116513</v>
      </c>
      <c r="K2634" s="5">
        <v>9739.7813029644258</v>
      </c>
      <c r="L2634" s="5">
        <v>15300.182042823812</v>
      </c>
      <c r="M2634" s="5">
        <v>19430.369425783585</v>
      </c>
      <c r="N2634" s="5">
        <v>12523.573732460784</v>
      </c>
      <c r="O2634" s="5">
        <v>27084.483614751469</v>
      </c>
      <c r="P2634" s="5">
        <v>33500.490132682797</v>
      </c>
      <c r="Q2634" s="5">
        <v>79566.621912742485</v>
      </c>
      <c r="R2634" s="5">
        <v>96845.299789249824</v>
      </c>
    </row>
    <row r="2635" spans="9:18">
      <c r="I2635" s="4">
        <v>2620</v>
      </c>
      <c r="J2635" s="5">
        <v>16016.491239086423</v>
      </c>
      <c r="K2635" s="5">
        <v>17495.743706488822</v>
      </c>
      <c r="L2635" s="5">
        <v>10752.183901283248</v>
      </c>
      <c r="M2635" s="5">
        <v>16842.379179328669</v>
      </c>
      <c r="N2635" s="5">
        <v>22511.351424689696</v>
      </c>
      <c r="O2635" s="5">
        <v>10369.402667058452</v>
      </c>
      <c r="P2635" s="5">
        <v>13452.921824087563</v>
      </c>
      <c r="Q2635" s="5">
        <v>28776.080424849053</v>
      </c>
      <c r="R2635" s="5">
        <v>65420.116221752483</v>
      </c>
    </row>
    <row r="2636" spans="9:18">
      <c r="I2636" s="4">
        <v>2621</v>
      </c>
      <c r="J2636" s="5">
        <v>29760.443016608337</v>
      </c>
      <c r="K2636" s="5">
        <v>15487.124352801369</v>
      </c>
      <c r="L2636" s="5">
        <v>14610.165745300763</v>
      </c>
      <c r="M2636" s="5">
        <v>23067.94260629595</v>
      </c>
      <c r="N2636" s="5">
        <v>41563.89847100406</v>
      </c>
      <c r="O2636" s="5">
        <v>13840.304699955392</v>
      </c>
      <c r="P2636" s="5">
        <v>8662.4232458952465</v>
      </c>
      <c r="Q2636" s="5">
        <v>18097.768262249352</v>
      </c>
      <c r="R2636" s="5">
        <v>18349.337771428582</v>
      </c>
    </row>
    <row r="2637" spans="9:18">
      <c r="I2637" s="4">
        <v>2622</v>
      </c>
      <c r="J2637" s="5">
        <v>14538.277247583976</v>
      </c>
      <c r="K2637" s="5">
        <v>24728.095385476983</v>
      </c>
      <c r="L2637" s="5">
        <v>23561.450544884348</v>
      </c>
      <c r="M2637" s="5">
        <v>30785.663999045999</v>
      </c>
      <c r="N2637" s="5">
        <v>12297.015342318469</v>
      </c>
      <c r="O2637" s="5">
        <v>13613.378495715853</v>
      </c>
      <c r="P2637" s="5">
        <v>54923.423457863879</v>
      </c>
      <c r="Q2637" s="5">
        <v>92068.726035424203</v>
      </c>
      <c r="R2637" s="5">
        <v>6360.7905155660001</v>
      </c>
    </row>
    <row r="2638" spans="9:18">
      <c r="I2638" s="4">
        <v>2623</v>
      </c>
      <c r="J2638" s="5">
        <v>11843.28062342474</v>
      </c>
      <c r="K2638" s="5">
        <v>31910.762633549082</v>
      </c>
      <c r="L2638" s="5">
        <v>16577.562442697115</v>
      </c>
      <c r="M2638" s="5">
        <v>23908.621352410395</v>
      </c>
      <c r="N2638" s="5">
        <v>57711.498171893618</v>
      </c>
      <c r="O2638" s="5">
        <v>20721.57544042755</v>
      </c>
      <c r="P2638" s="5">
        <v>9965.8330787532959</v>
      </c>
      <c r="Q2638" s="5">
        <v>8832.660767995616</v>
      </c>
      <c r="R2638" s="5">
        <v>18230.645544621442</v>
      </c>
    </row>
    <row r="2639" spans="9:18">
      <c r="I2639" s="4">
        <v>2624</v>
      </c>
      <c r="J2639" s="5">
        <v>14076.209333698853</v>
      </c>
      <c r="K2639" s="5">
        <v>53937.689698015136</v>
      </c>
      <c r="L2639" s="5">
        <v>13622.976145621742</v>
      </c>
      <c r="M2639" s="5">
        <v>32497.510405113037</v>
      </c>
      <c r="N2639" s="5">
        <v>10882.757905166785</v>
      </c>
      <c r="O2639" s="5">
        <v>42492.261063288854</v>
      </c>
      <c r="P2639" s="5">
        <v>48123.003747643132</v>
      </c>
      <c r="Q2639" s="5">
        <v>10151.908492905288</v>
      </c>
      <c r="R2639" s="5">
        <v>13258.538726001538</v>
      </c>
    </row>
    <row r="2640" spans="9:18">
      <c r="I2640" s="4">
        <v>2625</v>
      </c>
      <c r="J2640" s="5">
        <v>16733.020222212988</v>
      </c>
      <c r="K2640" s="5">
        <v>13288.692555879701</v>
      </c>
      <c r="L2640" s="5">
        <v>14691.846656953887</v>
      </c>
      <c r="M2640" s="5">
        <v>20041.623430301417</v>
      </c>
      <c r="N2640" s="5">
        <v>23998.040874392525</v>
      </c>
      <c r="O2640" s="5">
        <v>26268.613803794757</v>
      </c>
      <c r="P2640" s="5">
        <v>33500.490132682797</v>
      </c>
      <c r="Q2640" s="5">
        <v>3909.239690544402</v>
      </c>
      <c r="R2640" s="5">
        <v>91403.228438796665</v>
      </c>
    </row>
    <row r="2641" spans="9:18">
      <c r="I2641" s="4">
        <v>2626</v>
      </c>
      <c r="J2641" s="5">
        <v>14680.308400328413</v>
      </c>
      <c r="K2641" s="5">
        <v>17495.743706488822</v>
      </c>
      <c r="L2641" s="5">
        <v>21725.131459372977</v>
      </c>
      <c r="M2641" s="5">
        <v>16500.222621933419</v>
      </c>
      <c r="N2641" s="5">
        <v>42744.618431291936</v>
      </c>
      <c r="O2641" s="5">
        <v>10676.618215263648</v>
      </c>
      <c r="P2641" s="5">
        <v>38024.168395914428</v>
      </c>
      <c r="Q2641" s="5">
        <v>73941.636731325911</v>
      </c>
      <c r="R2641" s="5">
        <v>51358.6267760993</v>
      </c>
    </row>
    <row r="2642" spans="9:18">
      <c r="I2642" s="4">
        <v>2627</v>
      </c>
      <c r="J2642" s="5">
        <v>14538.277247583976</v>
      </c>
      <c r="K2642" s="5">
        <v>32073.547537933715</v>
      </c>
      <c r="L2642" s="5">
        <v>15471.738323660695</v>
      </c>
      <c r="M2642" s="5">
        <v>11860.862376247747</v>
      </c>
      <c r="N2642" s="5">
        <v>26115.05281128412</v>
      </c>
      <c r="O2642" s="5">
        <v>51330.340277512776</v>
      </c>
      <c r="P2642" s="5">
        <v>35213.322626437533</v>
      </c>
      <c r="Q2642" s="5">
        <v>3272.4685014937832</v>
      </c>
      <c r="R2642" s="5">
        <v>216919.53009911609</v>
      </c>
    </row>
    <row r="2643" spans="9:18">
      <c r="I2643" s="4">
        <v>2628</v>
      </c>
      <c r="J2643" s="5">
        <v>15352.465904292809</v>
      </c>
      <c r="K2643" s="5">
        <v>14351.415257675473</v>
      </c>
      <c r="L2643" s="5">
        <v>21954.536591034263</v>
      </c>
      <c r="M2643" s="5">
        <v>14660.631931099009</v>
      </c>
      <c r="N2643" s="5">
        <v>24020.875410266352</v>
      </c>
      <c r="O2643" s="5">
        <v>27084.483614751469</v>
      </c>
      <c r="P2643" s="5">
        <v>10180.109839011631</v>
      </c>
      <c r="Q2643" s="5">
        <v>10151.908492905288</v>
      </c>
      <c r="R2643" s="5">
        <v>17687.533637716911</v>
      </c>
    </row>
    <row r="2644" spans="9:18">
      <c r="I2644" s="4">
        <v>2629</v>
      </c>
      <c r="J2644" s="5">
        <v>11036.461796239426</v>
      </c>
      <c r="K2644" s="5">
        <v>13652.224205833634</v>
      </c>
      <c r="L2644" s="5">
        <v>19224.583269019437</v>
      </c>
      <c r="M2644" s="5">
        <v>17542.15972125496</v>
      </c>
      <c r="N2644" s="5">
        <v>24853.247795632611</v>
      </c>
      <c r="O2644" s="5">
        <v>25802.481365323994</v>
      </c>
      <c r="P2644" s="5">
        <v>45161.732159568586</v>
      </c>
      <c r="Q2644" s="5">
        <v>15663.43865741136</v>
      </c>
      <c r="R2644" s="5">
        <v>87776.138236389699</v>
      </c>
    </row>
    <row r="2645" spans="9:18">
      <c r="I2645" s="4">
        <v>2630</v>
      </c>
      <c r="J2645" s="5">
        <v>12701.339251949787</v>
      </c>
      <c r="K2645" s="5">
        <v>13559.080695844099</v>
      </c>
      <c r="L2645" s="5">
        <v>19224.583269019437</v>
      </c>
      <c r="M2645" s="5">
        <v>13616.35938654862</v>
      </c>
      <c r="N2645" s="5">
        <v>11635.644856128632</v>
      </c>
      <c r="O2645" s="5">
        <v>9869.5889207969612</v>
      </c>
      <c r="P2645" s="5">
        <v>26541.896041444568</v>
      </c>
      <c r="Q2645" s="5">
        <v>8832.660767995616</v>
      </c>
      <c r="R2645" s="5">
        <v>7118.1729476780347</v>
      </c>
    </row>
    <row r="2646" spans="9:18">
      <c r="I2646" s="4">
        <v>2631</v>
      </c>
      <c r="J2646" s="5">
        <v>14671.176405938595</v>
      </c>
      <c r="K2646" s="5">
        <v>15129.619337591721</v>
      </c>
      <c r="L2646" s="5">
        <v>27289.607394458035</v>
      </c>
      <c r="M2646" s="5">
        <v>21072.983263501868</v>
      </c>
      <c r="N2646" s="5">
        <v>20292.069765667391</v>
      </c>
      <c r="O2646" s="5">
        <v>49114.195066822271</v>
      </c>
      <c r="P2646" s="5">
        <v>9633.1652908310007</v>
      </c>
      <c r="Q2646" s="5">
        <v>11928.872068442162</v>
      </c>
      <c r="R2646" s="5">
        <v>90296.353221228885</v>
      </c>
    </row>
    <row r="2647" spans="9:18">
      <c r="I2647" s="4">
        <v>2632</v>
      </c>
      <c r="J2647" s="5">
        <v>16016.491239086423</v>
      </c>
      <c r="K2647" s="5">
        <v>56656.842992470461</v>
      </c>
      <c r="L2647" s="5">
        <v>22319.409576580376</v>
      </c>
      <c r="M2647" s="5">
        <v>30785.663999045999</v>
      </c>
      <c r="N2647" s="5">
        <v>22735.120948269971</v>
      </c>
      <c r="O2647" s="5">
        <v>53028.643350899503</v>
      </c>
      <c r="P2647" s="5">
        <v>12639.596794453437</v>
      </c>
      <c r="Q2647" s="5">
        <v>7349.2234634219121</v>
      </c>
      <c r="R2647" s="5">
        <v>41418.225609677866</v>
      </c>
    </row>
    <row r="2648" spans="9:18">
      <c r="I2648" s="4">
        <v>2633</v>
      </c>
      <c r="J2648" s="5">
        <v>16305.770155972396</v>
      </c>
      <c r="K2648" s="5">
        <v>13719.930466819731</v>
      </c>
      <c r="L2648" s="5">
        <v>15759.954187048656</v>
      </c>
      <c r="M2648" s="5">
        <v>21833.004790208965</v>
      </c>
      <c r="N2648" s="5">
        <v>9209.4418830788036</v>
      </c>
      <c r="O2648" s="5">
        <v>9708.4497800977806</v>
      </c>
      <c r="P2648" s="5">
        <v>5735.6883097179207</v>
      </c>
      <c r="Q2648" s="5">
        <v>11928.872068442162</v>
      </c>
      <c r="R2648" s="5">
        <v>8105.1944146993656</v>
      </c>
    </row>
    <row r="2649" spans="9:18">
      <c r="I2649" s="4">
        <v>2634</v>
      </c>
      <c r="J2649" s="5">
        <v>28169.050633834027</v>
      </c>
      <c r="K2649" s="5">
        <v>15051.330276415061</v>
      </c>
      <c r="L2649" s="5">
        <v>17920.486090689363</v>
      </c>
      <c r="M2649" s="5">
        <v>13139.022167648376</v>
      </c>
      <c r="N2649" s="5">
        <v>14921.795973817481</v>
      </c>
      <c r="O2649" s="5">
        <v>26565.882515615398</v>
      </c>
      <c r="P2649" s="5">
        <v>22708.601480587709</v>
      </c>
      <c r="Q2649" s="5">
        <v>20883.852062640355</v>
      </c>
      <c r="R2649" s="5">
        <v>18349.337771428582</v>
      </c>
    </row>
    <row r="2650" spans="9:18">
      <c r="I2650" s="4">
        <v>2635</v>
      </c>
      <c r="J2650" s="5">
        <v>13663.281817546009</v>
      </c>
      <c r="K2650" s="5">
        <v>32294.121255311245</v>
      </c>
      <c r="L2650" s="5">
        <v>14175.160754078657</v>
      </c>
      <c r="M2650" s="5">
        <v>22815.60259636537</v>
      </c>
      <c r="N2650" s="5">
        <v>14335.478134989447</v>
      </c>
      <c r="O2650" s="5">
        <v>13840.304699955392</v>
      </c>
      <c r="P2650" s="5">
        <v>18862.487147419793</v>
      </c>
      <c r="Q2650" s="5">
        <v>9796.0979856104404</v>
      </c>
      <c r="R2650" s="5">
        <v>17304.847214362417</v>
      </c>
    </row>
    <row r="2651" spans="9:18">
      <c r="I2651" s="4">
        <v>2636</v>
      </c>
      <c r="J2651" s="5">
        <v>19048.674633640545</v>
      </c>
      <c r="K2651" s="5">
        <v>13719.930466819731</v>
      </c>
      <c r="L2651" s="5">
        <v>22162.138529251199</v>
      </c>
      <c r="M2651" s="5">
        <v>18879.640760542785</v>
      </c>
      <c r="N2651" s="5">
        <v>23583.581287126868</v>
      </c>
      <c r="O2651" s="5">
        <v>26565.882515615398</v>
      </c>
      <c r="P2651" s="5">
        <v>8877.9712092977989</v>
      </c>
      <c r="Q2651" s="5">
        <v>30495.121067047665</v>
      </c>
      <c r="R2651" s="5">
        <v>7879.038918914337</v>
      </c>
    </row>
    <row r="2652" spans="9:18">
      <c r="I2652" s="4">
        <v>2637</v>
      </c>
      <c r="J2652" s="5">
        <v>45301.532027110363</v>
      </c>
      <c r="K2652" s="5">
        <v>35705.595198125673</v>
      </c>
      <c r="L2652" s="5">
        <v>14146.191653372813</v>
      </c>
      <c r="M2652" s="5">
        <v>36301.422888051464</v>
      </c>
      <c r="N2652" s="5">
        <v>20292.069765667391</v>
      </c>
      <c r="O2652" s="5">
        <v>9956.4031238965053</v>
      </c>
      <c r="P2652" s="5">
        <v>28537.545734403488</v>
      </c>
      <c r="Q2652" s="5">
        <v>20987.925664394581</v>
      </c>
      <c r="R2652" s="5">
        <v>114016.93673542379</v>
      </c>
    </row>
    <row r="2653" spans="9:18">
      <c r="I2653" s="4">
        <v>2638</v>
      </c>
      <c r="J2653" s="5">
        <v>15648.665245032147</v>
      </c>
      <c r="K2653" s="5">
        <v>16674.541027260992</v>
      </c>
      <c r="L2653" s="5">
        <v>17311.244744664215</v>
      </c>
      <c r="M2653" s="5">
        <v>13065.820809359835</v>
      </c>
      <c r="N2653" s="5">
        <v>23043.345403059295</v>
      </c>
      <c r="O2653" s="5">
        <v>11282.178219986479</v>
      </c>
      <c r="P2653" s="5">
        <v>12639.596794453437</v>
      </c>
      <c r="Q2653" s="5">
        <v>21421.044775857536</v>
      </c>
      <c r="R2653" s="5">
        <v>23583.884732956092</v>
      </c>
    </row>
    <row r="2654" spans="9:18">
      <c r="I2654" s="4">
        <v>2639</v>
      </c>
      <c r="J2654" s="5">
        <v>8580.4413740966302</v>
      </c>
      <c r="K2654" s="5">
        <v>10931.803935361211</v>
      </c>
      <c r="L2654" s="5">
        <v>17578.712723867691</v>
      </c>
      <c r="M2654" s="5">
        <v>22815.60259636537</v>
      </c>
      <c r="N2654" s="5">
        <v>15786.177386596903</v>
      </c>
      <c r="O2654" s="5">
        <v>8121.6248378263163</v>
      </c>
      <c r="P2654" s="5">
        <v>12992.105410393709</v>
      </c>
      <c r="Q2654" s="5">
        <v>16803.875627203233</v>
      </c>
      <c r="R2654" s="5">
        <v>12116.34255245842</v>
      </c>
    </row>
    <row r="2655" spans="9:18">
      <c r="I2655" s="4">
        <v>2640</v>
      </c>
      <c r="J2655" s="5">
        <v>16088.430030489333</v>
      </c>
      <c r="K2655" s="5">
        <v>22732.797143159998</v>
      </c>
      <c r="L2655" s="5">
        <v>14691.846656953887</v>
      </c>
      <c r="M2655" s="5">
        <v>19042.78605337895</v>
      </c>
      <c r="N2655" s="5">
        <v>35826.921212852278</v>
      </c>
      <c r="O2655" s="5">
        <v>13613.378495715853</v>
      </c>
      <c r="P2655" s="5">
        <v>10180.109839011631</v>
      </c>
      <c r="Q2655" s="5">
        <v>37497.234505125656</v>
      </c>
      <c r="R2655" s="5">
        <v>46004.399892616471</v>
      </c>
    </row>
    <row r="2656" spans="9:18">
      <c r="I2656" s="4">
        <v>2641</v>
      </c>
      <c r="J2656" s="5">
        <v>27392.038553726634</v>
      </c>
      <c r="K2656" s="5">
        <v>14136.873097602549</v>
      </c>
      <c r="L2656" s="5">
        <v>16071.478531535273</v>
      </c>
      <c r="M2656" s="5">
        <v>13642.678686731051</v>
      </c>
      <c r="N2656" s="5">
        <v>51261.622558090799</v>
      </c>
      <c r="O2656" s="5">
        <v>14371.728352806511</v>
      </c>
      <c r="P2656" s="5">
        <v>14327.191387816954</v>
      </c>
      <c r="Q2656" s="5">
        <v>28078.365156847896</v>
      </c>
      <c r="R2656" s="5">
        <v>41056.152565483346</v>
      </c>
    </row>
    <row r="2657" spans="9:18">
      <c r="I2657" s="4">
        <v>2642</v>
      </c>
      <c r="J2657" s="5">
        <v>15352.465904292809</v>
      </c>
      <c r="K2657" s="5">
        <v>11857.447519815871</v>
      </c>
      <c r="L2657" s="5">
        <v>17482.478480142941</v>
      </c>
      <c r="M2657" s="5">
        <v>15586.009710351766</v>
      </c>
      <c r="N2657" s="5">
        <v>9563.1256545330361</v>
      </c>
      <c r="O2657" s="5">
        <v>10746.295275180995</v>
      </c>
      <c r="P2657" s="5">
        <v>38024.168395914428</v>
      </c>
      <c r="Q2657" s="5">
        <v>17493.456269945855</v>
      </c>
      <c r="R2657" s="5">
        <v>31715.273557891396</v>
      </c>
    </row>
    <row r="2658" spans="9:18">
      <c r="I2658" s="4">
        <v>2643</v>
      </c>
      <c r="J2658" s="5">
        <v>22812.564910649318</v>
      </c>
      <c r="K2658" s="5">
        <v>21218.439146892688</v>
      </c>
      <c r="L2658" s="5">
        <v>25007.552172398639</v>
      </c>
      <c r="M2658" s="5">
        <v>25580.243606220469</v>
      </c>
      <c r="N2658" s="5">
        <v>11751.639947035985</v>
      </c>
      <c r="O2658" s="5">
        <v>20827.029306810669</v>
      </c>
      <c r="P2658" s="5">
        <v>22708.601480587709</v>
      </c>
      <c r="Q2658" s="5">
        <v>3909.239690544402</v>
      </c>
      <c r="R2658" s="5">
        <v>123773.40402252052</v>
      </c>
    </row>
    <row r="2659" spans="9:18">
      <c r="I2659" s="4">
        <v>2644</v>
      </c>
      <c r="J2659" s="5">
        <v>31053.540961463306</v>
      </c>
      <c r="K2659" s="5">
        <v>17495.743706488822</v>
      </c>
      <c r="L2659" s="5">
        <v>25007.552172398639</v>
      </c>
      <c r="M2659" s="5">
        <v>10111.451009425113</v>
      </c>
      <c r="N2659" s="5">
        <v>12592.300437162297</v>
      </c>
      <c r="O2659" s="5">
        <v>30608.431994348266</v>
      </c>
      <c r="P2659" s="5">
        <v>16574.429708560569</v>
      </c>
      <c r="Q2659" s="5">
        <v>42044.890065817184</v>
      </c>
      <c r="R2659" s="5">
        <v>87776.138236389699</v>
      </c>
    </row>
    <row r="2660" spans="9:18">
      <c r="I2660" s="4">
        <v>2645</v>
      </c>
      <c r="J2660" s="5">
        <v>45301.532027110363</v>
      </c>
      <c r="K2660" s="5">
        <v>11206.053243692098</v>
      </c>
      <c r="L2660" s="5">
        <v>17073.17760523731</v>
      </c>
      <c r="M2660" s="5">
        <v>20550.782384061673</v>
      </c>
      <c r="N2660" s="5">
        <v>8104.6265149430556</v>
      </c>
      <c r="O2660" s="5">
        <v>16572.483389649329</v>
      </c>
      <c r="P2660" s="5">
        <v>46514.467673254068</v>
      </c>
      <c r="Q2660" s="5">
        <v>25156.033327562815</v>
      </c>
      <c r="R2660" s="5">
        <v>51358.6267760993</v>
      </c>
    </row>
    <row r="2661" spans="9:18">
      <c r="I2661" s="4">
        <v>2646</v>
      </c>
      <c r="J2661" s="5">
        <v>16459.003095225507</v>
      </c>
      <c r="K2661" s="5">
        <v>13520.836427679104</v>
      </c>
      <c r="L2661" s="5">
        <v>34748.877779456467</v>
      </c>
      <c r="M2661" s="5">
        <v>17370.588707072598</v>
      </c>
      <c r="N2661" s="5">
        <v>14240.123545764454</v>
      </c>
      <c r="O2661" s="5">
        <v>62082.6862081785</v>
      </c>
      <c r="P2661" s="5">
        <v>33500.490132682797</v>
      </c>
      <c r="Q2661" s="5">
        <v>31618.396253255491</v>
      </c>
      <c r="R2661" s="5">
        <v>12194.45251033065</v>
      </c>
    </row>
    <row r="2662" spans="9:18">
      <c r="I2662" s="4">
        <v>2647</v>
      </c>
      <c r="J2662" s="5">
        <v>14710.037865351254</v>
      </c>
      <c r="K2662" s="5">
        <v>22732.797143159998</v>
      </c>
      <c r="L2662" s="5">
        <v>15651.346103181355</v>
      </c>
      <c r="M2662" s="5">
        <v>23454.775510296178</v>
      </c>
      <c r="N2662" s="5">
        <v>11684.605182472778</v>
      </c>
      <c r="O2662" s="5">
        <v>8024.6340027919978</v>
      </c>
      <c r="P2662" s="5">
        <v>27820.721938889761</v>
      </c>
      <c r="Q2662" s="5">
        <v>52545.991451361173</v>
      </c>
      <c r="R2662" s="5">
        <v>81423.874800517297</v>
      </c>
    </row>
    <row r="2663" spans="9:18">
      <c r="I2663" s="4">
        <v>2648</v>
      </c>
      <c r="J2663" s="5">
        <v>15352.465904292809</v>
      </c>
      <c r="K2663" s="5">
        <v>22732.797143159998</v>
      </c>
      <c r="L2663" s="5">
        <v>16106.634875163341</v>
      </c>
      <c r="M2663" s="5">
        <v>30830.81083227017</v>
      </c>
      <c r="N2663" s="5">
        <v>22868.569282757788</v>
      </c>
      <c r="O2663" s="5">
        <v>55264.438774006347</v>
      </c>
      <c r="P2663" s="5">
        <v>49519.098753410741</v>
      </c>
      <c r="Q2663" s="5">
        <v>70295.978314632754</v>
      </c>
      <c r="R2663" s="5">
        <v>16039.216896723072</v>
      </c>
    </row>
    <row r="2664" spans="9:18">
      <c r="I2664" s="4">
        <v>2649</v>
      </c>
      <c r="J2664" s="5">
        <v>14710.037865351254</v>
      </c>
      <c r="K2664" s="5">
        <v>14136.873097602549</v>
      </c>
      <c r="L2664" s="5">
        <v>22018.381599979773</v>
      </c>
      <c r="M2664" s="5">
        <v>31554.722481137964</v>
      </c>
      <c r="N2664" s="5">
        <v>23998.040874392525</v>
      </c>
      <c r="O2664" s="5">
        <v>21930.527973988665</v>
      </c>
      <c r="P2664" s="5">
        <v>63015.124693769802</v>
      </c>
      <c r="Q2664" s="5">
        <v>18097.768262249352</v>
      </c>
      <c r="R2664" s="5">
        <v>33863.04333215439</v>
      </c>
    </row>
    <row r="2665" spans="9:18">
      <c r="I2665" s="4">
        <v>2650</v>
      </c>
      <c r="J2665" s="5">
        <v>21150.169973104224</v>
      </c>
      <c r="K2665" s="5">
        <v>21527.93129974293</v>
      </c>
      <c r="L2665" s="5">
        <v>13867.07093008449</v>
      </c>
      <c r="M2665" s="5">
        <v>20550.782384061673</v>
      </c>
      <c r="N2665" s="5">
        <v>42744.618431291936</v>
      </c>
      <c r="O2665" s="5">
        <v>11282.178219986479</v>
      </c>
      <c r="P2665" s="5">
        <v>34814.458119125498</v>
      </c>
      <c r="Q2665" s="5">
        <v>48866.209623168346</v>
      </c>
      <c r="R2665" s="5">
        <v>18349.337771428582</v>
      </c>
    </row>
    <row r="2666" spans="9:18">
      <c r="I2666" s="4">
        <v>2651</v>
      </c>
      <c r="J2666" s="5">
        <v>14671.176405938595</v>
      </c>
      <c r="K2666" s="5">
        <v>12423.491400404893</v>
      </c>
      <c r="L2666" s="5">
        <v>14811.370758813007</v>
      </c>
      <c r="M2666" s="5">
        <v>20788.503422877813</v>
      </c>
      <c r="N2666" s="5">
        <v>23043.345403059295</v>
      </c>
      <c r="O2666" s="5">
        <v>12110.196126281628</v>
      </c>
      <c r="P2666" s="5">
        <v>20391.123772341358</v>
      </c>
      <c r="Q2666" s="5">
        <v>31902.904306425251</v>
      </c>
      <c r="R2666" s="5">
        <v>14079.827908007112</v>
      </c>
    </row>
    <row r="2667" spans="9:18">
      <c r="I2667" s="4">
        <v>2652</v>
      </c>
      <c r="J2667" s="5">
        <v>19121.054099180623</v>
      </c>
      <c r="K2667" s="5">
        <v>32294.121255311245</v>
      </c>
      <c r="L2667" s="5">
        <v>14811.370758813007</v>
      </c>
      <c r="M2667" s="5">
        <v>16001.653036457456</v>
      </c>
      <c r="N2667" s="5">
        <v>23746.795665493762</v>
      </c>
      <c r="O2667" s="5">
        <v>8024.6340027919978</v>
      </c>
      <c r="P2667" s="5">
        <v>35569.894390728325</v>
      </c>
      <c r="Q2667" s="5">
        <v>22483.395143121877</v>
      </c>
      <c r="R2667" s="5">
        <v>3311.4906988006405</v>
      </c>
    </row>
    <row r="2668" spans="9:18">
      <c r="I2668" s="4">
        <v>2653</v>
      </c>
      <c r="J2668" s="5">
        <v>14420.293087375476</v>
      </c>
      <c r="K2668" s="5">
        <v>11558.357574452555</v>
      </c>
      <c r="L2668" s="5">
        <v>14815.394001212817</v>
      </c>
      <c r="M2668" s="5">
        <v>19795.661011456152</v>
      </c>
      <c r="N2668" s="5">
        <v>16418.492928415813</v>
      </c>
      <c r="O2668" s="5">
        <v>9320.7026593487881</v>
      </c>
      <c r="P2668" s="5">
        <v>14327.191387816954</v>
      </c>
      <c r="Q2668" s="5">
        <v>116445.46783345108</v>
      </c>
      <c r="R2668" s="5">
        <v>7394.6358885760465</v>
      </c>
    </row>
    <row r="2669" spans="9:18">
      <c r="I2669" s="4">
        <v>2654</v>
      </c>
      <c r="J2669" s="5">
        <v>34933.039312618188</v>
      </c>
      <c r="K2669" s="5">
        <v>23327.217259521742</v>
      </c>
      <c r="L2669" s="5">
        <v>18634.523182776735</v>
      </c>
      <c r="M2669" s="5">
        <v>15202.972920708273</v>
      </c>
      <c r="N2669" s="5">
        <v>16148.901635865295</v>
      </c>
      <c r="O2669" s="5">
        <v>10676.618215263648</v>
      </c>
      <c r="P2669" s="5">
        <v>32167.874670939738</v>
      </c>
      <c r="Q2669" s="5">
        <v>9645.8788061228515</v>
      </c>
      <c r="R2669" s="5">
        <v>7879.038918914337</v>
      </c>
    </row>
    <row r="2670" spans="9:18">
      <c r="I2670" s="4">
        <v>2655</v>
      </c>
      <c r="J2670" s="5">
        <v>26634.853073396614</v>
      </c>
      <c r="K2670" s="5">
        <v>21218.439146892688</v>
      </c>
      <c r="L2670" s="5">
        <v>18602.881797624486</v>
      </c>
      <c r="M2670" s="5">
        <v>22961.931350882205</v>
      </c>
      <c r="N2670" s="5">
        <v>23008.246229813707</v>
      </c>
      <c r="O2670" s="5">
        <v>16505.600261180331</v>
      </c>
      <c r="P2670" s="5">
        <v>66904.018529955298</v>
      </c>
      <c r="Q2670" s="5">
        <v>11173.074396969254</v>
      </c>
      <c r="R2670" s="5">
        <v>24831.679362998926</v>
      </c>
    </row>
    <row r="2671" spans="9:18">
      <c r="I2671" s="4">
        <v>2656</v>
      </c>
      <c r="J2671" s="5">
        <v>9405.362381917912</v>
      </c>
      <c r="K2671" s="5">
        <v>32294.121255311245</v>
      </c>
      <c r="L2671" s="5">
        <v>18634.523182776735</v>
      </c>
      <c r="M2671" s="5">
        <v>14660.631931099009</v>
      </c>
      <c r="N2671" s="5">
        <v>14335.478134989447</v>
      </c>
      <c r="O2671" s="5">
        <v>53028.643350899503</v>
      </c>
      <c r="P2671" s="5">
        <v>10733.318076105543</v>
      </c>
      <c r="Q2671" s="5">
        <v>11173.074396969254</v>
      </c>
      <c r="R2671" s="5">
        <v>30571.564004538617</v>
      </c>
    </row>
    <row r="2672" spans="9:18">
      <c r="I2672" s="4">
        <v>2657</v>
      </c>
      <c r="J2672" s="5">
        <v>9405.362381917912</v>
      </c>
      <c r="K2672" s="5">
        <v>14611.618478071941</v>
      </c>
      <c r="L2672" s="5">
        <v>17845.207337527903</v>
      </c>
      <c r="M2672" s="5">
        <v>29058.117767351498</v>
      </c>
      <c r="N2672" s="5">
        <v>35826.921212852278</v>
      </c>
      <c r="O2672" s="5">
        <v>11282.178219986479</v>
      </c>
      <c r="P2672" s="5">
        <v>8069.5385577067918</v>
      </c>
      <c r="Q2672" s="5">
        <v>30495.121067047665</v>
      </c>
      <c r="R2672" s="5">
        <v>27349.63499959607</v>
      </c>
    </row>
    <row r="2673" spans="9:18">
      <c r="I2673" s="4">
        <v>2658</v>
      </c>
      <c r="J2673" s="5">
        <v>16459.003095225507</v>
      </c>
      <c r="K2673" s="5">
        <v>9739.7813029644258</v>
      </c>
      <c r="L2673" s="5">
        <v>13358.459356674217</v>
      </c>
      <c r="M2673" s="5">
        <v>13011.820191946215</v>
      </c>
      <c r="N2673" s="5">
        <v>22511.351424689696</v>
      </c>
      <c r="O2673" s="5">
        <v>6199.3195463515376</v>
      </c>
      <c r="P2673" s="5">
        <v>27820.721938889761</v>
      </c>
      <c r="Q2673" s="5">
        <v>17493.456269945855</v>
      </c>
      <c r="R2673" s="5">
        <v>14706.681111065362</v>
      </c>
    </row>
    <row r="2674" spans="9:18">
      <c r="I2674" s="4">
        <v>2659</v>
      </c>
      <c r="J2674" s="5">
        <v>12701.339251949787</v>
      </c>
      <c r="K2674" s="5">
        <v>15428.770955406064</v>
      </c>
      <c r="L2674" s="5">
        <v>24256.352541181568</v>
      </c>
      <c r="M2674" s="5">
        <v>36301.422888051464</v>
      </c>
      <c r="N2674" s="5">
        <v>16581.915858379376</v>
      </c>
      <c r="O2674" s="5">
        <v>10270.120415297655</v>
      </c>
      <c r="P2674" s="5">
        <v>13452.921824087563</v>
      </c>
      <c r="Q2674" s="5">
        <v>30495.121067047665</v>
      </c>
      <c r="R2674" s="5">
        <v>3433.6677391851467</v>
      </c>
    </row>
    <row r="2675" spans="9:18">
      <c r="I2675" s="4">
        <v>2660</v>
      </c>
      <c r="J2675" s="5">
        <v>13918.242013140338</v>
      </c>
      <c r="K2675" s="5">
        <v>14878.52734402675</v>
      </c>
      <c r="L2675" s="5">
        <v>16017.890956041876</v>
      </c>
      <c r="M2675" s="5">
        <v>12735.841453044006</v>
      </c>
      <c r="N2675" s="5">
        <v>12297.015342318469</v>
      </c>
      <c r="O2675" s="5">
        <v>10369.402667058452</v>
      </c>
      <c r="P2675" s="5">
        <v>106091.28270624072</v>
      </c>
      <c r="Q2675" s="5">
        <v>25156.033327562815</v>
      </c>
      <c r="R2675" s="5">
        <v>96845.299789249824</v>
      </c>
    </row>
    <row r="2676" spans="9:18">
      <c r="I2676" s="4">
        <v>2661</v>
      </c>
      <c r="J2676" s="5">
        <v>14420.293087375476</v>
      </c>
      <c r="K2676" s="5">
        <v>16081.362509465702</v>
      </c>
      <c r="L2676" s="5">
        <v>22162.138529251199</v>
      </c>
      <c r="M2676" s="5">
        <v>21332.072353846772</v>
      </c>
      <c r="N2676" s="5">
        <v>21909.120225822895</v>
      </c>
      <c r="O2676" s="5">
        <v>24422.445067017139</v>
      </c>
      <c r="P2676" s="5">
        <v>34768.042801665702</v>
      </c>
      <c r="Q2676" s="5">
        <v>54060.5331097772</v>
      </c>
      <c r="R2676" s="5">
        <v>3433.6677391851467</v>
      </c>
    </row>
    <row r="2677" spans="9:18">
      <c r="I2677" s="4">
        <v>2662</v>
      </c>
      <c r="J2677" s="5">
        <v>14344.692898101612</v>
      </c>
      <c r="K2677" s="5">
        <v>22732.797143159998</v>
      </c>
      <c r="L2677" s="5">
        <v>14610.165745300763</v>
      </c>
      <c r="M2677" s="5">
        <v>10111.451009425113</v>
      </c>
      <c r="N2677" s="5">
        <v>32184.535272543482</v>
      </c>
      <c r="O2677" s="5">
        <v>11282.178219986479</v>
      </c>
      <c r="P2677" s="5">
        <v>38024.168395914428</v>
      </c>
      <c r="Q2677" s="5">
        <v>18097.768262249352</v>
      </c>
      <c r="R2677" s="5">
        <v>27349.63499959607</v>
      </c>
    </row>
    <row r="2678" spans="9:18">
      <c r="I2678" s="4">
        <v>2663</v>
      </c>
      <c r="J2678" s="5">
        <v>16511.332839561353</v>
      </c>
      <c r="K2678" s="5">
        <v>29672.680843304515</v>
      </c>
      <c r="L2678" s="5">
        <v>27289.607394458035</v>
      </c>
      <c r="M2678" s="5">
        <v>19890.009981657669</v>
      </c>
      <c r="N2678" s="5">
        <v>21009.255892677338</v>
      </c>
      <c r="O2678" s="5">
        <v>11282.178219986479</v>
      </c>
      <c r="P2678" s="5">
        <v>31127.87225845682</v>
      </c>
      <c r="Q2678" s="5">
        <v>22145.301831504508</v>
      </c>
      <c r="R2678" s="5">
        <v>6360.7905155660001</v>
      </c>
    </row>
    <row r="2679" spans="9:18">
      <c r="I2679" s="4">
        <v>2664</v>
      </c>
      <c r="J2679" s="5">
        <v>16788.081681455456</v>
      </c>
      <c r="K2679" s="5">
        <v>16605.655749562578</v>
      </c>
      <c r="L2679" s="5">
        <v>16777.996633299583</v>
      </c>
      <c r="M2679" s="5">
        <v>42282.977640783138</v>
      </c>
      <c r="N2679" s="5">
        <v>21009.255892677338</v>
      </c>
      <c r="O2679" s="5">
        <v>51330.340277512776</v>
      </c>
      <c r="P2679" s="5">
        <v>16650.229067545235</v>
      </c>
      <c r="Q2679" s="5">
        <v>4631.7430487757983</v>
      </c>
      <c r="R2679" s="5">
        <v>3989.7956692889929</v>
      </c>
    </row>
    <row r="2680" spans="9:18">
      <c r="I2680" s="4">
        <v>2665</v>
      </c>
      <c r="J2680" s="5">
        <v>15873.12561080002</v>
      </c>
      <c r="K2680" s="5">
        <v>11558.357574452555</v>
      </c>
      <c r="L2680" s="5">
        <v>15651.346103181355</v>
      </c>
      <c r="M2680" s="5">
        <v>16500.222621933419</v>
      </c>
      <c r="N2680" s="5">
        <v>21617.945168312468</v>
      </c>
      <c r="O2680" s="5">
        <v>40581.847217937895</v>
      </c>
      <c r="P2680" s="5">
        <v>20391.123772341358</v>
      </c>
      <c r="Q2680" s="5">
        <v>92068.726035424203</v>
      </c>
      <c r="R2680" s="5">
        <v>55106.806585409526</v>
      </c>
    </row>
    <row r="2681" spans="9:18">
      <c r="I2681" s="4">
        <v>2666</v>
      </c>
      <c r="J2681" s="5">
        <v>20002.201347927807</v>
      </c>
      <c r="K2681" s="5">
        <v>9739.7813029644258</v>
      </c>
      <c r="L2681" s="5">
        <v>17073.17760523731</v>
      </c>
      <c r="M2681" s="5">
        <v>42282.977640783138</v>
      </c>
      <c r="N2681" s="5">
        <v>9563.1256545330361</v>
      </c>
      <c r="O2681" s="5">
        <v>16826.763259351828</v>
      </c>
      <c r="P2681" s="5">
        <v>5836.7810663002319</v>
      </c>
      <c r="Q2681" s="5">
        <v>9796.0979856104404</v>
      </c>
      <c r="R2681" s="5">
        <v>5865.9802599669383</v>
      </c>
    </row>
    <row r="2682" spans="9:18">
      <c r="I2682" s="4">
        <v>2667</v>
      </c>
      <c r="J2682" s="5">
        <v>14594.990625703947</v>
      </c>
      <c r="K2682" s="5">
        <v>13559.080695844099</v>
      </c>
      <c r="L2682" s="5">
        <v>22319.409576580376</v>
      </c>
      <c r="M2682" s="5">
        <v>23515.935489506261</v>
      </c>
      <c r="N2682" s="5">
        <v>29468.83360104046</v>
      </c>
      <c r="O2682" s="5">
        <v>10369.402667058452</v>
      </c>
      <c r="P2682" s="5">
        <v>83536.241167211992</v>
      </c>
      <c r="Q2682" s="5">
        <v>116445.46783345108</v>
      </c>
      <c r="R2682" s="5">
        <v>7879.038918914337</v>
      </c>
    </row>
    <row r="2683" spans="9:18">
      <c r="I2683" s="4">
        <v>2668</v>
      </c>
      <c r="J2683" s="5">
        <v>11854.381651026555</v>
      </c>
      <c r="K2683" s="5">
        <v>14579.232378315752</v>
      </c>
      <c r="L2683" s="5">
        <v>15487.970507365942</v>
      </c>
      <c r="M2683" s="5">
        <v>7334.8610818348589</v>
      </c>
      <c r="N2683" s="5">
        <v>21009.255892677338</v>
      </c>
      <c r="O2683" s="5">
        <v>41800.463215706819</v>
      </c>
      <c r="P2683" s="5">
        <v>83536.241167211992</v>
      </c>
      <c r="Q2683" s="5">
        <v>12451.066014448154</v>
      </c>
      <c r="R2683" s="5">
        <v>23583.884732956092</v>
      </c>
    </row>
    <row r="2684" spans="9:18">
      <c r="I2684" s="4">
        <v>2669</v>
      </c>
      <c r="J2684" s="5">
        <v>11854.381651026555</v>
      </c>
      <c r="K2684" s="5">
        <v>8223.1266007477425</v>
      </c>
      <c r="L2684" s="5">
        <v>14649.721476864312</v>
      </c>
      <c r="M2684" s="5">
        <v>14217.48832834715</v>
      </c>
      <c r="N2684" s="5">
        <v>23998.040874392525</v>
      </c>
      <c r="O2684" s="5">
        <v>13519.384207850644</v>
      </c>
      <c r="P2684" s="5">
        <v>21039.927746191301</v>
      </c>
      <c r="Q2684" s="5">
        <v>7457.1844090365566</v>
      </c>
      <c r="R2684" s="5">
        <v>72561.496699005787</v>
      </c>
    </row>
    <row r="2685" spans="9:18">
      <c r="I2685" s="4">
        <v>2670</v>
      </c>
      <c r="J2685" s="5">
        <v>22370.105711697011</v>
      </c>
      <c r="K2685" s="5">
        <v>14854.898507619706</v>
      </c>
      <c r="L2685" s="5">
        <v>15664.99858445921</v>
      </c>
      <c r="M2685" s="5">
        <v>18177.175180585615</v>
      </c>
      <c r="N2685" s="5">
        <v>26152.705108198839</v>
      </c>
      <c r="O2685" s="5">
        <v>53007.660727727191</v>
      </c>
      <c r="P2685" s="5">
        <v>9965.8330787532959</v>
      </c>
      <c r="Q2685" s="5">
        <v>116445.46783345108</v>
      </c>
      <c r="R2685" s="5">
        <v>44707.053087992797</v>
      </c>
    </row>
    <row r="2686" spans="9:18">
      <c r="I2686" s="4">
        <v>2671</v>
      </c>
      <c r="J2686" s="5">
        <v>20768.286261788198</v>
      </c>
      <c r="K2686" s="5">
        <v>14579.232378315752</v>
      </c>
      <c r="L2686" s="5">
        <v>17845.207337527903</v>
      </c>
      <c r="M2686" s="5">
        <v>13616.35938654862</v>
      </c>
      <c r="N2686" s="5">
        <v>22868.569282757788</v>
      </c>
      <c r="O2686" s="5">
        <v>27508.313315384185</v>
      </c>
      <c r="P2686" s="5">
        <v>10180.109839011631</v>
      </c>
      <c r="Q2686" s="5">
        <v>17493.456269945855</v>
      </c>
      <c r="R2686" s="5">
        <v>12116.34255245842</v>
      </c>
    </row>
    <row r="2687" spans="9:18">
      <c r="I2687" s="4">
        <v>2672</v>
      </c>
      <c r="J2687" s="5">
        <v>15130.594750069789</v>
      </c>
      <c r="K2687" s="5">
        <v>14017.262946034314</v>
      </c>
      <c r="L2687" s="5">
        <v>14691.846656953887</v>
      </c>
      <c r="M2687" s="5">
        <v>12987.517521908694</v>
      </c>
      <c r="N2687" s="5">
        <v>42744.618431291936</v>
      </c>
      <c r="O2687" s="5">
        <v>25802.481365323994</v>
      </c>
      <c r="P2687" s="5">
        <v>17996.895987204196</v>
      </c>
      <c r="Q2687" s="5">
        <v>8502.450657922871</v>
      </c>
      <c r="R2687" s="5">
        <v>14079.827908007112</v>
      </c>
    </row>
    <row r="2688" spans="9:18">
      <c r="I2688" s="4">
        <v>2673</v>
      </c>
      <c r="J2688" s="5">
        <v>14420.293087375476</v>
      </c>
      <c r="K2688" s="5">
        <v>22732.797143159998</v>
      </c>
      <c r="L2688" s="5">
        <v>15161.007794371622</v>
      </c>
      <c r="M2688" s="5">
        <v>20185.026038758231</v>
      </c>
      <c r="N2688" s="5">
        <v>23583.581287126868</v>
      </c>
      <c r="O2688" s="5">
        <v>16524.769946939996</v>
      </c>
      <c r="P2688" s="5">
        <v>54292.749740228588</v>
      </c>
      <c r="Q2688" s="5">
        <v>42044.890065817184</v>
      </c>
      <c r="R2688" s="5">
        <v>3989.7956692889929</v>
      </c>
    </row>
    <row r="2689" spans="9:18">
      <c r="I2689" s="4">
        <v>2674</v>
      </c>
      <c r="J2689" s="5">
        <v>16733.020222212988</v>
      </c>
      <c r="K2689" s="5">
        <v>14611.618478071941</v>
      </c>
      <c r="L2689" s="5">
        <v>22412.045018675239</v>
      </c>
      <c r="M2689" s="5">
        <v>22961.931350882205</v>
      </c>
      <c r="N2689" s="5">
        <v>20558.672182394013</v>
      </c>
      <c r="O2689" s="5">
        <v>32474.063027682765</v>
      </c>
      <c r="P2689" s="5">
        <v>46514.467673254068</v>
      </c>
      <c r="Q2689" s="5">
        <v>48756.323642664109</v>
      </c>
      <c r="R2689" s="5">
        <v>72640.340924600489</v>
      </c>
    </row>
    <row r="2690" spans="9:18">
      <c r="I2690" s="4">
        <v>2675</v>
      </c>
      <c r="J2690" s="5">
        <v>21150.169973104224</v>
      </c>
      <c r="K2690" s="5">
        <v>6949.5708823216592</v>
      </c>
      <c r="L2690" s="5">
        <v>16777.996633299583</v>
      </c>
      <c r="M2690" s="5">
        <v>32497.510405113037</v>
      </c>
      <c r="N2690" s="5">
        <v>19125.360074567652</v>
      </c>
      <c r="O2690" s="5">
        <v>14371.728352806511</v>
      </c>
      <c r="P2690" s="5">
        <v>33500.490132682797</v>
      </c>
      <c r="Q2690" s="5">
        <v>16591.881190929333</v>
      </c>
      <c r="R2690" s="5">
        <v>12116.34255245842</v>
      </c>
    </row>
    <row r="2691" spans="9:18">
      <c r="I2691" s="4">
        <v>2676</v>
      </c>
      <c r="J2691" s="5">
        <v>14594.990625703947</v>
      </c>
      <c r="K2691" s="5">
        <v>16605.655749562578</v>
      </c>
      <c r="L2691" s="5">
        <v>22018.381599979773</v>
      </c>
      <c r="M2691" s="5">
        <v>18691.941789825862</v>
      </c>
      <c r="N2691" s="5">
        <v>11251.634703629026</v>
      </c>
      <c r="O2691" s="5">
        <v>8121.6248378263163</v>
      </c>
      <c r="P2691" s="5">
        <v>48123.003747643132</v>
      </c>
      <c r="Q2691" s="5">
        <v>19541.409060825732</v>
      </c>
      <c r="R2691" s="5">
        <v>26783.439354489365</v>
      </c>
    </row>
    <row r="2692" spans="9:18">
      <c r="I2692" s="4">
        <v>2677</v>
      </c>
      <c r="J2692" s="5">
        <v>11936.262457073821</v>
      </c>
      <c r="K2692" s="5">
        <v>14017.262946034314</v>
      </c>
      <c r="L2692" s="5">
        <v>23760.785349782636</v>
      </c>
      <c r="M2692" s="5">
        <v>31472.019071027709</v>
      </c>
      <c r="N2692" s="5">
        <v>21009.255892677338</v>
      </c>
      <c r="O2692" s="5">
        <v>26565.882515615398</v>
      </c>
      <c r="P2692" s="5">
        <v>49519.098753410741</v>
      </c>
      <c r="Q2692" s="5">
        <v>59964.86015574776</v>
      </c>
      <c r="R2692" s="5">
        <v>181970.23111012415</v>
      </c>
    </row>
    <row r="2693" spans="9:18">
      <c r="I2693" s="4">
        <v>2678</v>
      </c>
      <c r="J2693" s="5">
        <v>14960.076233580705</v>
      </c>
      <c r="K2693" s="5">
        <v>16605.655749562578</v>
      </c>
      <c r="L2693" s="5">
        <v>15126.980926457318</v>
      </c>
      <c r="M2693" s="5">
        <v>16001.653036457456</v>
      </c>
      <c r="N2693" s="5">
        <v>23583.581287126868</v>
      </c>
      <c r="O2693" s="5">
        <v>79848.944504816522</v>
      </c>
      <c r="P2693" s="5">
        <v>41657.50350099193</v>
      </c>
      <c r="Q2693" s="5">
        <v>22145.301831504508</v>
      </c>
      <c r="R2693" s="5">
        <v>26783.439354489365</v>
      </c>
    </row>
    <row r="2694" spans="9:18">
      <c r="I2694" s="4">
        <v>2679</v>
      </c>
      <c r="J2694" s="5">
        <v>9368.8270679249108</v>
      </c>
      <c r="K2694" s="5">
        <v>31910.762633549082</v>
      </c>
      <c r="L2694" s="5">
        <v>14796.875457021113</v>
      </c>
      <c r="M2694" s="5">
        <v>24981.974172352908</v>
      </c>
      <c r="N2694" s="5">
        <v>21909.120225822895</v>
      </c>
      <c r="O2694" s="5">
        <v>24369.28567093279</v>
      </c>
      <c r="P2694" s="5">
        <v>21933.779100635442</v>
      </c>
      <c r="Q2694" s="5">
        <v>28567.61306643406</v>
      </c>
      <c r="R2694" s="5">
        <v>55106.806585409526</v>
      </c>
    </row>
    <row r="2695" spans="9:18">
      <c r="I2695" s="4">
        <v>2680</v>
      </c>
      <c r="J2695" s="5">
        <v>19121.054099180623</v>
      </c>
      <c r="K2695" s="5">
        <v>21187.174639714212</v>
      </c>
      <c r="L2695" s="5">
        <v>15359.132481533357</v>
      </c>
      <c r="M2695" s="5">
        <v>20550.782384061673</v>
      </c>
      <c r="N2695" s="5">
        <v>36962.805083900916</v>
      </c>
      <c r="O2695" s="5">
        <v>16524.769946939996</v>
      </c>
      <c r="P2695" s="5">
        <v>48123.003747643132</v>
      </c>
      <c r="Q2695" s="5">
        <v>54060.5331097772</v>
      </c>
      <c r="R2695" s="5">
        <v>55106.806585409526</v>
      </c>
    </row>
    <row r="2696" spans="9:18">
      <c r="I2696" s="4">
        <v>2681</v>
      </c>
      <c r="J2696" s="5">
        <v>11843.28062342474</v>
      </c>
      <c r="K2696" s="5">
        <v>21218.439146892688</v>
      </c>
      <c r="L2696" s="5">
        <v>16071.478531535273</v>
      </c>
      <c r="M2696" s="5">
        <v>32751.734100446065</v>
      </c>
      <c r="N2696" s="5">
        <v>15130.853682762778</v>
      </c>
      <c r="O2696" s="5">
        <v>62082.6862081785</v>
      </c>
      <c r="P2696" s="5">
        <v>20403.656304140692</v>
      </c>
      <c r="Q2696" s="5">
        <v>48866.209623168346</v>
      </c>
      <c r="R2696" s="5">
        <v>89167.415757270224</v>
      </c>
    </row>
    <row r="2697" spans="9:18">
      <c r="I2697" s="4">
        <v>2682</v>
      </c>
      <c r="J2697" s="5">
        <v>11116.191595722205</v>
      </c>
      <c r="K2697" s="5">
        <v>17003.901855709089</v>
      </c>
      <c r="L2697" s="5">
        <v>10752.183901283248</v>
      </c>
      <c r="M2697" s="5">
        <v>16510.442870615672</v>
      </c>
      <c r="N2697" s="5">
        <v>4770.4216775830728</v>
      </c>
      <c r="O2697" s="5">
        <v>28431.436490368542</v>
      </c>
      <c r="P2697" s="5">
        <v>54292.749740228588</v>
      </c>
      <c r="Q2697" s="5">
        <v>37277.391668005912</v>
      </c>
      <c r="R2697" s="5">
        <v>91403.228438796665</v>
      </c>
    </row>
    <row r="2698" spans="9:18">
      <c r="I2698" s="4">
        <v>2683</v>
      </c>
      <c r="J2698" s="5">
        <v>19121.054099180623</v>
      </c>
      <c r="K2698" s="5">
        <v>17003.901855709089</v>
      </c>
      <c r="L2698" s="5">
        <v>21428.663623484812</v>
      </c>
      <c r="M2698" s="5">
        <v>17349.963215818931</v>
      </c>
      <c r="N2698" s="5">
        <v>46248.895746171031</v>
      </c>
      <c r="O2698" s="5">
        <v>27503.656957929088</v>
      </c>
      <c r="P2698" s="5">
        <v>16072.735485912413</v>
      </c>
      <c r="Q2698" s="5">
        <v>79566.621912742485</v>
      </c>
      <c r="R2698" s="5">
        <v>17687.533637716911</v>
      </c>
    </row>
    <row r="2699" spans="9:18">
      <c r="I2699" s="4">
        <v>2684</v>
      </c>
      <c r="J2699" s="5">
        <v>28169.050633834027</v>
      </c>
      <c r="K2699" s="5">
        <v>61827.107730316675</v>
      </c>
      <c r="L2699" s="5">
        <v>22018.381599979773</v>
      </c>
      <c r="M2699" s="5">
        <v>32751.734100446065</v>
      </c>
      <c r="N2699" s="5">
        <v>11635.644856128632</v>
      </c>
      <c r="O2699" s="5">
        <v>10270.120415297655</v>
      </c>
      <c r="P2699" s="5">
        <v>33715.790977629549</v>
      </c>
      <c r="Q2699" s="5">
        <v>71213.172792303565</v>
      </c>
      <c r="R2699" s="5">
        <v>7784.2246210242874</v>
      </c>
    </row>
    <row r="2700" spans="9:18">
      <c r="I2700" s="4">
        <v>2685</v>
      </c>
      <c r="J2700" s="5">
        <v>16016.491239086423</v>
      </c>
      <c r="K2700" s="5">
        <v>43843.85059185313</v>
      </c>
      <c r="L2700" s="5">
        <v>16577.562442697115</v>
      </c>
      <c r="M2700" s="5">
        <v>23908.621352410395</v>
      </c>
      <c r="N2700" s="5">
        <v>48565.498233359976</v>
      </c>
      <c r="O2700" s="5">
        <v>14371.728352806511</v>
      </c>
      <c r="P2700" s="5">
        <v>26541.896041444568</v>
      </c>
      <c r="Q2700" s="5">
        <v>12253.299944531094</v>
      </c>
      <c r="R2700" s="5">
        <v>87776.138236389699</v>
      </c>
    </row>
    <row r="2701" spans="9:18">
      <c r="I2701" s="4">
        <v>2686</v>
      </c>
      <c r="J2701" s="5">
        <v>33627.941293959229</v>
      </c>
      <c r="K2701" s="5">
        <v>16132.555399908759</v>
      </c>
      <c r="L2701" s="5">
        <v>19189.275558866306</v>
      </c>
      <c r="M2701" s="5">
        <v>25580.243606220469</v>
      </c>
      <c r="N2701" s="5">
        <v>36962.805083900916</v>
      </c>
      <c r="O2701" s="5">
        <v>16462.170789592048</v>
      </c>
      <c r="P2701" s="5">
        <v>40377.463755170742</v>
      </c>
      <c r="Q2701" s="5">
        <v>16803.875627203233</v>
      </c>
      <c r="R2701" s="5">
        <v>18230.645544621442</v>
      </c>
    </row>
    <row r="2702" spans="9:18">
      <c r="I2702" s="4">
        <v>2687</v>
      </c>
      <c r="J2702" s="5">
        <v>17005.744061105343</v>
      </c>
      <c r="K2702" s="5">
        <v>11403.533194020869</v>
      </c>
      <c r="L2702" s="5">
        <v>16017.890956041876</v>
      </c>
      <c r="M2702" s="5">
        <v>18177.175180585615</v>
      </c>
      <c r="N2702" s="5">
        <v>57711.498171893618</v>
      </c>
      <c r="O2702" s="5">
        <v>16505.600261180331</v>
      </c>
      <c r="P2702" s="5">
        <v>27820.721938889761</v>
      </c>
      <c r="Q2702" s="5">
        <v>100789.83462564547</v>
      </c>
      <c r="R2702" s="5">
        <v>3433.6677391851467</v>
      </c>
    </row>
    <row r="2703" spans="9:18">
      <c r="I2703" s="4">
        <v>2688</v>
      </c>
      <c r="J2703" s="5">
        <v>12452.764985867625</v>
      </c>
      <c r="K2703" s="5">
        <v>11206.053243692098</v>
      </c>
      <c r="L2703" s="5">
        <v>11827.803406885578</v>
      </c>
      <c r="M2703" s="5">
        <v>11680.747299075838</v>
      </c>
      <c r="N2703" s="5">
        <v>23746.795665493762</v>
      </c>
      <c r="O2703" s="5">
        <v>20930.098352661731</v>
      </c>
      <c r="P2703" s="5">
        <v>3017.2887813579896</v>
      </c>
      <c r="Q2703" s="5">
        <v>52545.991451361173</v>
      </c>
      <c r="R2703" s="5">
        <v>20236.767651156802</v>
      </c>
    </row>
    <row r="2704" spans="9:18">
      <c r="I2704" s="4">
        <v>2689</v>
      </c>
      <c r="J2704" s="5">
        <v>34933.039312618188</v>
      </c>
      <c r="K2704" s="5">
        <v>14136.873097602549</v>
      </c>
      <c r="L2704" s="5">
        <v>15764.107424863063</v>
      </c>
      <c r="M2704" s="5">
        <v>17542.15972125496</v>
      </c>
      <c r="N2704" s="5">
        <v>10882.757905166785</v>
      </c>
      <c r="O2704" s="5">
        <v>12110.196126281628</v>
      </c>
      <c r="P2704" s="5">
        <v>3831.1492650071077</v>
      </c>
      <c r="Q2704" s="5">
        <v>73941.636731325911</v>
      </c>
      <c r="R2704" s="5">
        <v>182942.88598316166</v>
      </c>
    </row>
    <row r="2705" spans="9:18">
      <c r="I2705" s="4">
        <v>2690</v>
      </c>
      <c r="J2705" s="5">
        <v>15554.996700302558</v>
      </c>
      <c r="K2705" s="5">
        <v>95171.967522309933</v>
      </c>
      <c r="L2705" s="5">
        <v>14796.875457021113</v>
      </c>
      <c r="M2705" s="5">
        <v>20788.503422877813</v>
      </c>
      <c r="N2705" s="5">
        <v>15804.474686449519</v>
      </c>
      <c r="O2705" s="5">
        <v>13613.378495715853</v>
      </c>
      <c r="P2705" s="5">
        <v>38024.168395914428</v>
      </c>
      <c r="Q2705" s="5">
        <v>20883.852062640355</v>
      </c>
      <c r="R2705" s="5">
        <v>76851.431017396084</v>
      </c>
    </row>
    <row r="2706" spans="9:18">
      <c r="I2706" s="4">
        <v>2691</v>
      </c>
      <c r="J2706" s="5">
        <v>21717.214093683677</v>
      </c>
      <c r="K2706" s="5">
        <v>53937.689698015136</v>
      </c>
      <c r="L2706" s="5">
        <v>15225.811035017256</v>
      </c>
      <c r="M2706" s="5">
        <v>20041.623430301417</v>
      </c>
      <c r="N2706" s="5">
        <v>37309.151967087455</v>
      </c>
      <c r="O2706" s="5">
        <v>41653.890350944224</v>
      </c>
      <c r="P2706" s="5">
        <v>9482.0186426688688</v>
      </c>
      <c r="Q2706" s="5">
        <v>116445.46783345108</v>
      </c>
      <c r="R2706" s="5">
        <v>54594.567438884274</v>
      </c>
    </row>
    <row r="2707" spans="9:18">
      <c r="I2707" s="4">
        <v>2692</v>
      </c>
      <c r="J2707" s="5">
        <v>21888.821432026474</v>
      </c>
      <c r="K2707" s="5">
        <v>21187.174639714212</v>
      </c>
      <c r="L2707" s="5">
        <v>22319.409576580376</v>
      </c>
      <c r="M2707" s="5">
        <v>30830.81083227017</v>
      </c>
      <c r="N2707" s="5">
        <v>16148.901635865295</v>
      </c>
      <c r="O2707" s="5">
        <v>11282.178219986479</v>
      </c>
      <c r="P2707" s="5">
        <v>38024.168395914428</v>
      </c>
      <c r="Q2707" s="5">
        <v>64585.328088516922</v>
      </c>
      <c r="R2707" s="5">
        <v>7118.1729476780347</v>
      </c>
    </row>
    <row r="2708" spans="9:18">
      <c r="I2708" s="4">
        <v>2693</v>
      </c>
      <c r="J2708" s="5">
        <v>14749.343145806102</v>
      </c>
      <c r="K2708" s="5">
        <v>17128.860847126922</v>
      </c>
      <c r="L2708" s="5">
        <v>17311.244744664215</v>
      </c>
      <c r="M2708" s="5">
        <v>9623.0342442006167</v>
      </c>
      <c r="N2708" s="5">
        <v>59876.136849941562</v>
      </c>
      <c r="O2708" s="5">
        <v>11282.178219986479</v>
      </c>
      <c r="P2708" s="5">
        <v>39054.462981000084</v>
      </c>
      <c r="Q2708" s="5">
        <v>4924.9171270300558</v>
      </c>
      <c r="R2708" s="5">
        <v>3989.7956692889929</v>
      </c>
    </row>
    <row r="2709" spans="9:18">
      <c r="I2709" s="4">
        <v>2694</v>
      </c>
      <c r="J2709" s="5">
        <v>18650.249281571734</v>
      </c>
      <c r="K2709" s="5">
        <v>21958.925144875713</v>
      </c>
      <c r="L2709" s="5">
        <v>15161.007794371622</v>
      </c>
      <c r="M2709" s="5">
        <v>32751.734100446065</v>
      </c>
      <c r="N2709" s="5">
        <v>18410.937863650517</v>
      </c>
      <c r="O2709" s="5">
        <v>94068.324736096256</v>
      </c>
      <c r="P2709" s="5">
        <v>27820.721938889761</v>
      </c>
      <c r="Q2709" s="5">
        <v>73941.636731325911</v>
      </c>
      <c r="R2709" s="5">
        <v>51141.799458534304</v>
      </c>
    </row>
    <row r="2710" spans="9:18">
      <c r="I2710" s="4">
        <v>2695</v>
      </c>
      <c r="J2710" s="5">
        <v>15081.728672246438</v>
      </c>
      <c r="K2710" s="5">
        <v>21527.93129974293</v>
      </c>
      <c r="L2710" s="5">
        <v>22162.138529251199</v>
      </c>
      <c r="M2710" s="5">
        <v>10451.914120098167</v>
      </c>
      <c r="N2710" s="5">
        <v>12297.015342318469</v>
      </c>
      <c r="O2710" s="5">
        <v>27503.656957929088</v>
      </c>
      <c r="P2710" s="5">
        <v>25258.981945036445</v>
      </c>
      <c r="Q2710" s="5">
        <v>11173.074396969254</v>
      </c>
      <c r="R2710" s="5">
        <v>7118.1729476780347</v>
      </c>
    </row>
    <row r="2711" spans="9:18">
      <c r="I2711" s="4">
        <v>2696</v>
      </c>
      <c r="J2711" s="5">
        <v>33627.941293959229</v>
      </c>
      <c r="K2711" s="5">
        <v>35705.595198125673</v>
      </c>
      <c r="L2711" s="5">
        <v>17845.207337527903</v>
      </c>
      <c r="M2711" s="5">
        <v>10111.451009425113</v>
      </c>
      <c r="N2711" s="5">
        <v>13511.694619545402</v>
      </c>
      <c r="O2711" s="5">
        <v>94068.324736096256</v>
      </c>
      <c r="P2711" s="5">
        <v>8877.9712092977989</v>
      </c>
      <c r="Q2711" s="5">
        <v>19315.033835554255</v>
      </c>
      <c r="R2711" s="5">
        <v>33290.909836056817</v>
      </c>
    </row>
    <row r="2712" spans="9:18">
      <c r="I2712" s="4">
        <v>2697</v>
      </c>
      <c r="J2712" s="5">
        <v>14538.277247583976</v>
      </c>
      <c r="K2712" s="5">
        <v>14021.934268028277</v>
      </c>
      <c r="L2712" s="5">
        <v>14796.875457021113</v>
      </c>
      <c r="M2712" s="5">
        <v>26477.996319655329</v>
      </c>
      <c r="N2712" s="5">
        <v>14240.123545764454</v>
      </c>
      <c r="O2712" s="5">
        <v>13966.178986479143</v>
      </c>
      <c r="P2712" s="5">
        <v>10532.667493814919</v>
      </c>
      <c r="Q2712" s="5">
        <v>18097.768262249352</v>
      </c>
      <c r="R2712" s="5">
        <v>46004.399892616471</v>
      </c>
    </row>
    <row r="2713" spans="9:18">
      <c r="I2713" s="4">
        <v>2698</v>
      </c>
      <c r="J2713" s="5">
        <v>16166.107684907736</v>
      </c>
      <c r="K2713" s="5">
        <v>11206.053243692098</v>
      </c>
      <c r="L2713" s="5">
        <v>14796.875457021113</v>
      </c>
      <c r="M2713" s="5">
        <v>17542.15972125496</v>
      </c>
      <c r="N2713" s="5">
        <v>18367.429489032103</v>
      </c>
      <c r="O2713" s="5">
        <v>35286.662852302201</v>
      </c>
      <c r="P2713" s="5">
        <v>49519.098753410741</v>
      </c>
      <c r="Q2713" s="5">
        <v>30266.563414010914</v>
      </c>
      <c r="R2713" s="5">
        <v>86510.608303273053</v>
      </c>
    </row>
    <row r="2714" spans="9:18">
      <c r="I2714" s="4">
        <v>2699</v>
      </c>
      <c r="J2714" s="5">
        <v>14076.209333698853</v>
      </c>
      <c r="K2714" s="5">
        <v>35488.449387009874</v>
      </c>
      <c r="L2714" s="5">
        <v>14364.472927446199</v>
      </c>
      <c r="M2714" s="5">
        <v>29058.117767351498</v>
      </c>
      <c r="N2714" s="5">
        <v>25549.748582175915</v>
      </c>
      <c r="O2714" s="5">
        <v>10369.402667058452</v>
      </c>
      <c r="P2714" s="5">
        <v>38771.994792132391</v>
      </c>
      <c r="Q2714" s="5">
        <v>22483.395143121877</v>
      </c>
      <c r="R2714" s="5">
        <v>72640.340924600489</v>
      </c>
    </row>
    <row r="2715" spans="9:18">
      <c r="I2715" s="4">
        <v>2700</v>
      </c>
      <c r="J2715" s="5">
        <v>13663.281817546009</v>
      </c>
      <c r="K2715" s="5">
        <v>11507.182177474708</v>
      </c>
      <c r="L2715" s="5">
        <v>13867.07093008449</v>
      </c>
      <c r="M2715" s="5">
        <v>32751.734100446065</v>
      </c>
      <c r="N2715" s="5">
        <v>21617.945168312468</v>
      </c>
      <c r="O2715" s="5">
        <v>4231.3144655921506</v>
      </c>
      <c r="P2715" s="5">
        <v>36724.352187786957</v>
      </c>
      <c r="Q2715" s="5">
        <v>16803.875627203233</v>
      </c>
      <c r="R2715" s="5">
        <v>216919.53009911609</v>
      </c>
    </row>
    <row r="2716" spans="9:18">
      <c r="I2716" s="4">
        <v>2701</v>
      </c>
      <c r="J2716" s="5">
        <v>16305.770155972396</v>
      </c>
      <c r="K2716" s="5">
        <v>17128.860847126922</v>
      </c>
      <c r="L2716" s="5">
        <v>13867.07093008449</v>
      </c>
      <c r="M2716" s="5">
        <v>14432.283063351901</v>
      </c>
      <c r="N2716" s="5">
        <v>9563.1256545330361</v>
      </c>
      <c r="O2716" s="5">
        <v>9320.7026593487881</v>
      </c>
      <c r="P2716" s="5">
        <v>27708.613526855763</v>
      </c>
      <c r="Q2716" s="5">
        <v>17153.530968450712</v>
      </c>
      <c r="R2716" s="5">
        <v>8720.6503563381029</v>
      </c>
    </row>
    <row r="2717" spans="9:18">
      <c r="I2717" s="4">
        <v>2702</v>
      </c>
      <c r="J2717" s="5">
        <v>9368.8270679249108</v>
      </c>
      <c r="K2717" s="5">
        <v>8223.1266007477425</v>
      </c>
      <c r="L2717" s="5">
        <v>15832.5469007027</v>
      </c>
      <c r="M2717" s="5">
        <v>15586.009710351766</v>
      </c>
      <c r="N2717" s="5">
        <v>9989.086510768735</v>
      </c>
      <c r="O2717" s="5">
        <v>9869.5889207969612</v>
      </c>
      <c r="P2717" s="5">
        <v>63015.124693769802</v>
      </c>
      <c r="Q2717" s="5">
        <v>37802.358878968138</v>
      </c>
      <c r="R2717" s="5">
        <v>72640.340924600489</v>
      </c>
    </row>
    <row r="2718" spans="9:18">
      <c r="I2718" s="4">
        <v>2703</v>
      </c>
      <c r="J2718" s="5">
        <v>15417.870921574262</v>
      </c>
      <c r="K2718" s="5">
        <v>9769.3659785458403</v>
      </c>
      <c r="L2718" s="5">
        <v>15359.132481533357</v>
      </c>
      <c r="M2718" s="5">
        <v>26477.996319655329</v>
      </c>
      <c r="N2718" s="5">
        <v>11952.903761138405</v>
      </c>
      <c r="O2718" s="5">
        <v>13840.304699955392</v>
      </c>
      <c r="P2718" s="5">
        <v>14376.883105731285</v>
      </c>
      <c r="Q2718" s="5">
        <v>35525.432376048877</v>
      </c>
      <c r="R2718" s="5">
        <v>39788.288251916689</v>
      </c>
    </row>
    <row r="2719" spans="9:18">
      <c r="I2719" s="4">
        <v>2704</v>
      </c>
      <c r="J2719" s="5">
        <v>7855.2948890116513</v>
      </c>
      <c r="K2719" s="5">
        <v>21958.925144875713</v>
      </c>
      <c r="L2719" s="5">
        <v>15471.738323660695</v>
      </c>
      <c r="M2719" s="5">
        <v>21913.431401527439</v>
      </c>
      <c r="N2719" s="5">
        <v>15786.177386596903</v>
      </c>
      <c r="O2719" s="5">
        <v>9708.4497800977806</v>
      </c>
      <c r="P2719" s="5">
        <v>8069.5385577067918</v>
      </c>
      <c r="Q2719" s="5">
        <v>8474.2603471579441</v>
      </c>
      <c r="R2719" s="5">
        <v>93933.045103013996</v>
      </c>
    </row>
    <row r="2720" spans="9:18">
      <c r="I2720" s="4">
        <v>2705</v>
      </c>
      <c r="J2720" s="5">
        <v>13918.242013140338</v>
      </c>
      <c r="K2720" s="5">
        <v>15428.770955406064</v>
      </c>
      <c r="L2720" s="5">
        <v>18215.751370765771</v>
      </c>
      <c r="M2720" s="5">
        <v>17542.15972125496</v>
      </c>
      <c r="N2720" s="5">
        <v>23998.040874392525</v>
      </c>
      <c r="O2720" s="5">
        <v>51330.340277512776</v>
      </c>
      <c r="P2720" s="5">
        <v>9965.8330787532959</v>
      </c>
      <c r="Q2720" s="5">
        <v>8474.2603471579441</v>
      </c>
      <c r="R2720" s="5">
        <v>7879.038918914337</v>
      </c>
    </row>
    <row r="2721" spans="9:18">
      <c r="I2721" s="4">
        <v>2706</v>
      </c>
      <c r="J2721" s="5">
        <v>49463.324094345015</v>
      </c>
      <c r="K2721" s="5">
        <v>11149.572204897504</v>
      </c>
      <c r="L2721" s="5">
        <v>10896.494237357269</v>
      </c>
      <c r="M2721" s="5">
        <v>21913.431401527439</v>
      </c>
      <c r="N2721" s="5">
        <v>23746.795665493762</v>
      </c>
      <c r="O2721" s="5">
        <v>32474.063027682765</v>
      </c>
      <c r="P2721" s="5">
        <v>54923.423457863879</v>
      </c>
      <c r="Q2721" s="5">
        <v>13865.641566869812</v>
      </c>
      <c r="R2721" s="5">
        <v>10885.018205103002</v>
      </c>
    </row>
    <row r="2722" spans="9:18">
      <c r="I2722" s="4">
        <v>2707</v>
      </c>
      <c r="J2722" s="5">
        <v>22812.564910649318</v>
      </c>
      <c r="K2722" s="5">
        <v>11403.533194020869</v>
      </c>
      <c r="L2722" s="5">
        <v>23561.450544884348</v>
      </c>
      <c r="M2722" s="5">
        <v>23908.621352410395</v>
      </c>
      <c r="N2722" s="5">
        <v>26115.05281128412</v>
      </c>
      <c r="O2722" s="5">
        <v>55264.438774006347</v>
      </c>
      <c r="P2722" s="5">
        <v>9482.0186426688688</v>
      </c>
      <c r="Q2722" s="5">
        <v>7457.1844090365566</v>
      </c>
      <c r="R2722" s="5">
        <v>122304.95880137496</v>
      </c>
    </row>
    <row r="2723" spans="9:18">
      <c r="I2723" s="4">
        <v>2708</v>
      </c>
      <c r="J2723" s="5">
        <v>13918.242013140338</v>
      </c>
      <c r="K2723" s="5">
        <v>14497.035717129334</v>
      </c>
      <c r="L2723" s="5">
        <v>19189.275558866306</v>
      </c>
      <c r="M2723" s="5">
        <v>17349.963215818931</v>
      </c>
      <c r="N2723" s="5">
        <v>41563.89847100406</v>
      </c>
      <c r="O2723" s="5">
        <v>27195.510785031525</v>
      </c>
      <c r="P2723" s="5">
        <v>16650.229067545235</v>
      </c>
      <c r="Q2723" s="5">
        <v>2356.8990887111336</v>
      </c>
      <c r="R2723" s="5">
        <v>8046.7106309763258</v>
      </c>
    </row>
    <row r="2724" spans="9:18">
      <c r="I2724" s="4">
        <v>2709</v>
      </c>
      <c r="J2724" s="5">
        <v>14076.209333698853</v>
      </c>
      <c r="K2724" s="5">
        <v>34058.671324159091</v>
      </c>
      <c r="L2724" s="5">
        <v>18810.091753970282</v>
      </c>
      <c r="M2724" s="5">
        <v>6367.5407465007311</v>
      </c>
      <c r="N2724" s="5">
        <v>22735.120948269971</v>
      </c>
      <c r="O2724" s="5">
        <v>10746.295275180995</v>
      </c>
      <c r="P2724" s="5">
        <v>33500.490132682797</v>
      </c>
      <c r="Q2724" s="5">
        <v>52545.991451361173</v>
      </c>
      <c r="R2724" s="5">
        <v>2071.5141323269809</v>
      </c>
    </row>
    <row r="2725" spans="9:18">
      <c r="I2725" s="4">
        <v>2710</v>
      </c>
      <c r="J2725" s="5">
        <v>28085.9245102444</v>
      </c>
      <c r="K2725" s="5">
        <v>34164.842952759042</v>
      </c>
      <c r="L2725" s="5">
        <v>27289.607394458035</v>
      </c>
      <c r="M2725" s="5">
        <v>36301.422888051464</v>
      </c>
      <c r="N2725" s="5">
        <v>21009.255892677338</v>
      </c>
      <c r="O2725" s="5">
        <v>26565.882515615398</v>
      </c>
      <c r="P2725" s="5">
        <v>35213.322626437533</v>
      </c>
      <c r="Q2725" s="5">
        <v>28797.29222718185</v>
      </c>
      <c r="R2725" s="5">
        <v>39788.288251916689</v>
      </c>
    </row>
    <row r="2726" spans="9:18">
      <c r="I2726" s="4">
        <v>2711</v>
      </c>
      <c r="J2726" s="5">
        <v>22188.291830993156</v>
      </c>
      <c r="K2726" s="5">
        <v>24728.095385476983</v>
      </c>
      <c r="L2726" s="5">
        <v>14815.394001212817</v>
      </c>
      <c r="M2726" s="5">
        <v>10451.914120098167</v>
      </c>
      <c r="N2726" s="5">
        <v>39672.376281023731</v>
      </c>
      <c r="O2726" s="5">
        <v>9869.5889207969612</v>
      </c>
      <c r="P2726" s="5">
        <v>8069.5385577067918</v>
      </c>
      <c r="Q2726" s="5">
        <v>28567.61306643406</v>
      </c>
      <c r="R2726" s="5">
        <v>39263.770877572199</v>
      </c>
    </row>
    <row r="2727" spans="9:18">
      <c r="I2727" s="4">
        <v>2712</v>
      </c>
      <c r="J2727" s="5">
        <v>16788.081681455456</v>
      </c>
      <c r="K2727" s="5">
        <v>35488.449387009874</v>
      </c>
      <c r="L2727" s="5">
        <v>16017.890956041876</v>
      </c>
      <c r="M2727" s="5">
        <v>16510.442870615672</v>
      </c>
      <c r="N2727" s="5">
        <v>26565.664379767408</v>
      </c>
      <c r="O2727" s="5">
        <v>20489.622805425737</v>
      </c>
      <c r="P2727" s="5">
        <v>35569.894390728325</v>
      </c>
      <c r="Q2727" s="5">
        <v>48866.209623168346</v>
      </c>
      <c r="R2727" s="5">
        <v>46004.399892616471</v>
      </c>
    </row>
    <row r="2728" spans="9:18">
      <c r="I2728" s="4">
        <v>2713</v>
      </c>
      <c r="J2728" s="5">
        <v>14750.660273177687</v>
      </c>
      <c r="K2728" s="5">
        <v>21218.439146892688</v>
      </c>
      <c r="L2728" s="5">
        <v>10752.183901283248</v>
      </c>
      <c r="M2728" s="5">
        <v>12987.517521908694</v>
      </c>
      <c r="N2728" s="5">
        <v>23008.246229813707</v>
      </c>
      <c r="O2728" s="5">
        <v>33720.545907536376</v>
      </c>
      <c r="P2728" s="5">
        <v>49519.098753410741</v>
      </c>
      <c r="Q2728" s="5">
        <v>12253.299944531094</v>
      </c>
      <c r="R2728" s="5">
        <v>14079.827908007112</v>
      </c>
    </row>
    <row r="2729" spans="9:18">
      <c r="I2729" s="4">
        <v>2714</v>
      </c>
      <c r="J2729" s="5">
        <v>23517.429992060665</v>
      </c>
      <c r="K2729" s="5">
        <v>14497.035717129334</v>
      </c>
      <c r="L2729" s="5">
        <v>19078.910217042379</v>
      </c>
      <c r="M2729" s="5">
        <v>15202.972920708273</v>
      </c>
      <c r="N2729" s="5">
        <v>13909.728487455486</v>
      </c>
      <c r="O2729" s="5">
        <v>27195.510785031525</v>
      </c>
      <c r="P2729" s="5">
        <v>29283.825979394511</v>
      </c>
      <c r="Q2729" s="5">
        <v>7349.2234634219121</v>
      </c>
      <c r="R2729" s="5">
        <v>114016.93673542379</v>
      </c>
    </row>
    <row r="2730" spans="9:18">
      <c r="I2730" s="4">
        <v>2715</v>
      </c>
      <c r="J2730" s="5">
        <v>15130.594750069789</v>
      </c>
      <c r="K2730" s="5">
        <v>56656.842992470461</v>
      </c>
      <c r="L2730" s="5">
        <v>14610.165745300763</v>
      </c>
      <c r="M2730" s="5">
        <v>19097.39635881727</v>
      </c>
      <c r="N2730" s="5">
        <v>42744.618431291936</v>
      </c>
      <c r="O2730" s="5">
        <v>26268.613803794757</v>
      </c>
      <c r="P2730" s="5">
        <v>20391.123772341358</v>
      </c>
      <c r="Q2730" s="5">
        <v>59134.059519022907</v>
      </c>
      <c r="R2730" s="5">
        <v>51358.6267760993</v>
      </c>
    </row>
    <row r="2731" spans="9:18">
      <c r="I2731" s="4">
        <v>2716</v>
      </c>
      <c r="J2731" s="5">
        <v>13447.638004246244</v>
      </c>
      <c r="K2731" s="5">
        <v>16199.334613834633</v>
      </c>
      <c r="L2731" s="5">
        <v>18379.634651549037</v>
      </c>
      <c r="M2731" s="5">
        <v>7334.8610818348589</v>
      </c>
      <c r="N2731" s="5">
        <v>17891.96347244953</v>
      </c>
      <c r="O2731" s="5">
        <v>20930.098352661731</v>
      </c>
      <c r="P2731" s="5">
        <v>6275.8915673055426</v>
      </c>
      <c r="Q2731" s="5">
        <v>30495.121067047665</v>
      </c>
      <c r="R2731" s="5">
        <v>14079.827908007112</v>
      </c>
    </row>
    <row r="2732" spans="9:18">
      <c r="I2732" s="4">
        <v>2717</v>
      </c>
      <c r="J2732" s="5">
        <v>16459.003095225507</v>
      </c>
      <c r="K2732" s="5">
        <v>24728.095385476983</v>
      </c>
      <c r="L2732" s="5">
        <v>27144.958215276103</v>
      </c>
      <c r="M2732" s="5">
        <v>13139.022167648376</v>
      </c>
      <c r="N2732" s="5">
        <v>12592.300437162297</v>
      </c>
      <c r="O2732" s="5">
        <v>41800.463215706819</v>
      </c>
      <c r="P2732" s="5">
        <v>3930.0915591834291</v>
      </c>
      <c r="Q2732" s="5">
        <v>15623.622662102793</v>
      </c>
      <c r="R2732" s="5">
        <v>7784.2246210242874</v>
      </c>
    </row>
    <row r="2733" spans="9:18">
      <c r="I2733" s="4">
        <v>2718</v>
      </c>
      <c r="J2733" s="5">
        <v>17005.744061105343</v>
      </c>
      <c r="K2733" s="5">
        <v>11507.182177474708</v>
      </c>
      <c r="L2733" s="5">
        <v>17128.574519497746</v>
      </c>
      <c r="M2733" s="5">
        <v>42282.977640783138</v>
      </c>
      <c r="N2733" s="5">
        <v>63974.903847153939</v>
      </c>
      <c r="O2733" s="5">
        <v>36759.655306288936</v>
      </c>
      <c r="P2733" s="5">
        <v>95486.196907583406</v>
      </c>
      <c r="Q2733" s="5">
        <v>59134.059519022907</v>
      </c>
      <c r="R2733" s="5">
        <v>20236.767651156802</v>
      </c>
    </row>
    <row r="2734" spans="9:18">
      <c r="I2734" s="4">
        <v>2719</v>
      </c>
      <c r="J2734" s="5">
        <v>29760.443016608337</v>
      </c>
      <c r="K2734" s="5">
        <v>20887.307279900142</v>
      </c>
      <c r="L2734" s="5">
        <v>16577.562442697115</v>
      </c>
      <c r="M2734" s="5">
        <v>41698.977215629871</v>
      </c>
      <c r="N2734" s="5">
        <v>24853.247795632611</v>
      </c>
      <c r="O2734" s="5">
        <v>94068.324736096256</v>
      </c>
      <c r="P2734" s="5">
        <v>74840.036182179319</v>
      </c>
      <c r="Q2734" s="5">
        <v>8832.660767995616</v>
      </c>
      <c r="R2734" s="5">
        <v>51358.6267760993</v>
      </c>
    </row>
    <row r="2735" spans="9:18">
      <c r="I2735" s="4">
        <v>2720</v>
      </c>
      <c r="J2735" s="5">
        <v>16710.807721801892</v>
      </c>
      <c r="K2735" s="5">
        <v>15051.330276415061</v>
      </c>
      <c r="L2735" s="5">
        <v>16451.333928028147</v>
      </c>
      <c r="M2735" s="5">
        <v>16500.222621933419</v>
      </c>
      <c r="N2735" s="5">
        <v>20718.434293991453</v>
      </c>
      <c r="O2735" s="5">
        <v>13613.378495715853</v>
      </c>
      <c r="P2735" s="5">
        <v>54100.778483493887</v>
      </c>
      <c r="Q2735" s="5">
        <v>35525.432376048877</v>
      </c>
      <c r="R2735" s="5">
        <v>3311.4906988006405</v>
      </c>
    </row>
    <row r="2736" spans="9:18">
      <c r="I2736" s="4">
        <v>2721</v>
      </c>
      <c r="J2736" s="5">
        <v>23517.429992060665</v>
      </c>
      <c r="K2736" s="5">
        <v>29672.680843304515</v>
      </c>
      <c r="L2736" s="5">
        <v>15651.346103181355</v>
      </c>
      <c r="M2736" s="5">
        <v>10451.914120098167</v>
      </c>
      <c r="N2736" s="5">
        <v>36962.805083900916</v>
      </c>
      <c r="O2736" s="5">
        <v>42492.261063288854</v>
      </c>
      <c r="P2736" s="5">
        <v>39054.462981000084</v>
      </c>
      <c r="Q2736" s="5">
        <v>68168.482468129529</v>
      </c>
      <c r="R2736" s="5">
        <v>33863.04333215439</v>
      </c>
    </row>
    <row r="2737" spans="9:18">
      <c r="I2737" s="4">
        <v>2722</v>
      </c>
      <c r="J2737" s="5">
        <v>22188.291830993156</v>
      </c>
      <c r="K2737" s="5">
        <v>16665.1498926479</v>
      </c>
      <c r="L2737" s="5">
        <v>16106.634875163341</v>
      </c>
      <c r="M2737" s="5">
        <v>17542.15972125496</v>
      </c>
      <c r="N2737" s="5">
        <v>24020.875410266352</v>
      </c>
      <c r="O2737" s="5">
        <v>59207.798737851255</v>
      </c>
      <c r="P2737" s="5">
        <v>77603.711720266961</v>
      </c>
      <c r="Q2737" s="5">
        <v>9652.8114206999071</v>
      </c>
      <c r="R2737" s="5">
        <v>3989.7956692889929</v>
      </c>
    </row>
    <row r="2738" spans="9:18">
      <c r="I2738" s="4">
        <v>2723</v>
      </c>
      <c r="J2738" s="5">
        <v>45301.532027110363</v>
      </c>
      <c r="K2738" s="5">
        <v>16273.14570113692</v>
      </c>
      <c r="L2738" s="5">
        <v>17482.478480142941</v>
      </c>
      <c r="M2738" s="5">
        <v>29041.83725675238</v>
      </c>
      <c r="N2738" s="5">
        <v>6130.3882288404347</v>
      </c>
      <c r="O2738" s="5">
        <v>13966.178986479143</v>
      </c>
      <c r="P2738" s="5">
        <v>63015.124693769802</v>
      </c>
      <c r="Q2738" s="5">
        <v>20883.852062640355</v>
      </c>
      <c r="R2738" s="5">
        <v>23583.884732956092</v>
      </c>
    </row>
    <row r="2739" spans="9:18">
      <c r="I2739" s="4">
        <v>2724</v>
      </c>
      <c r="J2739" s="5">
        <v>15623.733864199699</v>
      </c>
      <c r="K2739" s="5">
        <v>16081.362509465702</v>
      </c>
      <c r="L2739" s="5">
        <v>19078.910217042379</v>
      </c>
      <c r="M2739" s="5">
        <v>17542.15972125496</v>
      </c>
      <c r="N2739" s="5">
        <v>11251.634703629026</v>
      </c>
      <c r="O2739" s="5">
        <v>25644.588869829797</v>
      </c>
      <c r="P2739" s="5">
        <v>21039.927746191301</v>
      </c>
      <c r="Q2739" s="5">
        <v>12451.066014448154</v>
      </c>
      <c r="R2739" s="5">
        <v>20303.08745527079</v>
      </c>
    </row>
    <row r="2740" spans="9:18">
      <c r="I2740" s="4">
        <v>2725</v>
      </c>
      <c r="J2740" s="5">
        <v>28214.771032351968</v>
      </c>
      <c r="K2740" s="5">
        <v>16199.334613834633</v>
      </c>
      <c r="L2740" s="5">
        <v>14264.23790876064</v>
      </c>
      <c r="M2740" s="5">
        <v>23454.775510296178</v>
      </c>
      <c r="N2740" s="5">
        <v>8104.6265149430556</v>
      </c>
      <c r="O2740" s="5">
        <v>10676.618215263648</v>
      </c>
      <c r="P2740" s="5">
        <v>6275.8915673055426</v>
      </c>
      <c r="Q2740" s="5">
        <v>16591.881190929333</v>
      </c>
      <c r="R2740" s="5">
        <v>86510.608303273053</v>
      </c>
    </row>
    <row r="2741" spans="9:18">
      <c r="I2741" s="4">
        <v>2726</v>
      </c>
      <c r="J2741" s="5">
        <v>14750.660273177687</v>
      </c>
      <c r="K2741" s="5">
        <v>56656.842992470461</v>
      </c>
      <c r="L2741" s="5">
        <v>15759.954187048656</v>
      </c>
      <c r="M2741" s="5">
        <v>33862.836621974391</v>
      </c>
      <c r="N2741" s="5">
        <v>39672.376281023731</v>
      </c>
      <c r="O2741" s="5">
        <v>10369.402667058452</v>
      </c>
      <c r="P2741" s="5">
        <v>49519.098753410741</v>
      </c>
      <c r="Q2741" s="5">
        <v>59134.059519022907</v>
      </c>
      <c r="R2741" s="5">
        <v>1535.701520095213</v>
      </c>
    </row>
    <row r="2742" spans="9:18">
      <c r="I2742" s="4">
        <v>2727</v>
      </c>
      <c r="J2742" s="5">
        <v>15417.870921574262</v>
      </c>
      <c r="K2742" s="5">
        <v>18218.584572172625</v>
      </c>
      <c r="L2742" s="5">
        <v>16955.349467865559</v>
      </c>
      <c r="M2742" s="5">
        <v>14217.48832834715</v>
      </c>
      <c r="N2742" s="5">
        <v>17214.078970533748</v>
      </c>
      <c r="O2742" s="5">
        <v>26565.882515615398</v>
      </c>
      <c r="P2742" s="5">
        <v>21933.779100635442</v>
      </c>
      <c r="Q2742" s="5">
        <v>18097.768262249352</v>
      </c>
      <c r="R2742" s="5">
        <v>18349.337771428582</v>
      </c>
    </row>
    <row r="2743" spans="9:18">
      <c r="I2743" s="4">
        <v>2728</v>
      </c>
      <c r="J2743" s="5">
        <v>14680.308400328413</v>
      </c>
      <c r="K2743" s="5">
        <v>15698.764831033119</v>
      </c>
      <c r="L2743" s="5">
        <v>15922.087958863045</v>
      </c>
      <c r="M2743" s="5">
        <v>21833.004790208965</v>
      </c>
      <c r="N2743" s="5">
        <v>23043.345403059295</v>
      </c>
      <c r="O2743" s="5">
        <v>15936.062371781712</v>
      </c>
      <c r="P2743" s="5">
        <v>36724.352187786957</v>
      </c>
      <c r="Q2743" s="5">
        <v>28567.61306643406</v>
      </c>
      <c r="R2743" s="5">
        <v>91403.228438796665</v>
      </c>
    </row>
    <row r="2744" spans="9:18">
      <c r="I2744" s="4">
        <v>2729</v>
      </c>
      <c r="J2744" s="5">
        <v>19048.674633640545</v>
      </c>
      <c r="K2744" s="5">
        <v>15782.544184844044</v>
      </c>
      <c r="L2744" s="5">
        <v>15161.007794371622</v>
      </c>
      <c r="M2744" s="5">
        <v>16500.222621933419</v>
      </c>
      <c r="N2744" s="5">
        <v>36962.805083900916</v>
      </c>
      <c r="O2744" s="5">
        <v>30608.431994348266</v>
      </c>
      <c r="P2744" s="5">
        <v>33715.790977629549</v>
      </c>
      <c r="Q2744" s="5">
        <v>48756.323642664109</v>
      </c>
      <c r="R2744" s="5">
        <v>39263.770877572199</v>
      </c>
    </row>
    <row r="2745" spans="9:18">
      <c r="I2745" s="4">
        <v>2730</v>
      </c>
      <c r="J2745" s="5">
        <v>16416.142496463777</v>
      </c>
      <c r="K2745" s="5">
        <v>13331.01856102917</v>
      </c>
      <c r="L2745" s="5">
        <v>21428.663623484812</v>
      </c>
      <c r="M2745" s="5">
        <v>24981.974172352908</v>
      </c>
      <c r="N2745" s="5">
        <v>19125.360074567652</v>
      </c>
      <c r="O2745" s="5">
        <v>16505.600261180331</v>
      </c>
      <c r="P2745" s="5">
        <v>8877.9712092977989</v>
      </c>
      <c r="Q2745" s="5">
        <v>9454.5906023793759</v>
      </c>
      <c r="R2745" s="5">
        <v>123773.40402252052</v>
      </c>
    </row>
    <row r="2746" spans="9:18">
      <c r="I2746" s="4">
        <v>2731</v>
      </c>
      <c r="J2746" s="5">
        <v>16733.020222212988</v>
      </c>
      <c r="K2746" s="5">
        <v>16674.541027260992</v>
      </c>
      <c r="L2746" s="5">
        <v>20698.842353987733</v>
      </c>
      <c r="M2746" s="5">
        <v>19151.339770278159</v>
      </c>
      <c r="N2746" s="5">
        <v>22868.569282757788</v>
      </c>
      <c r="O2746" s="5">
        <v>16505.600261180331</v>
      </c>
      <c r="P2746" s="5">
        <v>41657.50350099193</v>
      </c>
      <c r="Q2746" s="5">
        <v>13099.063525342741</v>
      </c>
      <c r="R2746" s="5">
        <v>39788.288251916689</v>
      </c>
    </row>
    <row r="2747" spans="9:18">
      <c r="I2747" s="4">
        <v>2732</v>
      </c>
      <c r="J2747" s="5">
        <v>15786.811016780619</v>
      </c>
      <c r="K2747" s="5">
        <v>37822.375317881044</v>
      </c>
      <c r="L2747" s="5">
        <v>15764.107424863063</v>
      </c>
      <c r="M2747" s="5">
        <v>17370.588707072598</v>
      </c>
      <c r="N2747" s="5">
        <v>13511.694619545402</v>
      </c>
      <c r="O2747" s="5">
        <v>67717.30633712461</v>
      </c>
      <c r="P2747" s="5">
        <v>33500.490132682797</v>
      </c>
      <c r="Q2747" s="5">
        <v>9454.5906023793759</v>
      </c>
      <c r="R2747" s="5">
        <v>7784.2246210242874</v>
      </c>
    </row>
    <row r="2748" spans="9:18">
      <c r="I2748" s="4">
        <v>2733</v>
      </c>
      <c r="J2748" s="5">
        <v>14076.209333698853</v>
      </c>
      <c r="K2748" s="5">
        <v>23543.914024953676</v>
      </c>
      <c r="L2748" s="5">
        <v>20698.842353987733</v>
      </c>
      <c r="M2748" s="5">
        <v>18691.941789825862</v>
      </c>
      <c r="N2748" s="5">
        <v>9209.4418830788036</v>
      </c>
      <c r="O2748" s="5">
        <v>8024.6340027919978</v>
      </c>
      <c r="P2748" s="5">
        <v>3930.0915591834291</v>
      </c>
      <c r="Q2748" s="5">
        <v>100789.83462564547</v>
      </c>
      <c r="R2748" s="5">
        <v>39727.513802035661</v>
      </c>
    </row>
    <row r="2749" spans="9:18">
      <c r="I2749" s="4">
        <v>2734</v>
      </c>
      <c r="J2749" s="5">
        <v>15352.465904292809</v>
      </c>
      <c r="K2749" s="5">
        <v>10931.803935361211</v>
      </c>
      <c r="L2749" s="5">
        <v>14146.191653372813</v>
      </c>
      <c r="M2749" s="5">
        <v>21913.431401527439</v>
      </c>
      <c r="N2749" s="5">
        <v>15658.063692994532</v>
      </c>
      <c r="O2749" s="5">
        <v>27068.054847826614</v>
      </c>
      <c r="P2749" s="5">
        <v>26126.807131356076</v>
      </c>
      <c r="Q2749" s="5">
        <v>31974.553851773013</v>
      </c>
      <c r="R2749" s="5">
        <v>182942.88598316166</v>
      </c>
    </row>
    <row r="2750" spans="9:18">
      <c r="I2750" s="4">
        <v>2735</v>
      </c>
      <c r="J2750" s="5">
        <v>19467.17453557903</v>
      </c>
      <c r="K2750" s="5">
        <v>14579.232378315752</v>
      </c>
      <c r="L2750" s="5">
        <v>17311.244744664215</v>
      </c>
      <c r="M2750" s="5">
        <v>22326.253555179093</v>
      </c>
      <c r="N2750" s="5">
        <v>13511.694619545402</v>
      </c>
      <c r="O2750" s="5">
        <v>20489.622805425737</v>
      </c>
      <c r="P2750" s="5">
        <v>26126.807131356076</v>
      </c>
      <c r="Q2750" s="5">
        <v>31974.553851773013</v>
      </c>
      <c r="R2750" s="5">
        <v>14051.647494499957</v>
      </c>
    </row>
    <row r="2751" spans="9:18">
      <c r="I2751" s="4">
        <v>2736</v>
      </c>
      <c r="J2751" s="5">
        <v>28085.9245102444</v>
      </c>
      <c r="K2751" s="5">
        <v>34058.671324159091</v>
      </c>
      <c r="L2751" s="5">
        <v>14344.859750762502</v>
      </c>
      <c r="M2751" s="5">
        <v>18177.175180585615</v>
      </c>
      <c r="N2751" s="5">
        <v>21909.120225822895</v>
      </c>
      <c r="O2751" s="5">
        <v>25604.597681740845</v>
      </c>
      <c r="P2751" s="5">
        <v>32155.527541400057</v>
      </c>
      <c r="Q2751" s="5">
        <v>27789.973552634947</v>
      </c>
      <c r="R2751" s="5">
        <v>33290.909836056817</v>
      </c>
    </row>
    <row r="2752" spans="9:18">
      <c r="I2752" s="4">
        <v>2737</v>
      </c>
      <c r="J2752" s="5">
        <v>22812.564910649318</v>
      </c>
      <c r="K2752" s="5">
        <v>14878.52734402675</v>
      </c>
      <c r="L2752" s="5">
        <v>15664.99858445921</v>
      </c>
      <c r="M2752" s="5">
        <v>7334.8610818348589</v>
      </c>
      <c r="N2752" s="5">
        <v>4770.4216775830728</v>
      </c>
      <c r="O2752" s="5">
        <v>55264.438774006347</v>
      </c>
      <c r="P2752" s="5">
        <v>24349.301972630979</v>
      </c>
      <c r="Q2752" s="5">
        <v>17234.335939857254</v>
      </c>
      <c r="R2752" s="5">
        <v>30571.564004538617</v>
      </c>
    </row>
    <row r="2753" spans="9:18">
      <c r="I2753" s="4">
        <v>2738</v>
      </c>
      <c r="J2753" s="5">
        <v>14017.326487344162</v>
      </c>
      <c r="K2753" s="5">
        <v>11857.447519815871</v>
      </c>
      <c r="L2753" s="5">
        <v>10896.494237357269</v>
      </c>
      <c r="M2753" s="5">
        <v>25580.243606220469</v>
      </c>
      <c r="N2753" s="5">
        <v>51261.622558090799</v>
      </c>
      <c r="O2753" s="5">
        <v>40581.847217937895</v>
      </c>
      <c r="P2753" s="5">
        <v>55152.110177667731</v>
      </c>
      <c r="Q2753" s="5">
        <v>11928.872068442162</v>
      </c>
      <c r="R2753" s="5">
        <v>19133.693426869788</v>
      </c>
    </row>
    <row r="2754" spans="9:18">
      <c r="I2754" s="4">
        <v>2739</v>
      </c>
      <c r="J2754" s="5">
        <v>13391.049101507895</v>
      </c>
      <c r="K2754" s="5">
        <v>10931.803935361211</v>
      </c>
      <c r="L2754" s="5">
        <v>27289.607394458035</v>
      </c>
      <c r="M2754" s="5">
        <v>17349.963215818931</v>
      </c>
      <c r="N2754" s="5">
        <v>21931.347680292267</v>
      </c>
      <c r="O2754" s="5">
        <v>9320.7026593487881</v>
      </c>
      <c r="P2754" s="5">
        <v>10532.667493814919</v>
      </c>
      <c r="Q2754" s="5">
        <v>31974.553851773013</v>
      </c>
      <c r="R2754" s="5">
        <v>20236.767651156802</v>
      </c>
    </row>
    <row r="2755" spans="9:18">
      <c r="I2755" s="4">
        <v>2740</v>
      </c>
      <c r="J2755" s="5">
        <v>13841.207384998772</v>
      </c>
      <c r="K2755" s="5">
        <v>7753.2116148734594</v>
      </c>
      <c r="L2755" s="5">
        <v>17693.864646288712</v>
      </c>
      <c r="M2755" s="5">
        <v>26477.996319655329</v>
      </c>
      <c r="N2755" s="5">
        <v>37309.151967087455</v>
      </c>
      <c r="O2755" s="5">
        <v>53504.725169095313</v>
      </c>
      <c r="P2755" s="5">
        <v>12639.596794453437</v>
      </c>
      <c r="Q2755" s="5">
        <v>59134.059519022907</v>
      </c>
      <c r="R2755" s="5">
        <v>72561.496699005787</v>
      </c>
    </row>
    <row r="2756" spans="9:18">
      <c r="I2756" s="4">
        <v>2741</v>
      </c>
      <c r="J2756" s="5">
        <v>16305.770155972396</v>
      </c>
      <c r="K2756" s="5">
        <v>14587.813833513306</v>
      </c>
      <c r="L2756" s="5">
        <v>17311.244744664215</v>
      </c>
      <c r="M2756" s="5">
        <v>19433.64679949253</v>
      </c>
      <c r="N2756" s="5">
        <v>11952.903761138405</v>
      </c>
      <c r="O2756" s="5">
        <v>10369.402667058452</v>
      </c>
      <c r="P2756" s="5">
        <v>46514.467673254068</v>
      </c>
      <c r="Q2756" s="5">
        <v>16803.875627203233</v>
      </c>
      <c r="R2756" s="5">
        <v>23583.884732956092</v>
      </c>
    </row>
    <row r="2757" spans="9:18">
      <c r="I2757" s="4">
        <v>2742</v>
      </c>
      <c r="J2757" s="5">
        <v>13447.638004246244</v>
      </c>
      <c r="K2757" s="5">
        <v>16605.655749562578</v>
      </c>
      <c r="L2757" s="5">
        <v>15471.738323660695</v>
      </c>
      <c r="M2757" s="5">
        <v>20550.782384061673</v>
      </c>
      <c r="N2757" s="5">
        <v>20583.564383988036</v>
      </c>
      <c r="O2757" s="5">
        <v>13840.304699955392</v>
      </c>
      <c r="P2757" s="5">
        <v>106091.28270624072</v>
      </c>
      <c r="Q2757" s="5">
        <v>12253.299944531094</v>
      </c>
      <c r="R2757" s="5">
        <v>31715.273557891396</v>
      </c>
    </row>
    <row r="2758" spans="9:18">
      <c r="I2758" s="4">
        <v>2743</v>
      </c>
      <c r="J2758" s="5">
        <v>16416.142496463777</v>
      </c>
      <c r="K2758" s="5">
        <v>21218.439146892688</v>
      </c>
      <c r="L2758" s="5">
        <v>13622.976145621742</v>
      </c>
      <c r="M2758" s="5">
        <v>19151.339770278159</v>
      </c>
      <c r="N2758" s="5">
        <v>11751.639947035985</v>
      </c>
      <c r="O2758" s="5">
        <v>26565.882515615398</v>
      </c>
      <c r="P2758" s="5">
        <v>83536.241167211992</v>
      </c>
      <c r="Q2758" s="5">
        <v>8832.660767995616</v>
      </c>
      <c r="R2758" s="5">
        <v>14051.647494499957</v>
      </c>
    </row>
    <row r="2759" spans="9:18">
      <c r="I2759" s="4">
        <v>2744</v>
      </c>
      <c r="J2759" s="5">
        <v>45301.532027110363</v>
      </c>
      <c r="K2759" s="5">
        <v>37822.375317881044</v>
      </c>
      <c r="L2759" s="5">
        <v>16616.161224349555</v>
      </c>
      <c r="M2759" s="5">
        <v>17349.963215818931</v>
      </c>
      <c r="N2759" s="5">
        <v>20558.672182394013</v>
      </c>
      <c r="O2759" s="5">
        <v>16572.483389649329</v>
      </c>
      <c r="P2759" s="5">
        <v>54923.423457863879</v>
      </c>
      <c r="Q2759" s="5">
        <v>2356.8990887111336</v>
      </c>
      <c r="R2759" s="5">
        <v>93933.045103013996</v>
      </c>
    </row>
    <row r="2760" spans="9:18">
      <c r="I2760" s="4">
        <v>2745</v>
      </c>
      <c r="J2760" s="5">
        <v>28169.050633834027</v>
      </c>
      <c r="K2760" s="5">
        <v>14579.232378315752</v>
      </c>
      <c r="L2760" s="5">
        <v>34748.877779456467</v>
      </c>
      <c r="M2760" s="5">
        <v>31554.722481137964</v>
      </c>
      <c r="N2760" s="5">
        <v>45581.602064432409</v>
      </c>
      <c r="O2760" s="5">
        <v>27503.656957929088</v>
      </c>
      <c r="P2760" s="5">
        <v>22708.601480587709</v>
      </c>
      <c r="Q2760" s="5">
        <v>54060.5331097772</v>
      </c>
      <c r="R2760" s="5">
        <v>91403.228438796665</v>
      </c>
    </row>
    <row r="2761" spans="9:18">
      <c r="I2761" s="4">
        <v>2746</v>
      </c>
      <c r="J2761" s="5">
        <v>13918.242013140338</v>
      </c>
      <c r="K2761" s="5">
        <v>6949.5708823216592</v>
      </c>
      <c r="L2761" s="5">
        <v>16777.996633299583</v>
      </c>
      <c r="M2761" s="5">
        <v>11529.920007560097</v>
      </c>
      <c r="N2761" s="5">
        <v>11604.12831603515</v>
      </c>
      <c r="O2761" s="5">
        <v>14371.728352806511</v>
      </c>
      <c r="P2761" s="5">
        <v>38024.168395914428</v>
      </c>
      <c r="Q2761" s="5">
        <v>14064.158297039334</v>
      </c>
      <c r="R2761" s="5">
        <v>18349.337771428582</v>
      </c>
    </row>
    <row r="2762" spans="9:18">
      <c r="I2762" s="4">
        <v>2747</v>
      </c>
      <c r="J2762" s="5">
        <v>14344.692898101612</v>
      </c>
      <c r="K2762" s="5">
        <v>14674.169276244838</v>
      </c>
      <c r="L2762" s="5">
        <v>34748.877779456467</v>
      </c>
      <c r="M2762" s="5">
        <v>19151.339770278159</v>
      </c>
      <c r="N2762" s="5">
        <v>25549.748582175915</v>
      </c>
      <c r="O2762" s="5">
        <v>10369.402667058452</v>
      </c>
      <c r="P2762" s="5">
        <v>27708.613526855763</v>
      </c>
      <c r="Q2762" s="5">
        <v>59134.059519022907</v>
      </c>
      <c r="R2762" s="5">
        <v>7201.7586694681067</v>
      </c>
    </row>
    <row r="2763" spans="9:18">
      <c r="I2763" s="4">
        <v>2748</v>
      </c>
      <c r="J2763" s="5">
        <v>22370.105711697011</v>
      </c>
      <c r="K2763" s="5">
        <v>14587.813833513306</v>
      </c>
      <c r="L2763" s="5">
        <v>13023.361770761438</v>
      </c>
      <c r="M2763" s="5">
        <v>32497.510405113037</v>
      </c>
      <c r="N2763" s="5">
        <v>26115.05281128412</v>
      </c>
      <c r="O2763" s="5">
        <v>8801.3667015774663</v>
      </c>
      <c r="P2763" s="5">
        <v>40377.463755170742</v>
      </c>
      <c r="Q2763" s="5">
        <v>9652.8114206999071</v>
      </c>
      <c r="R2763" s="5">
        <v>123773.40402252052</v>
      </c>
    </row>
    <row r="2764" spans="9:18">
      <c r="I2764" s="4">
        <v>2749</v>
      </c>
      <c r="J2764" s="5">
        <v>14680.308400328413</v>
      </c>
      <c r="K2764" s="5">
        <v>35705.595198125673</v>
      </c>
      <c r="L2764" s="5">
        <v>16014.071850041886</v>
      </c>
      <c r="M2764" s="5">
        <v>14217.48832834715</v>
      </c>
      <c r="N2764" s="5">
        <v>14240.123545764454</v>
      </c>
      <c r="O2764" s="5">
        <v>13840.304699955392</v>
      </c>
      <c r="P2764" s="5">
        <v>36724.352187786957</v>
      </c>
      <c r="Q2764" s="5">
        <v>52421.574537857021</v>
      </c>
      <c r="R2764" s="5">
        <v>29295.938844292672</v>
      </c>
    </row>
    <row r="2765" spans="9:18">
      <c r="I2765" s="4">
        <v>2750</v>
      </c>
      <c r="J2765" s="5">
        <v>14741.240040396578</v>
      </c>
      <c r="K2765" s="5">
        <v>11507.182177474708</v>
      </c>
      <c r="L2765" s="5">
        <v>14364.472927446199</v>
      </c>
      <c r="M2765" s="5">
        <v>21712.71007234112</v>
      </c>
      <c r="N2765" s="5">
        <v>21931.347680292267</v>
      </c>
      <c r="O2765" s="5">
        <v>6199.3195463515376</v>
      </c>
      <c r="P2765" s="5">
        <v>21813.848941464526</v>
      </c>
      <c r="Q2765" s="5">
        <v>48756.323642664109</v>
      </c>
      <c r="R2765" s="5">
        <v>216919.53009911609</v>
      </c>
    </row>
    <row r="2766" spans="9:18">
      <c r="I2766" s="4">
        <v>2751</v>
      </c>
      <c r="J2766" s="5">
        <v>15873.12561080002</v>
      </c>
      <c r="K2766" s="5">
        <v>15051.330276415061</v>
      </c>
      <c r="L2766" s="5">
        <v>15300.182042823812</v>
      </c>
      <c r="M2766" s="5">
        <v>17116.951435661951</v>
      </c>
      <c r="N2766" s="5">
        <v>6130.3882288404347</v>
      </c>
      <c r="O2766" s="5">
        <v>16524.769946939996</v>
      </c>
      <c r="P2766" s="5">
        <v>22601.57564624758</v>
      </c>
      <c r="Q2766" s="5">
        <v>70295.978314632754</v>
      </c>
      <c r="R2766" s="5">
        <v>122304.95880137496</v>
      </c>
    </row>
    <row r="2767" spans="9:18">
      <c r="I2767" s="4">
        <v>2752</v>
      </c>
      <c r="J2767" s="5">
        <v>14420.293087375476</v>
      </c>
      <c r="K2767" s="5">
        <v>11558.357574452555</v>
      </c>
      <c r="L2767" s="5">
        <v>15225.811035017256</v>
      </c>
      <c r="M2767" s="5">
        <v>19262.243095117232</v>
      </c>
      <c r="N2767" s="5">
        <v>9209.4418830788036</v>
      </c>
      <c r="O2767" s="5">
        <v>13117.417685535194</v>
      </c>
      <c r="P2767" s="5">
        <v>27708.613526855763</v>
      </c>
      <c r="Q2767" s="5">
        <v>71213.172792303565</v>
      </c>
      <c r="R2767" s="5">
        <v>7394.6358885760465</v>
      </c>
    </row>
    <row r="2768" spans="9:18">
      <c r="I2768" s="4">
        <v>2753</v>
      </c>
      <c r="J2768" s="5">
        <v>14680.308400328413</v>
      </c>
      <c r="K2768" s="5">
        <v>15391.837334808681</v>
      </c>
      <c r="L2768" s="5">
        <v>10752.183901283248</v>
      </c>
      <c r="M2768" s="5">
        <v>17116.951435661951</v>
      </c>
      <c r="N2768" s="5">
        <v>39406.658185292261</v>
      </c>
      <c r="O2768" s="5">
        <v>13519.384207850644</v>
      </c>
      <c r="P2768" s="5">
        <v>3017.2887813579896</v>
      </c>
      <c r="Q2768" s="5">
        <v>22895.455950885695</v>
      </c>
      <c r="R2768" s="5">
        <v>7879.038918914337</v>
      </c>
    </row>
    <row r="2769" spans="9:18">
      <c r="I2769" s="4">
        <v>2754</v>
      </c>
      <c r="J2769" s="5">
        <v>13841.207384998772</v>
      </c>
      <c r="K2769" s="5">
        <v>18821.113178054162</v>
      </c>
      <c r="L2769" s="5">
        <v>16577.562442697115</v>
      </c>
      <c r="M2769" s="5">
        <v>14432.283063351901</v>
      </c>
      <c r="N2769" s="5">
        <v>8104.6265149430556</v>
      </c>
      <c r="O2769" s="5">
        <v>13550.031670770122</v>
      </c>
      <c r="P2769" s="5">
        <v>5735.6883097179207</v>
      </c>
      <c r="Q2769" s="5">
        <v>21421.044775857536</v>
      </c>
      <c r="R2769" s="5">
        <v>5865.9802599669383</v>
      </c>
    </row>
    <row r="2770" spans="9:18">
      <c r="I2770" s="4">
        <v>2755</v>
      </c>
      <c r="J2770" s="5">
        <v>21150.169973104224</v>
      </c>
      <c r="K2770" s="5">
        <v>16665.1498926479</v>
      </c>
      <c r="L2770" s="5">
        <v>14264.23790876064</v>
      </c>
      <c r="M2770" s="5">
        <v>19430.369425783585</v>
      </c>
      <c r="N2770" s="5">
        <v>11635.644856128632</v>
      </c>
      <c r="O2770" s="5">
        <v>24422.445067017139</v>
      </c>
      <c r="P2770" s="5">
        <v>16574.429708560569</v>
      </c>
      <c r="Q2770" s="5">
        <v>31902.904306425251</v>
      </c>
      <c r="R2770" s="5">
        <v>9913.4206865238284</v>
      </c>
    </row>
    <row r="2771" spans="9:18">
      <c r="I2771" s="4">
        <v>2756</v>
      </c>
      <c r="J2771" s="5">
        <v>33627.941293959229</v>
      </c>
      <c r="K2771" s="5">
        <v>30552.499930043898</v>
      </c>
      <c r="L2771" s="5">
        <v>16014.071850041886</v>
      </c>
      <c r="M2771" s="5">
        <v>15202.972920708273</v>
      </c>
      <c r="N2771" s="5">
        <v>21931.347680292267</v>
      </c>
      <c r="O2771" s="5">
        <v>10738.305003664611</v>
      </c>
      <c r="P2771" s="5">
        <v>31127.87225845682</v>
      </c>
      <c r="Q2771" s="5">
        <v>17153.530968450712</v>
      </c>
      <c r="R2771" s="5">
        <v>54594.567438884274</v>
      </c>
    </row>
    <row r="2772" spans="9:18">
      <c r="I2772" s="4">
        <v>2757</v>
      </c>
      <c r="J2772" s="5">
        <v>15623.733864199699</v>
      </c>
      <c r="K2772" s="5">
        <v>24728.095385476983</v>
      </c>
      <c r="L2772" s="5">
        <v>15832.5469007027</v>
      </c>
      <c r="M2772" s="5">
        <v>29041.83725675238</v>
      </c>
      <c r="N2772" s="5">
        <v>23043.345403059295</v>
      </c>
      <c r="O2772" s="5">
        <v>18637.945795127704</v>
      </c>
      <c r="P2772" s="5">
        <v>27820.721938889761</v>
      </c>
      <c r="Q2772" s="5">
        <v>28776.080424849053</v>
      </c>
      <c r="R2772" s="5">
        <v>7784.2246210242874</v>
      </c>
    </row>
    <row r="2773" spans="9:18">
      <c r="I2773" s="4">
        <v>2758</v>
      </c>
      <c r="J2773" s="5">
        <v>73074.062486361407</v>
      </c>
      <c r="K2773" s="5">
        <v>9739.7813029644258</v>
      </c>
      <c r="L2773" s="5">
        <v>16451.333928028147</v>
      </c>
      <c r="M2773" s="5">
        <v>19433.64679949253</v>
      </c>
      <c r="N2773" s="5">
        <v>24853.247795632611</v>
      </c>
      <c r="O2773" s="5">
        <v>14371.728352806511</v>
      </c>
      <c r="P2773" s="5">
        <v>8662.4232458952465</v>
      </c>
      <c r="Q2773" s="5">
        <v>13865.641566869812</v>
      </c>
      <c r="R2773" s="5">
        <v>6681.1887184356683</v>
      </c>
    </row>
    <row r="2774" spans="9:18">
      <c r="I2774" s="4">
        <v>2759</v>
      </c>
      <c r="J2774" s="5">
        <v>13447.638004246244</v>
      </c>
      <c r="K2774" s="5">
        <v>11149.572204897504</v>
      </c>
      <c r="L2774" s="5">
        <v>17578.712723867691</v>
      </c>
      <c r="M2774" s="5">
        <v>22961.931350882205</v>
      </c>
      <c r="N2774" s="5">
        <v>8104.6265149430556</v>
      </c>
      <c r="O2774" s="5">
        <v>28431.436490368542</v>
      </c>
      <c r="P2774" s="5">
        <v>9047.5556949992188</v>
      </c>
      <c r="Q2774" s="5">
        <v>73941.636731325911</v>
      </c>
      <c r="R2774" s="5">
        <v>14051.647494499957</v>
      </c>
    </row>
    <row r="2775" spans="9:18">
      <c r="I2775" s="4">
        <v>2760</v>
      </c>
      <c r="J2775" s="5">
        <v>29760.443016608337</v>
      </c>
      <c r="K2775" s="5">
        <v>16674.541027260992</v>
      </c>
      <c r="L2775" s="5">
        <v>17578.712723867691</v>
      </c>
      <c r="M2775" s="5">
        <v>13642.678686731051</v>
      </c>
      <c r="N2775" s="5">
        <v>11251.634703629026</v>
      </c>
      <c r="O2775" s="5">
        <v>10270.120415297655</v>
      </c>
      <c r="P2775" s="5">
        <v>21039.927746191301</v>
      </c>
      <c r="Q2775" s="5">
        <v>10151.908492905288</v>
      </c>
      <c r="R2775" s="5">
        <v>19133.693426869788</v>
      </c>
    </row>
    <row r="2776" spans="9:18">
      <c r="I2776" s="4">
        <v>2761</v>
      </c>
      <c r="J2776" s="5">
        <v>14671.176405938595</v>
      </c>
      <c r="K2776" s="5">
        <v>32073.547537933715</v>
      </c>
      <c r="L2776" s="5">
        <v>11827.803406885578</v>
      </c>
      <c r="M2776" s="5">
        <v>15586.009710351766</v>
      </c>
      <c r="N2776" s="5">
        <v>34295.124147811541</v>
      </c>
      <c r="O2776" s="5">
        <v>53028.643350899503</v>
      </c>
      <c r="P2776" s="5">
        <v>29283.825979394511</v>
      </c>
      <c r="Q2776" s="5">
        <v>21421.044775857536</v>
      </c>
      <c r="R2776" s="5">
        <v>7118.1729476780347</v>
      </c>
    </row>
    <row r="2777" spans="9:18">
      <c r="I2777" s="4">
        <v>2762</v>
      </c>
      <c r="J2777" s="5">
        <v>14960.076233580705</v>
      </c>
      <c r="K2777" s="5">
        <v>14587.813833513306</v>
      </c>
      <c r="L2777" s="5">
        <v>10752.183901283248</v>
      </c>
      <c r="M2777" s="5">
        <v>20041.623430301417</v>
      </c>
      <c r="N2777" s="5">
        <v>11952.903761138405</v>
      </c>
      <c r="O2777" s="5">
        <v>4231.3144655921506</v>
      </c>
      <c r="P2777" s="5">
        <v>10733.318076105543</v>
      </c>
      <c r="Q2777" s="5">
        <v>7457.1844090365566</v>
      </c>
      <c r="R2777" s="5">
        <v>72640.340924600489</v>
      </c>
    </row>
    <row r="2778" spans="9:18">
      <c r="I2778" s="4">
        <v>2763</v>
      </c>
      <c r="J2778" s="5">
        <v>15064.079707240266</v>
      </c>
      <c r="K2778" s="5">
        <v>15347.101709242541</v>
      </c>
      <c r="L2778" s="5">
        <v>14042.41908879921</v>
      </c>
      <c r="M2778" s="5">
        <v>29041.83725675238</v>
      </c>
      <c r="N2778" s="5">
        <v>35826.921212852278</v>
      </c>
      <c r="O2778" s="5">
        <v>13117.417685535194</v>
      </c>
      <c r="P2778" s="5">
        <v>14773.185437294762</v>
      </c>
      <c r="Q2778" s="5">
        <v>18097.768262249352</v>
      </c>
      <c r="R2778" s="5">
        <v>12194.45251033065</v>
      </c>
    </row>
    <row r="2779" spans="9:18">
      <c r="I2779" s="4">
        <v>2764</v>
      </c>
      <c r="J2779" s="5">
        <v>29760.443016608337</v>
      </c>
      <c r="K2779" s="5">
        <v>34164.842952759042</v>
      </c>
      <c r="L2779" s="5">
        <v>27289.607394458035</v>
      </c>
      <c r="M2779" s="5">
        <v>16500.222621933419</v>
      </c>
      <c r="N2779" s="5">
        <v>36962.805083900916</v>
      </c>
      <c r="O2779" s="5">
        <v>24422.445067017139</v>
      </c>
      <c r="P2779" s="5">
        <v>40377.463755170742</v>
      </c>
      <c r="Q2779" s="5">
        <v>10151.908492905288</v>
      </c>
      <c r="R2779" s="5">
        <v>14051.647494499957</v>
      </c>
    </row>
    <row r="2780" spans="9:18">
      <c r="I2780" s="4">
        <v>2765</v>
      </c>
      <c r="J2780" s="5">
        <v>73074.062486361407</v>
      </c>
      <c r="K2780" s="5">
        <v>11206.053243692098</v>
      </c>
      <c r="L2780" s="5">
        <v>15359.132481533357</v>
      </c>
      <c r="M2780" s="5">
        <v>42282.977640783138</v>
      </c>
      <c r="N2780" s="5">
        <v>15804.474686449519</v>
      </c>
      <c r="O2780" s="5">
        <v>13550.031670770122</v>
      </c>
      <c r="P2780" s="5">
        <v>6275.8915673055426</v>
      </c>
      <c r="Q2780" s="5">
        <v>64585.328088516922</v>
      </c>
      <c r="R2780" s="5">
        <v>72640.340924600489</v>
      </c>
    </row>
    <row r="2781" spans="9:18">
      <c r="I2781" s="4">
        <v>2766</v>
      </c>
      <c r="J2781" s="5">
        <v>19121.054099180623</v>
      </c>
      <c r="K2781" s="5">
        <v>18218.584572172625</v>
      </c>
      <c r="L2781" s="5">
        <v>18634.523182776735</v>
      </c>
      <c r="M2781" s="5">
        <v>41403.687663920646</v>
      </c>
      <c r="N2781" s="5">
        <v>11604.12831603515</v>
      </c>
      <c r="O2781" s="5">
        <v>35286.662852302201</v>
      </c>
      <c r="P2781" s="5">
        <v>3930.0915591834291</v>
      </c>
      <c r="Q2781" s="5">
        <v>116445.46783345108</v>
      </c>
      <c r="R2781" s="5">
        <v>29295.938844292672</v>
      </c>
    </row>
    <row r="2782" spans="9:18">
      <c r="I2782" s="4">
        <v>2767</v>
      </c>
      <c r="J2782" s="5">
        <v>22370.105711697011</v>
      </c>
      <c r="K2782" s="5">
        <v>17003.901855709089</v>
      </c>
      <c r="L2782" s="5">
        <v>34748.877779456467</v>
      </c>
      <c r="M2782" s="5">
        <v>15586.009710351766</v>
      </c>
      <c r="N2782" s="5">
        <v>23583.581287126868</v>
      </c>
      <c r="O2782" s="5">
        <v>21930.527973988665</v>
      </c>
      <c r="P2782" s="5">
        <v>38771.994792132391</v>
      </c>
      <c r="Q2782" s="5">
        <v>13865.641566869812</v>
      </c>
      <c r="R2782" s="5">
        <v>54594.567438884274</v>
      </c>
    </row>
    <row r="2783" spans="9:18">
      <c r="I2783" s="4">
        <v>2768</v>
      </c>
      <c r="J2783" s="5">
        <v>13841.207384998772</v>
      </c>
      <c r="K2783" s="5">
        <v>11149.572204897504</v>
      </c>
      <c r="L2783" s="5">
        <v>14815.394001212817</v>
      </c>
      <c r="M2783" s="5">
        <v>32497.510405113037</v>
      </c>
      <c r="N2783" s="5">
        <v>8104.6265149430556</v>
      </c>
      <c r="O2783" s="5">
        <v>16505.600261180331</v>
      </c>
      <c r="P2783" s="5">
        <v>40377.463755170742</v>
      </c>
      <c r="Q2783" s="5">
        <v>13214.632802255031</v>
      </c>
      <c r="R2783" s="5">
        <v>5865.9802599669383</v>
      </c>
    </row>
    <row r="2784" spans="9:18">
      <c r="I2784" s="4">
        <v>2769</v>
      </c>
      <c r="J2784" s="5">
        <v>16710.807721801892</v>
      </c>
      <c r="K2784" s="5">
        <v>14136.873097602549</v>
      </c>
      <c r="L2784" s="5">
        <v>16071.478531535273</v>
      </c>
      <c r="M2784" s="5">
        <v>20041.623430301417</v>
      </c>
      <c r="N2784" s="5">
        <v>15804.474686449519</v>
      </c>
      <c r="O2784" s="5">
        <v>10369.402667058452</v>
      </c>
      <c r="P2784" s="5">
        <v>33715.790977629549</v>
      </c>
      <c r="Q2784" s="5">
        <v>9138.5169630896526</v>
      </c>
      <c r="R2784" s="5">
        <v>16039.216896723072</v>
      </c>
    </row>
    <row r="2785" spans="9:18">
      <c r="I2785" s="4">
        <v>2770</v>
      </c>
      <c r="J2785" s="5">
        <v>28085.9245102444</v>
      </c>
      <c r="K2785" s="5">
        <v>9739.7813029644258</v>
      </c>
      <c r="L2785" s="5">
        <v>29265.217478369766</v>
      </c>
      <c r="M2785" s="5">
        <v>13022.686998540772</v>
      </c>
      <c r="N2785" s="5">
        <v>27833.630848857778</v>
      </c>
      <c r="O2785" s="5">
        <v>94068.324736096256</v>
      </c>
      <c r="P2785" s="5">
        <v>27820.721938889761</v>
      </c>
      <c r="Q2785" s="5">
        <v>9454.5906023793759</v>
      </c>
      <c r="R2785" s="5">
        <v>14079.827908007112</v>
      </c>
    </row>
    <row r="2786" spans="9:18">
      <c r="I2786" s="4">
        <v>2771</v>
      </c>
      <c r="J2786" s="5">
        <v>13391.049101507895</v>
      </c>
      <c r="K2786" s="5">
        <v>23934.551191616061</v>
      </c>
      <c r="L2786" s="5">
        <v>15487.970507365942</v>
      </c>
      <c r="M2786" s="5">
        <v>21712.71007234112</v>
      </c>
      <c r="N2786" s="5">
        <v>4770.4216775830728</v>
      </c>
      <c r="O2786" s="5">
        <v>40581.847217937895</v>
      </c>
      <c r="P2786" s="5">
        <v>6275.8915673055426</v>
      </c>
      <c r="Q2786" s="5">
        <v>15663.43865741136</v>
      </c>
      <c r="R2786" s="5">
        <v>216919.53009911609</v>
      </c>
    </row>
    <row r="2787" spans="9:18">
      <c r="I2787" s="4">
        <v>2772</v>
      </c>
      <c r="J2787" s="5">
        <v>16145.071869702888</v>
      </c>
      <c r="K2787" s="5">
        <v>12777.667398488715</v>
      </c>
      <c r="L2787" s="5">
        <v>17128.574519497746</v>
      </c>
      <c r="M2787" s="5">
        <v>21332.072353846772</v>
      </c>
      <c r="N2787" s="5">
        <v>13909.728487455486</v>
      </c>
      <c r="O2787" s="5">
        <v>36759.655306288936</v>
      </c>
      <c r="P2787" s="5">
        <v>3930.0915591834291</v>
      </c>
      <c r="Q2787" s="5">
        <v>31855.809428519857</v>
      </c>
      <c r="R2787" s="5">
        <v>86510.608303273053</v>
      </c>
    </row>
    <row r="2788" spans="9:18">
      <c r="I2788" s="4">
        <v>2773</v>
      </c>
      <c r="J2788" s="5">
        <v>49463.324094345015</v>
      </c>
      <c r="K2788" s="5">
        <v>15768.312122029349</v>
      </c>
      <c r="L2788" s="5">
        <v>15487.970507365942</v>
      </c>
      <c r="M2788" s="5">
        <v>15346.383801976139</v>
      </c>
      <c r="N2788" s="5">
        <v>15658.063692994532</v>
      </c>
      <c r="O2788" s="5">
        <v>25644.588869829797</v>
      </c>
      <c r="P2788" s="5">
        <v>17643.087208586294</v>
      </c>
      <c r="Q2788" s="5">
        <v>116445.46783345108</v>
      </c>
      <c r="R2788" s="5">
        <v>72640.340924600489</v>
      </c>
    </row>
    <row r="2789" spans="9:18">
      <c r="I2789" s="4">
        <v>2774</v>
      </c>
      <c r="J2789" s="5">
        <v>15064.079707240266</v>
      </c>
      <c r="K2789" s="5">
        <v>14854.898507619706</v>
      </c>
      <c r="L2789" s="5">
        <v>15359.132481533357</v>
      </c>
      <c r="M2789" s="5">
        <v>13022.686998540772</v>
      </c>
      <c r="N2789" s="5">
        <v>18367.429489032103</v>
      </c>
      <c r="O2789" s="5">
        <v>49114.195066822271</v>
      </c>
      <c r="P2789" s="5">
        <v>27820.721938889761</v>
      </c>
      <c r="Q2789" s="5">
        <v>13214.632802255031</v>
      </c>
      <c r="R2789" s="5">
        <v>54594.567438884274</v>
      </c>
    </row>
    <row r="2790" spans="9:18">
      <c r="I2790" s="4">
        <v>2775</v>
      </c>
      <c r="J2790" s="5">
        <v>9405.362381917912</v>
      </c>
      <c r="K2790" s="5">
        <v>56656.842992470461</v>
      </c>
      <c r="L2790" s="5">
        <v>15832.5469007027</v>
      </c>
      <c r="M2790" s="5">
        <v>15586.009710351766</v>
      </c>
      <c r="N2790" s="5">
        <v>10882.757905166785</v>
      </c>
      <c r="O2790" s="5">
        <v>9869.5889207969612</v>
      </c>
      <c r="P2790" s="5">
        <v>63015.124693769802</v>
      </c>
      <c r="Q2790" s="5">
        <v>11173.074396969254</v>
      </c>
      <c r="R2790" s="5">
        <v>261393.32711858812</v>
      </c>
    </row>
    <row r="2791" spans="9:18">
      <c r="I2791" s="4">
        <v>2776</v>
      </c>
      <c r="J2791" s="5">
        <v>14710.037865351254</v>
      </c>
      <c r="K2791" s="5">
        <v>14611.618478071941</v>
      </c>
      <c r="L2791" s="5">
        <v>16071.260291253868</v>
      </c>
      <c r="M2791" s="5">
        <v>21913.431401527439</v>
      </c>
      <c r="N2791" s="5">
        <v>27833.630848857778</v>
      </c>
      <c r="O2791" s="5">
        <v>35865.625349531729</v>
      </c>
      <c r="P2791" s="5">
        <v>55119.366528283317</v>
      </c>
      <c r="Q2791" s="5">
        <v>28078.365156847896</v>
      </c>
      <c r="R2791" s="5">
        <v>31715.273557891396</v>
      </c>
    </row>
    <row r="2792" spans="9:18">
      <c r="I2792" s="4">
        <v>2777</v>
      </c>
      <c r="J2792" s="5">
        <v>14680.308400328413</v>
      </c>
      <c r="K2792" s="5">
        <v>14878.52734402675</v>
      </c>
      <c r="L2792" s="5">
        <v>15300.182042823812</v>
      </c>
      <c r="M2792" s="5">
        <v>11529.920007560097</v>
      </c>
      <c r="N2792" s="5">
        <v>19225.139878706803</v>
      </c>
      <c r="O2792" s="5">
        <v>53504.725169095313</v>
      </c>
      <c r="P2792" s="5">
        <v>13452.921824087563</v>
      </c>
      <c r="Q2792" s="5">
        <v>47365.380972950254</v>
      </c>
      <c r="R2792" s="5">
        <v>10885.018205103002</v>
      </c>
    </row>
    <row r="2793" spans="9:18">
      <c r="I2793" s="4">
        <v>2778</v>
      </c>
      <c r="J2793" s="5">
        <v>16788.081681455456</v>
      </c>
      <c r="K2793" s="5">
        <v>13559.080695844099</v>
      </c>
      <c r="L2793" s="5">
        <v>14610.165745300763</v>
      </c>
      <c r="M2793" s="5">
        <v>6367.5407465007311</v>
      </c>
      <c r="N2793" s="5">
        <v>10882.757905166785</v>
      </c>
      <c r="O2793" s="5">
        <v>53007.660727727191</v>
      </c>
      <c r="P2793" s="5">
        <v>16574.429708560569</v>
      </c>
      <c r="Q2793" s="5">
        <v>56069.347629295014</v>
      </c>
      <c r="R2793" s="5">
        <v>2071.5141323269809</v>
      </c>
    </row>
    <row r="2794" spans="9:18">
      <c r="I2794" s="4">
        <v>2779</v>
      </c>
      <c r="J2794" s="5">
        <v>16416.142496463777</v>
      </c>
      <c r="K2794" s="5">
        <v>31910.762633549082</v>
      </c>
      <c r="L2794" s="5">
        <v>25389.332759288587</v>
      </c>
      <c r="M2794" s="5">
        <v>20041.623430301417</v>
      </c>
      <c r="N2794" s="5">
        <v>22010.718648995869</v>
      </c>
      <c r="O2794" s="5">
        <v>18637.945795127704</v>
      </c>
      <c r="P2794" s="5">
        <v>3831.1492650071077</v>
      </c>
      <c r="Q2794" s="5">
        <v>116445.46783345108</v>
      </c>
      <c r="R2794" s="5">
        <v>7952.6989268572033</v>
      </c>
    </row>
    <row r="2795" spans="9:18">
      <c r="I2795" s="4">
        <v>2780</v>
      </c>
      <c r="J2795" s="5">
        <v>15623.733864199699</v>
      </c>
      <c r="K2795" s="5">
        <v>24728.095385476983</v>
      </c>
      <c r="L2795" s="5">
        <v>14042.41908879921</v>
      </c>
      <c r="M2795" s="5">
        <v>17370.588707072598</v>
      </c>
      <c r="N2795" s="5">
        <v>10882.757905166785</v>
      </c>
      <c r="O2795" s="5">
        <v>79848.944504816522</v>
      </c>
      <c r="P2795" s="5">
        <v>3930.0915591834291</v>
      </c>
      <c r="Q2795" s="5">
        <v>16591.881190929333</v>
      </c>
      <c r="R2795" s="5">
        <v>72561.496699005787</v>
      </c>
    </row>
    <row r="2796" spans="9:18">
      <c r="I2796" s="4">
        <v>2781</v>
      </c>
      <c r="J2796" s="5">
        <v>13595.404057849493</v>
      </c>
      <c r="K2796" s="5">
        <v>17003.901855709089</v>
      </c>
      <c r="L2796" s="5">
        <v>14811.370758813007</v>
      </c>
      <c r="M2796" s="5">
        <v>12735.841453044006</v>
      </c>
      <c r="N2796" s="5">
        <v>57711.498171893618</v>
      </c>
      <c r="O2796" s="5">
        <v>12110.196126281628</v>
      </c>
      <c r="P2796" s="5">
        <v>35569.894390728325</v>
      </c>
      <c r="Q2796" s="5">
        <v>92068.726035424203</v>
      </c>
      <c r="R2796" s="5">
        <v>1535.701520095213</v>
      </c>
    </row>
    <row r="2797" spans="9:18">
      <c r="I2797" s="4">
        <v>2782</v>
      </c>
      <c r="J2797" s="5">
        <v>43272.831879770602</v>
      </c>
      <c r="K2797" s="5">
        <v>17495.743706488822</v>
      </c>
      <c r="L2797" s="5">
        <v>29265.217478369766</v>
      </c>
      <c r="M2797" s="5">
        <v>25580.243606220469</v>
      </c>
      <c r="N2797" s="5">
        <v>27841.916587595573</v>
      </c>
      <c r="O2797" s="5">
        <v>20991.103410982985</v>
      </c>
      <c r="P2797" s="5">
        <v>14327.191387816954</v>
      </c>
      <c r="Q2797" s="5">
        <v>27018.509959127641</v>
      </c>
      <c r="R2797" s="5">
        <v>62674.060343500474</v>
      </c>
    </row>
    <row r="2798" spans="9:18">
      <c r="I2798" s="4">
        <v>2783</v>
      </c>
      <c r="J2798" s="5">
        <v>27392.038553726634</v>
      </c>
      <c r="K2798" s="5">
        <v>18086.448513145526</v>
      </c>
      <c r="L2798" s="5">
        <v>14264.23790876064</v>
      </c>
      <c r="M2798" s="5">
        <v>17370.588707072598</v>
      </c>
      <c r="N2798" s="5">
        <v>26565.664379767408</v>
      </c>
      <c r="O2798" s="5">
        <v>25802.481365323994</v>
      </c>
      <c r="P2798" s="5">
        <v>5735.6883097179207</v>
      </c>
      <c r="Q2798" s="5">
        <v>11928.872068442162</v>
      </c>
      <c r="R2798" s="5">
        <v>123773.40402252052</v>
      </c>
    </row>
    <row r="2799" spans="9:18">
      <c r="I2799" s="4">
        <v>2784</v>
      </c>
      <c r="J2799" s="5">
        <v>16145.071869702888</v>
      </c>
      <c r="K2799" s="5">
        <v>15631.937142257386</v>
      </c>
      <c r="L2799" s="5">
        <v>22162.138529251199</v>
      </c>
      <c r="M2799" s="5">
        <v>36301.422888051464</v>
      </c>
      <c r="N2799" s="5">
        <v>39672.376281023731</v>
      </c>
      <c r="O2799" s="5">
        <v>30608.431994348266</v>
      </c>
      <c r="P2799" s="5">
        <v>83536.241167211992</v>
      </c>
      <c r="Q2799" s="5">
        <v>52421.574537857021</v>
      </c>
      <c r="R2799" s="5">
        <v>6360.7905155660001</v>
      </c>
    </row>
    <row r="2800" spans="9:18">
      <c r="I2800" s="4">
        <v>2785</v>
      </c>
      <c r="J2800" s="5">
        <v>14017.326487344162</v>
      </c>
      <c r="K2800" s="5">
        <v>17128.860847126922</v>
      </c>
      <c r="L2800" s="5">
        <v>21725.131459372977</v>
      </c>
      <c r="M2800" s="5">
        <v>20185.026038758231</v>
      </c>
      <c r="N2800" s="5">
        <v>36962.805083900916</v>
      </c>
      <c r="O2800" s="5">
        <v>40942.522561879181</v>
      </c>
      <c r="P2800" s="5">
        <v>5836.7810663002319</v>
      </c>
      <c r="Q2800" s="5">
        <v>9652.8114206999071</v>
      </c>
      <c r="R2800" s="5">
        <v>3433.6677391851467</v>
      </c>
    </row>
    <row r="2801" spans="9:18">
      <c r="I2801" s="4">
        <v>2786</v>
      </c>
      <c r="J2801" s="5">
        <v>14960.076233580705</v>
      </c>
      <c r="K2801" s="5">
        <v>21958.925144875713</v>
      </c>
      <c r="L2801" s="5">
        <v>17311.244744664215</v>
      </c>
      <c r="M2801" s="5">
        <v>11680.747299075838</v>
      </c>
      <c r="N2801" s="5">
        <v>26115.05281128412</v>
      </c>
      <c r="O2801" s="5">
        <v>40942.522561879181</v>
      </c>
      <c r="P2801" s="5">
        <v>14316.965520592317</v>
      </c>
      <c r="Q2801" s="5">
        <v>16591.881190929333</v>
      </c>
      <c r="R2801" s="5">
        <v>76851.431017396084</v>
      </c>
    </row>
    <row r="2802" spans="9:18">
      <c r="I2802" s="4">
        <v>2787</v>
      </c>
      <c r="J2802" s="5">
        <v>14671.176405938595</v>
      </c>
      <c r="K2802" s="5">
        <v>14017.262946034314</v>
      </c>
      <c r="L2802" s="5">
        <v>16293.265064857471</v>
      </c>
      <c r="M2802" s="5">
        <v>21833.004790208965</v>
      </c>
      <c r="N2802" s="5">
        <v>39672.376281023731</v>
      </c>
      <c r="O2802" s="5">
        <v>10746.295275180995</v>
      </c>
      <c r="P2802" s="5">
        <v>31127.87225845682</v>
      </c>
      <c r="Q2802" s="5">
        <v>19541.409060825732</v>
      </c>
      <c r="R2802" s="5">
        <v>62674.060343500474</v>
      </c>
    </row>
    <row r="2803" spans="9:18">
      <c r="I2803" s="4">
        <v>2788</v>
      </c>
      <c r="J2803" s="5">
        <v>14594.990625703947</v>
      </c>
      <c r="K2803" s="5">
        <v>17128.860847126922</v>
      </c>
      <c r="L2803" s="5">
        <v>16451.333928028147</v>
      </c>
      <c r="M2803" s="5">
        <v>23913.435663027711</v>
      </c>
      <c r="N2803" s="5">
        <v>36962.805083900916</v>
      </c>
      <c r="O2803" s="5">
        <v>27084.483614751469</v>
      </c>
      <c r="P2803" s="5">
        <v>17643.087208586294</v>
      </c>
      <c r="Q2803" s="5">
        <v>59964.86015574776</v>
      </c>
      <c r="R2803" s="5">
        <v>55106.806585409526</v>
      </c>
    </row>
    <row r="2804" spans="9:18">
      <c r="I2804" s="4">
        <v>2789</v>
      </c>
      <c r="J2804" s="5">
        <v>28085.9245102444</v>
      </c>
      <c r="K2804" s="5">
        <v>14854.898507619706</v>
      </c>
      <c r="L2804" s="5">
        <v>17845.207337527903</v>
      </c>
      <c r="M2804" s="5">
        <v>26477.996319655329</v>
      </c>
      <c r="N2804" s="5">
        <v>27841.916587595573</v>
      </c>
      <c r="O2804" s="5">
        <v>13550.031670770122</v>
      </c>
      <c r="P2804" s="5">
        <v>17996.895987204196</v>
      </c>
      <c r="Q2804" s="5">
        <v>28797.29222718185</v>
      </c>
      <c r="R2804" s="5">
        <v>182942.88598316166</v>
      </c>
    </row>
    <row r="2805" spans="9:18">
      <c r="I2805" s="4">
        <v>2790</v>
      </c>
      <c r="J2805" s="5">
        <v>17679.321624063952</v>
      </c>
      <c r="K2805" s="5">
        <v>7753.2116148734594</v>
      </c>
      <c r="L2805" s="5">
        <v>16017.890956041876</v>
      </c>
      <c r="M2805" s="5">
        <v>21913.431401527439</v>
      </c>
      <c r="N2805" s="5">
        <v>41563.89847100406</v>
      </c>
      <c r="O2805" s="5">
        <v>41800.463215706819</v>
      </c>
      <c r="P2805" s="5">
        <v>3017.2887813579896</v>
      </c>
      <c r="Q2805" s="5">
        <v>52545.991451361173</v>
      </c>
      <c r="R2805" s="5">
        <v>2180.6148629084787</v>
      </c>
    </row>
    <row r="2806" spans="9:18">
      <c r="I2806" s="4">
        <v>2791</v>
      </c>
      <c r="J2806" s="5">
        <v>11116.191595722205</v>
      </c>
      <c r="K2806" s="5">
        <v>34164.842952759042</v>
      </c>
      <c r="L2806" s="5">
        <v>14364.472927446199</v>
      </c>
      <c r="M2806" s="5">
        <v>15586.009710351766</v>
      </c>
      <c r="N2806" s="5">
        <v>20718.434293991453</v>
      </c>
      <c r="O2806" s="5">
        <v>10738.305003664611</v>
      </c>
      <c r="P2806" s="5">
        <v>9811.9720599964548</v>
      </c>
      <c r="Q2806" s="5">
        <v>13865.641566869812</v>
      </c>
      <c r="R2806" s="5">
        <v>41418.225609677866</v>
      </c>
    </row>
    <row r="2807" spans="9:18">
      <c r="I2807" s="4">
        <v>2792</v>
      </c>
      <c r="J2807" s="5">
        <v>15648.665245032147</v>
      </c>
      <c r="K2807" s="5">
        <v>17128.860847126922</v>
      </c>
      <c r="L2807" s="5">
        <v>16017.890956041876</v>
      </c>
      <c r="M2807" s="5">
        <v>10111.451009425113</v>
      </c>
      <c r="N2807" s="5">
        <v>9563.1256545330361</v>
      </c>
      <c r="O2807" s="5">
        <v>36759.655306288936</v>
      </c>
      <c r="P2807" s="5">
        <v>3930.0915591834291</v>
      </c>
      <c r="Q2807" s="5">
        <v>13865.641566869812</v>
      </c>
      <c r="R2807" s="5">
        <v>84289.422255274636</v>
      </c>
    </row>
    <row r="2808" spans="9:18">
      <c r="I2808" s="4">
        <v>2793</v>
      </c>
      <c r="J2808" s="5">
        <v>31559.699247539775</v>
      </c>
      <c r="K2808" s="5">
        <v>16952.949313901812</v>
      </c>
      <c r="L2808" s="5">
        <v>18634.523182776735</v>
      </c>
      <c r="M2808" s="5">
        <v>11680.747299075838</v>
      </c>
      <c r="N2808" s="5">
        <v>13745.376566850549</v>
      </c>
      <c r="O2808" s="5">
        <v>9320.7026593487881</v>
      </c>
      <c r="P2808" s="5">
        <v>46514.467673254068</v>
      </c>
      <c r="Q2808" s="5">
        <v>3272.4685014937832</v>
      </c>
      <c r="R2808" s="5">
        <v>26783.439354489365</v>
      </c>
    </row>
    <row r="2809" spans="9:18">
      <c r="I2809" s="4">
        <v>2794</v>
      </c>
      <c r="J2809" s="5">
        <v>15648.665245032147</v>
      </c>
      <c r="K2809" s="5">
        <v>34164.842952759042</v>
      </c>
      <c r="L2809" s="5">
        <v>29265.217478369766</v>
      </c>
      <c r="M2809" s="5">
        <v>32497.510405113037</v>
      </c>
      <c r="N2809" s="5">
        <v>17891.96347244953</v>
      </c>
      <c r="O2809" s="5">
        <v>49114.195066822271</v>
      </c>
      <c r="P2809" s="5">
        <v>9811.9720599964548</v>
      </c>
      <c r="Q2809" s="5">
        <v>48756.323642664109</v>
      </c>
      <c r="R2809" s="5">
        <v>181970.23111012415</v>
      </c>
    </row>
    <row r="2810" spans="9:18">
      <c r="I2810" s="4">
        <v>2795</v>
      </c>
      <c r="J2810" s="5">
        <v>15417.870921574262</v>
      </c>
      <c r="K2810" s="5">
        <v>35488.449387009874</v>
      </c>
      <c r="L2810" s="5">
        <v>16451.333928028147</v>
      </c>
      <c r="M2810" s="5">
        <v>18879.640760542785</v>
      </c>
      <c r="N2810" s="5">
        <v>16148.901635865295</v>
      </c>
      <c r="O2810" s="5">
        <v>53504.725169095313</v>
      </c>
      <c r="P2810" s="5">
        <v>9965.8330787532959</v>
      </c>
      <c r="Q2810" s="5">
        <v>56069.347629295014</v>
      </c>
      <c r="R2810" s="5">
        <v>2180.6148629084787</v>
      </c>
    </row>
    <row r="2811" spans="9:18">
      <c r="I2811" s="4">
        <v>2796</v>
      </c>
      <c r="J2811" s="5">
        <v>14671.176405938595</v>
      </c>
      <c r="K2811" s="5">
        <v>16952.949313901812</v>
      </c>
      <c r="L2811" s="5">
        <v>15359.132481533357</v>
      </c>
      <c r="M2811" s="5">
        <v>31460.745851561904</v>
      </c>
      <c r="N2811" s="5">
        <v>59876.136849941562</v>
      </c>
      <c r="O2811" s="5">
        <v>16462.170789592048</v>
      </c>
      <c r="P2811" s="5">
        <v>27708.613526855763</v>
      </c>
      <c r="Q2811" s="5">
        <v>15663.43865741136</v>
      </c>
      <c r="R2811" s="5">
        <v>12116.34255245842</v>
      </c>
    </row>
    <row r="2812" spans="9:18">
      <c r="I2812" s="4">
        <v>2797</v>
      </c>
      <c r="J2812" s="5">
        <v>11036.461796239426</v>
      </c>
      <c r="K2812" s="5">
        <v>53937.689698015136</v>
      </c>
      <c r="L2812" s="5">
        <v>14316.474075738101</v>
      </c>
      <c r="M2812" s="5">
        <v>19042.78605337895</v>
      </c>
      <c r="N2812" s="5">
        <v>27841.916587595573</v>
      </c>
      <c r="O2812" s="5">
        <v>53028.643350899503</v>
      </c>
      <c r="P2812" s="5">
        <v>27373.102585108634</v>
      </c>
      <c r="Q2812" s="5">
        <v>11173.074396969254</v>
      </c>
      <c r="R2812" s="5">
        <v>76851.431017396084</v>
      </c>
    </row>
    <row r="2813" spans="9:18">
      <c r="I2813" s="4">
        <v>2798</v>
      </c>
      <c r="J2813" s="5">
        <v>20002.201347927807</v>
      </c>
      <c r="K2813" s="5">
        <v>16132.555399908759</v>
      </c>
      <c r="L2813" s="5">
        <v>14146.191653372813</v>
      </c>
      <c r="M2813" s="5">
        <v>17542.15972125496</v>
      </c>
      <c r="N2813" s="5">
        <v>15130.853682762778</v>
      </c>
      <c r="O2813" s="5">
        <v>24422.445067017139</v>
      </c>
      <c r="P2813" s="5">
        <v>39054.462981000084</v>
      </c>
      <c r="Q2813" s="5">
        <v>42044.890065817184</v>
      </c>
      <c r="R2813" s="5">
        <v>7879.038918914337</v>
      </c>
    </row>
    <row r="2814" spans="9:18">
      <c r="I2814" s="4">
        <v>2799</v>
      </c>
      <c r="J2814" s="5">
        <v>15081.728672246438</v>
      </c>
      <c r="K2814" s="5">
        <v>16132.555399908759</v>
      </c>
      <c r="L2814" s="5">
        <v>16293.265064857471</v>
      </c>
      <c r="M2814" s="5">
        <v>36301.422888051464</v>
      </c>
      <c r="N2814" s="5">
        <v>15658.063692994532</v>
      </c>
      <c r="O2814" s="5">
        <v>9956.4031238965053</v>
      </c>
      <c r="P2814" s="5">
        <v>8877.9712092977989</v>
      </c>
      <c r="Q2814" s="5">
        <v>29432.473148002948</v>
      </c>
      <c r="R2814" s="5">
        <v>46004.399892616471</v>
      </c>
    </row>
    <row r="2815" spans="9:18">
      <c r="I2815" s="4">
        <v>2800</v>
      </c>
      <c r="J2815" s="5">
        <v>12035.382213755307</v>
      </c>
      <c r="K2815" s="5">
        <v>18218.584572172625</v>
      </c>
      <c r="L2815" s="5">
        <v>17311.244744664215</v>
      </c>
      <c r="M2815" s="5">
        <v>18691.941789825862</v>
      </c>
      <c r="N2815" s="5">
        <v>51261.622558090799</v>
      </c>
      <c r="O2815" s="5">
        <v>27062.73412298776</v>
      </c>
      <c r="P2815" s="5">
        <v>5735.6883097179207</v>
      </c>
      <c r="Q2815" s="5">
        <v>8880.8074399558282</v>
      </c>
      <c r="R2815" s="5">
        <v>24831.679362998926</v>
      </c>
    </row>
    <row r="2816" spans="9:18">
      <c r="I2816" s="4">
        <v>2801</v>
      </c>
      <c r="J2816" s="5">
        <v>21888.821432026474</v>
      </c>
      <c r="K2816" s="5">
        <v>95171.967522309933</v>
      </c>
      <c r="L2816" s="5">
        <v>14264.23790876064</v>
      </c>
      <c r="M2816" s="5">
        <v>12987.517521908694</v>
      </c>
      <c r="N2816" s="5">
        <v>27841.916587595573</v>
      </c>
      <c r="O2816" s="5">
        <v>66253.993323243907</v>
      </c>
      <c r="P2816" s="5">
        <v>13452.921824087563</v>
      </c>
      <c r="Q2816" s="5">
        <v>27789.973552634947</v>
      </c>
      <c r="R2816" s="5">
        <v>24831.679362998926</v>
      </c>
    </row>
    <row r="2817" spans="9:18">
      <c r="I2817" s="4">
        <v>2802</v>
      </c>
      <c r="J2817" s="5">
        <v>20768.286261788198</v>
      </c>
      <c r="K2817" s="5">
        <v>53937.689698015136</v>
      </c>
      <c r="L2817" s="5">
        <v>16472.138192556791</v>
      </c>
      <c r="M2817" s="5">
        <v>15202.972920708273</v>
      </c>
      <c r="N2817" s="5">
        <v>6130.3882288404347</v>
      </c>
      <c r="O2817" s="5">
        <v>16524.769946939996</v>
      </c>
      <c r="P2817" s="5">
        <v>45161.732159568586</v>
      </c>
      <c r="Q2817" s="5">
        <v>92068.726035424203</v>
      </c>
      <c r="R2817" s="5">
        <v>5865.9802599669383</v>
      </c>
    </row>
    <row r="2818" spans="9:18">
      <c r="I2818" s="4">
        <v>2803</v>
      </c>
      <c r="J2818" s="5">
        <v>49463.324094345015</v>
      </c>
      <c r="K2818" s="5">
        <v>56656.842992470461</v>
      </c>
      <c r="L2818" s="5">
        <v>17128.574519497746</v>
      </c>
      <c r="M2818" s="5">
        <v>15202.972920708273</v>
      </c>
      <c r="N2818" s="5">
        <v>19225.139878706803</v>
      </c>
      <c r="O2818" s="5">
        <v>5909.5347260996277</v>
      </c>
      <c r="P2818" s="5">
        <v>22601.57564624758</v>
      </c>
      <c r="Q2818" s="5">
        <v>52545.991451361173</v>
      </c>
      <c r="R2818" s="5">
        <v>3311.4906988006405</v>
      </c>
    </row>
    <row r="2819" spans="9:18">
      <c r="I2819" s="4">
        <v>2804</v>
      </c>
      <c r="J2819" s="5">
        <v>28169.050633834027</v>
      </c>
      <c r="K2819" s="5">
        <v>14878.52734402675</v>
      </c>
      <c r="L2819" s="5">
        <v>15759.954187048656</v>
      </c>
      <c r="M2819" s="5">
        <v>21272.00214469912</v>
      </c>
      <c r="N2819" s="5">
        <v>12523.573732460784</v>
      </c>
      <c r="O2819" s="5">
        <v>42492.261063288854</v>
      </c>
      <c r="P2819" s="5">
        <v>54100.778483493887</v>
      </c>
      <c r="Q2819" s="5">
        <v>14064.158297039334</v>
      </c>
      <c r="R2819" s="5">
        <v>40368.364083205248</v>
      </c>
    </row>
    <row r="2820" spans="9:18">
      <c r="I2820" s="4">
        <v>2805</v>
      </c>
      <c r="J2820" s="5">
        <v>12035.382213755307</v>
      </c>
      <c r="K2820" s="5">
        <v>31910.762633549082</v>
      </c>
      <c r="L2820" s="5">
        <v>17482.478480142941</v>
      </c>
      <c r="M2820" s="5">
        <v>10451.914120098167</v>
      </c>
      <c r="N2820" s="5">
        <v>14921.795973817481</v>
      </c>
      <c r="O2820" s="5">
        <v>16462.170789592048</v>
      </c>
      <c r="P2820" s="5">
        <v>14316.965520592317</v>
      </c>
      <c r="Q2820" s="5">
        <v>71213.172792303565</v>
      </c>
      <c r="R2820" s="5">
        <v>84289.422255274636</v>
      </c>
    </row>
    <row r="2821" spans="9:18">
      <c r="I2821" s="4">
        <v>2806</v>
      </c>
      <c r="J2821" s="5">
        <v>13663.281817546009</v>
      </c>
      <c r="K2821" s="5">
        <v>11149.572204897504</v>
      </c>
      <c r="L2821" s="5">
        <v>16014.071850041886</v>
      </c>
      <c r="M2821" s="5">
        <v>19097.39635881727</v>
      </c>
      <c r="N2821" s="5">
        <v>23583.581287126868</v>
      </c>
      <c r="O2821" s="5">
        <v>8024.6340027919978</v>
      </c>
      <c r="P2821" s="5">
        <v>17643.087208586294</v>
      </c>
      <c r="Q2821" s="5">
        <v>4924.9171270300558</v>
      </c>
      <c r="R2821" s="5">
        <v>59414.886464347241</v>
      </c>
    </row>
    <row r="2822" spans="9:18">
      <c r="I2822" s="4">
        <v>2807</v>
      </c>
      <c r="J2822" s="5">
        <v>17592.832480262863</v>
      </c>
      <c r="K2822" s="5">
        <v>24728.095385476983</v>
      </c>
      <c r="L2822" s="5">
        <v>25007.552172398639</v>
      </c>
      <c r="M2822" s="5">
        <v>11680.747299075838</v>
      </c>
      <c r="N2822" s="5">
        <v>45581.602064432409</v>
      </c>
      <c r="O2822" s="5">
        <v>9956.4031238965053</v>
      </c>
      <c r="P2822" s="5">
        <v>38771.994792132391</v>
      </c>
      <c r="Q2822" s="5">
        <v>22145.301831504508</v>
      </c>
      <c r="R2822" s="5">
        <v>41056.152565483346</v>
      </c>
    </row>
    <row r="2823" spans="9:18">
      <c r="I2823" s="4">
        <v>2808</v>
      </c>
      <c r="J2823" s="5">
        <v>12452.764985867625</v>
      </c>
      <c r="K2823" s="5">
        <v>34164.842952759042</v>
      </c>
      <c r="L2823" s="5">
        <v>13417.453622029931</v>
      </c>
      <c r="M2823" s="5">
        <v>20041.623430301417</v>
      </c>
      <c r="N2823" s="5">
        <v>12592.300437162297</v>
      </c>
      <c r="O2823" s="5">
        <v>24247.516962783076</v>
      </c>
      <c r="P2823" s="5">
        <v>32155.527541400057</v>
      </c>
      <c r="Q2823" s="5">
        <v>28797.29222718185</v>
      </c>
      <c r="R2823" s="5">
        <v>89167.415757270224</v>
      </c>
    </row>
    <row r="2824" spans="9:18">
      <c r="I2824" s="4">
        <v>2809</v>
      </c>
      <c r="J2824" s="5">
        <v>22370.105711697011</v>
      </c>
      <c r="K2824" s="5">
        <v>18218.584572172625</v>
      </c>
      <c r="L2824" s="5">
        <v>27144.958215276103</v>
      </c>
      <c r="M2824" s="5">
        <v>10142.860128720422</v>
      </c>
      <c r="N2824" s="5">
        <v>15804.474686449519</v>
      </c>
      <c r="O2824" s="5">
        <v>28431.436490368542</v>
      </c>
      <c r="P2824" s="5">
        <v>9633.1652908310007</v>
      </c>
      <c r="Q2824" s="5">
        <v>14064.158297039334</v>
      </c>
      <c r="R2824" s="5">
        <v>14706.681111065362</v>
      </c>
    </row>
    <row r="2825" spans="9:18">
      <c r="I2825" s="4">
        <v>2810</v>
      </c>
      <c r="J2825" s="5">
        <v>14344.692898101612</v>
      </c>
      <c r="K2825" s="5">
        <v>16952.949313901812</v>
      </c>
      <c r="L2825" s="5">
        <v>23760.785349782636</v>
      </c>
      <c r="M2825" s="5">
        <v>12426.949970383979</v>
      </c>
      <c r="N2825" s="5">
        <v>23008.246229813707</v>
      </c>
      <c r="O2825" s="5">
        <v>45451.954570113048</v>
      </c>
      <c r="P2825" s="5">
        <v>44816.412248582856</v>
      </c>
      <c r="Q2825" s="5">
        <v>28078.365156847896</v>
      </c>
      <c r="R2825" s="5">
        <v>65420.116221752483</v>
      </c>
    </row>
    <row r="2826" spans="9:18">
      <c r="I2826" s="4">
        <v>2811</v>
      </c>
      <c r="J2826" s="5">
        <v>16416.142496463777</v>
      </c>
      <c r="K2826" s="5">
        <v>15051.330276415061</v>
      </c>
      <c r="L2826" s="5">
        <v>14364.472927446199</v>
      </c>
      <c r="M2826" s="5">
        <v>23067.94260629595</v>
      </c>
      <c r="N2826" s="5">
        <v>9563.1256545330361</v>
      </c>
      <c r="O2826" s="5">
        <v>16572.483389649329</v>
      </c>
      <c r="P2826" s="5">
        <v>33715.790977629549</v>
      </c>
      <c r="Q2826" s="5">
        <v>12451.066014448154</v>
      </c>
      <c r="R2826" s="5">
        <v>93933.045103013996</v>
      </c>
    </row>
    <row r="2827" spans="9:18">
      <c r="I2827" s="4">
        <v>2812</v>
      </c>
      <c r="J2827" s="5">
        <v>21150.169973104224</v>
      </c>
      <c r="K2827" s="5">
        <v>9769.3659785458403</v>
      </c>
      <c r="L2827" s="5">
        <v>16451.333928028147</v>
      </c>
      <c r="M2827" s="5">
        <v>36301.422888051464</v>
      </c>
      <c r="N2827" s="5">
        <v>18367.429489032103</v>
      </c>
      <c r="O2827" s="5">
        <v>14371.728352806511</v>
      </c>
      <c r="P2827" s="5">
        <v>3930.0915591834291</v>
      </c>
      <c r="Q2827" s="5">
        <v>9454.5906023793759</v>
      </c>
      <c r="R2827" s="5">
        <v>7201.7586694681067</v>
      </c>
    </row>
    <row r="2828" spans="9:18">
      <c r="I2828" s="4">
        <v>2813</v>
      </c>
      <c r="J2828" s="5">
        <v>16733.020222212988</v>
      </c>
      <c r="K2828" s="5">
        <v>21527.93129974293</v>
      </c>
      <c r="L2828" s="5">
        <v>16071.260291253868</v>
      </c>
      <c r="M2828" s="5">
        <v>20788.503422877813</v>
      </c>
      <c r="N2828" s="5">
        <v>18410.937863650517</v>
      </c>
      <c r="O2828" s="5">
        <v>10738.305003664611</v>
      </c>
      <c r="P2828" s="5">
        <v>27820.721938889761</v>
      </c>
      <c r="Q2828" s="5">
        <v>52421.574537857021</v>
      </c>
      <c r="R2828" s="5">
        <v>7952.6989268572033</v>
      </c>
    </row>
    <row r="2829" spans="9:18">
      <c r="I2829" s="4">
        <v>2814</v>
      </c>
      <c r="J2829" s="5">
        <v>21888.821432026474</v>
      </c>
      <c r="K2829" s="5">
        <v>95171.967522309933</v>
      </c>
      <c r="L2829" s="5">
        <v>10896.494237357269</v>
      </c>
      <c r="M2829" s="5">
        <v>19262.243095117232</v>
      </c>
      <c r="N2829" s="5">
        <v>8555.1229659096207</v>
      </c>
      <c r="O2829" s="5">
        <v>4231.3144655921506</v>
      </c>
      <c r="P2829" s="5">
        <v>36724.352187786957</v>
      </c>
      <c r="Q2829" s="5">
        <v>29432.473148002948</v>
      </c>
      <c r="R2829" s="5">
        <v>34970.397641695177</v>
      </c>
    </row>
    <row r="2830" spans="9:18">
      <c r="I2830" s="4">
        <v>2815</v>
      </c>
      <c r="J2830" s="5">
        <v>9405.362381917912</v>
      </c>
      <c r="K2830" s="5">
        <v>34164.842952759042</v>
      </c>
      <c r="L2830" s="5">
        <v>16014.071850041886</v>
      </c>
      <c r="M2830" s="5">
        <v>19433.64679949253</v>
      </c>
      <c r="N2830" s="5">
        <v>15804.474686449519</v>
      </c>
      <c r="O2830" s="5">
        <v>77417.02098927302</v>
      </c>
      <c r="P2830" s="5">
        <v>17737.38315098183</v>
      </c>
      <c r="Q2830" s="5">
        <v>7457.1844090365566</v>
      </c>
      <c r="R2830" s="5">
        <v>302760.11878714536</v>
      </c>
    </row>
    <row r="2831" spans="9:18">
      <c r="I2831" s="4">
        <v>2816</v>
      </c>
      <c r="J2831" s="5">
        <v>28085.9245102444</v>
      </c>
      <c r="K2831" s="5">
        <v>16273.14570113692</v>
      </c>
      <c r="L2831" s="5">
        <v>34748.877779456467</v>
      </c>
      <c r="M2831" s="5">
        <v>16881.579299055</v>
      </c>
      <c r="N2831" s="5">
        <v>32184.535272543482</v>
      </c>
      <c r="O2831" s="5">
        <v>30656.031716467984</v>
      </c>
      <c r="P2831" s="5">
        <v>5735.6883097179207</v>
      </c>
      <c r="Q2831" s="5">
        <v>47365.380972950254</v>
      </c>
      <c r="R2831" s="5">
        <v>17687.533637716911</v>
      </c>
    </row>
    <row r="2832" spans="9:18">
      <c r="I2832" s="4">
        <v>2817</v>
      </c>
      <c r="J2832" s="5">
        <v>14420.293087375476</v>
      </c>
      <c r="K2832" s="5">
        <v>14611.618478071941</v>
      </c>
      <c r="L2832" s="5">
        <v>17683.765335572589</v>
      </c>
      <c r="M2832" s="5">
        <v>13065.820809359835</v>
      </c>
      <c r="N2832" s="5">
        <v>40377.252444397986</v>
      </c>
      <c r="O2832" s="5">
        <v>35865.625349531729</v>
      </c>
      <c r="P2832" s="5">
        <v>36724.352187786957</v>
      </c>
      <c r="Q2832" s="5">
        <v>22895.455950885695</v>
      </c>
      <c r="R2832" s="5">
        <v>18349.337771428582</v>
      </c>
    </row>
    <row r="2833" spans="9:18">
      <c r="I2833" s="4">
        <v>2818</v>
      </c>
      <c r="J2833" s="5">
        <v>33627.941293959229</v>
      </c>
      <c r="K2833" s="5">
        <v>14017.262946034314</v>
      </c>
      <c r="L2833" s="5">
        <v>15764.107424863063</v>
      </c>
      <c r="M2833" s="5">
        <v>13011.820191946215</v>
      </c>
      <c r="N2833" s="5">
        <v>39672.376281023731</v>
      </c>
      <c r="O2833" s="5">
        <v>45451.954570113048</v>
      </c>
      <c r="P2833" s="5">
        <v>16574.429708560569</v>
      </c>
      <c r="Q2833" s="5">
        <v>8502.450657922871</v>
      </c>
      <c r="R2833" s="5">
        <v>20236.767651156802</v>
      </c>
    </row>
    <row r="2834" spans="9:18">
      <c r="I2834" s="4">
        <v>2819</v>
      </c>
      <c r="J2834" s="5">
        <v>12701.339251949787</v>
      </c>
      <c r="K2834" s="5">
        <v>8223.1266007477425</v>
      </c>
      <c r="L2834" s="5">
        <v>19359.475411188432</v>
      </c>
      <c r="M2834" s="5">
        <v>18879.640760542785</v>
      </c>
      <c r="N2834" s="5">
        <v>4770.4216775830728</v>
      </c>
      <c r="O2834" s="5">
        <v>12110.196126281628</v>
      </c>
      <c r="P2834" s="5">
        <v>45161.732159568586</v>
      </c>
      <c r="Q2834" s="5">
        <v>148345.62878828164</v>
      </c>
      <c r="R2834" s="5">
        <v>182942.88598316166</v>
      </c>
    </row>
    <row r="2835" spans="9:18">
      <c r="I2835" s="4">
        <v>2820</v>
      </c>
      <c r="J2835" s="5">
        <v>17592.832480262863</v>
      </c>
      <c r="K2835" s="5">
        <v>14351.415257675473</v>
      </c>
      <c r="L2835" s="5">
        <v>22162.138529251199</v>
      </c>
      <c r="M2835" s="5">
        <v>21833.004790208965</v>
      </c>
      <c r="N2835" s="5">
        <v>26152.705108198839</v>
      </c>
      <c r="O2835" s="5">
        <v>42492.261063288854</v>
      </c>
      <c r="P2835" s="5">
        <v>17974.179326980211</v>
      </c>
      <c r="Q2835" s="5">
        <v>31974.553851773013</v>
      </c>
      <c r="R2835" s="5">
        <v>216919.53009911609</v>
      </c>
    </row>
    <row r="2836" spans="9:18">
      <c r="I2836" s="4">
        <v>2821</v>
      </c>
      <c r="J2836" s="5">
        <v>17592.832480262863</v>
      </c>
      <c r="K2836" s="5">
        <v>16273.14570113692</v>
      </c>
      <c r="L2836" s="5">
        <v>22412.045018675239</v>
      </c>
      <c r="M2836" s="5">
        <v>29834.240613550006</v>
      </c>
      <c r="N2836" s="5">
        <v>25549.748582175915</v>
      </c>
      <c r="O2836" s="5">
        <v>18637.945795127704</v>
      </c>
      <c r="P2836" s="5">
        <v>8662.4232458952465</v>
      </c>
      <c r="Q2836" s="5">
        <v>12253.299944531094</v>
      </c>
      <c r="R2836" s="5">
        <v>84289.422255274636</v>
      </c>
    </row>
    <row r="2837" spans="9:18">
      <c r="I2837" s="4">
        <v>2822</v>
      </c>
      <c r="J2837" s="5">
        <v>28085.9245102444</v>
      </c>
      <c r="K2837" s="5">
        <v>16873.752266014431</v>
      </c>
      <c r="L2837" s="5">
        <v>15161.007794371622</v>
      </c>
      <c r="M2837" s="5">
        <v>12987.517521908694</v>
      </c>
      <c r="N2837" s="5">
        <v>15658.063692994532</v>
      </c>
      <c r="O2837" s="5">
        <v>10746.295275180995</v>
      </c>
      <c r="P2837" s="5">
        <v>3017.2887813579896</v>
      </c>
      <c r="Q2837" s="5">
        <v>116445.46783345108</v>
      </c>
      <c r="R2837" s="5">
        <v>19133.693426869788</v>
      </c>
    </row>
    <row r="2838" spans="9:18">
      <c r="I2838" s="4">
        <v>2823</v>
      </c>
      <c r="J2838" s="5">
        <v>15873.12561080002</v>
      </c>
      <c r="K2838" s="5">
        <v>16605.655749562578</v>
      </c>
      <c r="L2838" s="5">
        <v>13417.453622029931</v>
      </c>
      <c r="M2838" s="5">
        <v>19042.78605337895</v>
      </c>
      <c r="N2838" s="5">
        <v>26152.705108198839</v>
      </c>
      <c r="O2838" s="5">
        <v>26268.613803794757</v>
      </c>
      <c r="P2838" s="5">
        <v>33715.790977629549</v>
      </c>
      <c r="Q2838" s="5">
        <v>28567.61306643406</v>
      </c>
      <c r="R2838" s="5">
        <v>89167.415757270224</v>
      </c>
    </row>
    <row r="2839" spans="9:18">
      <c r="I2839" s="4">
        <v>2824</v>
      </c>
      <c r="J2839" s="5">
        <v>16710.807721801892</v>
      </c>
      <c r="K2839" s="5">
        <v>24728.095385476983</v>
      </c>
      <c r="L2839" s="5">
        <v>18475.258050488967</v>
      </c>
      <c r="M2839" s="5">
        <v>20229.919588372999</v>
      </c>
      <c r="N2839" s="5">
        <v>23043.345403059295</v>
      </c>
      <c r="O2839" s="5">
        <v>67717.30633712461</v>
      </c>
      <c r="P2839" s="5">
        <v>20391.123772341358</v>
      </c>
      <c r="Q2839" s="5">
        <v>30266.563414010914</v>
      </c>
      <c r="R2839" s="5">
        <v>93933.045103013996</v>
      </c>
    </row>
    <row r="2840" spans="9:18">
      <c r="I2840" s="4">
        <v>2825</v>
      </c>
      <c r="J2840" s="5">
        <v>16145.071869702888</v>
      </c>
      <c r="K2840" s="5">
        <v>18086.448513145526</v>
      </c>
      <c r="L2840" s="5">
        <v>22319.409576580376</v>
      </c>
      <c r="M2840" s="5">
        <v>16510.442870615672</v>
      </c>
      <c r="N2840" s="5">
        <v>15658.063692994532</v>
      </c>
      <c r="O2840" s="5">
        <v>27503.656957929088</v>
      </c>
      <c r="P2840" s="5">
        <v>33715.790977629549</v>
      </c>
      <c r="Q2840" s="5">
        <v>13214.632802255031</v>
      </c>
      <c r="R2840" s="5">
        <v>18230.645544621442</v>
      </c>
    </row>
    <row r="2841" spans="9:18">
      <c r="I2841" s="4">
        <v>2826</v>
      </c>
      <c r="J2841" s="5">
        <v>29760.443016608337</v>
      </c>
      <c r="K2841" s="5">
        <v>14095.75230105142</v>
      </c>
      <c r="L2841" s="5">
        <v>29265.217478369766</v>
      </c>
      <c r="M2841" s="5">
        <v>14217.48832834715</v>
      </c>
      <c r="N2841" s="5">
        <v>28426.778914975595</v>
      </c>
      <c r="O2841" s="5">
        <v>40304.23053285561</v>
      </c>
      <c r="P2841" s="5">
        <v>18862.487147419793</v>
      </c>
      <c r="Q2841" s="5">
        <v>100789.83462564547</v>
      </c>
      <c r="R2841" s="5">
        <v>65420.116221752483</v>
      </c>
    </row>
    <row r="2842" spans="9:18">
      <c r="I2842" s="4">
        <v>2827</v>
      </c>
      <c r="J2842" s="5">
        <v>19121.054099180623</v>
      </c>
      <c r="K2842" s="5">
        <v>13331.01856102917</v>
      </c>
      <c r="L2842" s="5">
        <v>21428.663623484812</v>
      </c>
      <c r="M2842" s="5">
        <v>11529.920007560097</v>
      </c>
      <c r="N2842" s="5">
        <v>13909.728487455486</v>
      </c>
      <c r="O2842" s="5">
        <v>94068.324736096256</v>
      </c>
      <c r="P2842" s="5">
        <v>14773.185437294762</v>
      </c>
      <c r="Q2842" s="5">
        <v>70295.978314632754</v>
      </c>
      <c r="R2842" s="5">
        <v>3311.4906988006405</v>
      </c>
    </row>
    <row r="2843" spans="9:18">
      <c r="I2843" s="4">
        <v>2828</v>
      </c>
      <c r="J2843" s="5">
        <v>15786.811016780619</v>
      </c>
      <c r="K2843" s="5">
        <v>14611.618478071941</v>
      </c>
      <c r="L2843" s="5">
        <v>34748.877779456467</v>
      </c>
      <c r="M2843" s="5">
        <v>21833.004790208965</v>
      </c>
      <c r="N2843" s="5">
        <v>14335.478134989447</v>
      </c>
      <c r="O2843" s="5">
        <v>30656.031716467984</v>
      </c>
      <c r="P2843" s="5">
        <v>44646.134934589521</v>
      </c>
      <c r="Q2843" s="5">
        <v>37802.358878968138</v>
      </c>
      <c r="R2843" s="5">
        <v>12116.34255245842</v>
      </c>
    </row>
    <row r="2844" spans="9:18">
      <c r="I2844" s="4">
        <v>2829</v>
      </c>
      <c r="J2844" s="5">
        <v>14749.343145806102</v>
      </c>
      <c r="K2844" s="5">
        <v>18086.448513145526</v>
      </c>
      <c r="L2844" s="5">
        <v>15487.970507365942</v>
      </c>
      <c r="M2844" s="5">
        <v>31460.745851561904</v>
      </c>
      <c r="N2844" s="5">
        <v>22010.718648995869</v>
      </c>
      <c r="O2844" s="5">
        <v>51330.340277512776</v>
      </c>
      <c r="P2844" s="5">
        <v>32155.527541400057</v>
      </c>
      <c r="Q2844" s="5">
        <v>37802.358878968138</v>
      </c>
      <c r="R2844" s="5">
        <v>7201.7586694681067</v>
      </c>
    </row>
    <row r="2845" spans="9:18">
      <c r="I2845" s="4">
        <v>2830</v>
      </c>
      <c r="J2845" s="5">
        <v>14538.277247583976</v>
      </c>
      <c r="K2845" s="5">
        <v>15487.124352801369</v>
      </c>
      <c r="L2845" s="5">
        <v>14811.370758813007</v>
      </c>
      <c r="M2845" s="5">
        <v>7334.8610818348589</v>
      </c>
      <c r="N2845" s="5">
        <v>28426.778914975595</v>
      </c>
      <c r="O2845" s="5">
        <v>24422.445067017139</v>
      </c>
      <c r="P2845" s="5">
        <v>54292.749740228588</v>
      </c>
      <c r="Q2845" s="5">
        <v>22145.301831504508</v>
      </c>
      <c r="R2845" s="5">
        <v>46004.399892616471</v>
      </c>
    </row>
    <row r="2846" spans="9:18">
      <c r="I2846" s="4">
        <v>2831</v>
      </c>
      <c r="J2846" s="5">
        <v>22188.291830993156</v>
      </c>
      <c r="K2846" s="5">
        <v>11149.572204897504</v>
      </c>
      <c r="L2846" s="5">
        <v>13037.115556745504</v>
      </c>
      <c r="M2846" s="5">
        <v>12934.591863415189</v>
      </c>
      <c r="N2846" s="5">
        <v>21617.945168312468</v>
      </c>
      <c r="O2846" s="5">
        <v>8024.6340027919978</v>
      </c>
      <c r="P2846" s="5">
        <v>32167.874670939738</v>
      </c>
      <c r="Q2846" s="5">
        <v>35525.432376048877</v>
      </c>
      <c r="R2846" s="5">
        <v>14706.681111065362</v>
      </c>
    </row>
    <row r="2847" spans="9:18">
      <c r="I2847" s="4">
        <v>2832</v>
      </c>
      <c r="J2847" s="5">
        <v>27392.038553726634</v>
      </c>
      <c r="K2847" s="5">
        <v>26110.948843472826</v>
      </c>
      <c r="L2847" s="5">
        <v>16577.562442697115</v>
      </c>
      <c r="M2847" s="5">
        <v>22326.253555179093</v>
      </c>
      <c r="N2847" s="5">
        <v>15804.474686449519</v>
      </c>
      <c r="O2847" s="5">
        <v>13550.031670770122</v>
      </c>
      <c r="P2847" s="5">
        <v>34768.042801665702</v>
      </c>
      <c r="Q2847" s="5">
        <v>20987.925664394581</v>
      </c>
      <c r="R2847" s="5">
        <v>182942.88598316166</v>
      </c>
    </row>
    <row r="2848" spans="9:18">
      <c r="I2848" s="4">
        <v>2833</v>
      </c>
      <c r="J2848" s="5">
        <v>12035.382213755307</v>
      </c>
      <c r="K2848" s="5">
        <v>24728.095385476983</v>
      </c>
      <c r="L2848" s="5">
        <v>16955.349467865559</v>
      </c>
      <c r="M2848" s="5">
        <v>32497.510405113037</v>
      </c>
      <c r="N2848" s="5">
        <v>15658.063692994532</v>
      </c>
      <c r="O2848" s="5">
        <v>27508.313315384185</v>
      </c>
      <c r="P2848" s="5">
        <v>9826.8369575407578</v>
      </c>
      <c r="Q2848" s="5">
        <v>48866.209623168346</v>
      </c>
      <c r="R2848" s="5">
        <v>55012.315589742022</v>
      </c>
    </row>
    <row r="2849" spans="9:18">
      <c r="I2849" s="4">
        <v>2834</v>
      </c>
      <c r="J2849" s="5">
        <v>14960.076233580705</v>
      </c>
      <c r="K2849" s="5">
        <v>15487.124352801369</v>
      </c>
      <c r="L2849" s="5">
        <v>14344.859750762502</v>
      </c>
      <c r="M2849" s="5">
        <v>13011.820191946215</v>
      </c>
      <c r="N2849" s="5">
        <v>15130.853682762778</v>
      </c>
      <c r="O2849" s="5">
        <v>10369.402667058452</v>
      </c>
      <c r="P2849" s="5">
        <v>55152.110177667731</v>
      </c>
      <c r="Q2849" s="5">
        <v>37497.234505125656</v>
      </c>
      <c r="R2849" s="5">
        <v>17687.533637716911</v>
      </c>
    </row>
    <row r="2850" spans="9:18">
      <c r="I2850" s="4">
        <v>2835</v>
      </c>
      <c r="J2850" s="5">
        <v>17679.321624063952</v>
      </c>
      <c r="K2850" s="5">
        <v>13719.930466819731</v>
      </c>
      <c r="L2850" s="5">
        <v>21954.536591034263</v>
      </c>
      <c r="M2850" s="5">
        <v>31460.745851561904</v>
      </c>
      <c r="N2850" s="5">
        <v>36962.805083900916</v>
      </c>
      <c r="O2850" s="5">
        <v>49114.195066822271</v>
      </c>
      <c r="P2850" s="5">
        <v>27820.721938889761</v>
      </c>
      <c r="Q2850" s="5">
        <v>68168.482468129529</v>
      </c>
      <c r="R2850" s="5">
        <v>114016.93673542379</v>
      </c>
    </row>
    <row r="2851" spans="9:18">
      <c r="I2851" s="4">
        <v>2836</v>
      </c>
      <c r="J2851" s="5">
        <v>14710.037865351254</v>
      </c>
      <c r="K2851" s="5">
        <v>12423.491400404893</v>
      </c>
      <c r="L2851" s="5">
        <v>14815.394001212817</v>
      </c>
      <c r="M2851" s="5">
        <v>19262.243095117232</v>
      </c>
      <c r="N2851" s="5">
        <v>21931.347680292267</v>
      </c>
      <c r="O2851" s="5">
        <v>35865.625349531729</v>
      </c>
      <c r="P2851" s="5">
        <v>24349.301972630979</v>
      </c>
      <c r="Q2851" s="5">
        <v>9796.0979856104404</v>
      </c>
      <c r="R2851" s="5">
        <v>1535.701520095213</v>
      </c>
    </row>
    <row r="2852" spans="9:18">
      <c r="I2852" s="4">
        <v>2837</v>
      </c>
      <c r="J2852" s="5">
        <v>9405.362381917912</v>
      </c>
      <c r="K2852" s="5">
        <v>30552.499930043898</v>
      </c>
      <c r="L2852" s="5">
        <v>16451.333928028147</v>
      </c>
      <c r="M2852" s="5">
        <v>13642.678686731051</v>
      </c>
      <c r="N2852" s="5">
        <v>14921.795973817481</v>
      </c>
      <c r="O2852" s="5">
        <v>33720.545907536376</v>
      </c>
      <c r="P2852" s="5">
        <v>33500.490132682797</v>
      </c>
      <c r="Q2852" s="5">
        <v>21421.044775857536</v>
      </c>
      <c r="R2852" s="5">
        <v>122304.95880137496</v>
      </c>
    </row>
    <row r="2853" spans="9:18">
      <c r="I2853" s="4">
        <v>2838</v>
      </c>
      <c r="J2853" s="5">
        <v>15352.465904292809</v>
      </c>
      <c r="K2853" s="5">
        <v>35705.595198125673</v>
      </c>
      <c r="L2853" s="5">
        <v>34748.877779456467</v>
      </c>
      <c r="M2853" s="5">
        <v>21712.71007234112</v>
      </c>
      <c r="N2853" s="5">
        <v>45581.602064432409</v>
      </c>
      <c r="O2853" s="5">
        <v>10738.305003664611</v>
      </c>
      <c r="P2853" s="5">
        <v>44816.412248582856</v>
      </c>
      <c r="Q2853" s="5">
        <v>116445.46783345108</v>
      </c>
      <c r="R2853" s="5">
        <v>41418.225609677866</v>
      </c>
    </row>
    <row r="2854" spans="9:18">
      <c r="I2854" s="4">
        <v>2839</v>
      </c>
      <c r="J2854" s="5">
        <v>31053.540961463306</v>
      </c>
      <c r="K2854" s="5">
        <v>32294.121255311245</v>
      </c>
      <c r="L2854" s="5">
        <v>13037.115556745504</v>
      </c>
      <c r="M2854" s="5">
        <v>19890.009981657669</v>
      </c>
      <c r="N2854" s="5">
        <v>21009.255892677338</v>
      </c>
      <c r="O2854" s="5">
        <v>27503.656957929088</v>
      </c>
      <c r="P2854" s="5">
        <v>3930.0915591834291</v>
      </c>
      <c r="Q2854" s="5">
        <v>9652.8114206999071</v>
      </c>
      <c r="R2854" s="5">
        <v>65420.116221752483</v>
      </c>
    </row>
    <row r="2855" spans="9:18">
      <c r="I2855" s="4">
        <v>2840</v>
      </c>
      <c r="J2855" s="5">
        <v>14710.037865351254</v>
      </c>
      <c r="K2855" s="5">
        <v>13331.01856102917</v>
      </c>
      <c r="L2855" s="5">
        <v>19359.475411188432</v>
      </c>
      <c r="M2855" s="5">
        <v>11529.920007560097</v>
      </c>
      <c r="N2855" s="5">
        <v>22010.718648995869</v>
      </c>
      <c r="O2855" s="5">
        <v>27062.73412298776</v>
      </c>
      <c r="P2855" s="5">
        <v>27708.613526855763</v>
      </c>
      <c r="Q2855" s="5">
        <v>13865.641566869812</v>
      </c>
      <c r="R2855" s="5">
        <v>6681.1887184356683</v>
      </c>
    </row>
    <row r="2856" spans="9:18">
      <c r="I2856" s="4">
        <v>2841</v>
      </c>
      <c r="J2856" s="5">
        <v>15873.12561080002</v>
      </c>
      <c r="K2856" s="5">
        <v>21958.925144875713</v>
      </c>
      <c r="L2856" s="5">
        <v>13417.453622029931</v>
      </c>
      <c r="M2856" s="5">
        <v>32497.510405113037</v>
      </c>
      <c r="N2856" s="5">
        <v>51261.622558090799</v>
      </c>
      <c r="O2856" s="5">
        <v>40942.522561879181</v>
      </c>
      <c r="P2856" s="5">
        <v>55119.366528283317</v>
      </c>
      <c r="Q2856" s="5">
        <v>25156.033327562815</v>
      </c>
      <c r="R2856" s="5">
        <v>84289.422255274636</v>
      </c>
    </row>
    <row r="2857" spans="9:18">
      <c r="I2857" s="4">
        <v>2842</v>
      </c>
      <c r="J2857" s="5">
        <v>14671.176405938595</v>
      </c>
      <c r="K2857" s="5">
        <v>21527.93129974293</v>
      </c>
      <c r="L2857" s="5">
        <v>17845.207337527903</v>
      </c>
      <c r="M2857" s="5">
        <v>12426.949970383979</v>
      </c>
      <c r="N2857" s="5">
        <v>29468.83360104046</v>
      </c>
      <c r="O2857" s="5">
        <v>25644.588869829797</v>
      </c>
      <c r="P2857" s="5">
        <v>17643.087208586294</v>
      </c>
      <c r="Q2857" s="5">
        <v>68168.482468129529</v>
      </c>
      <c r="R2857" s="5">
        <v>24722.972470599001</v>
      </c>
    </row>
    <row r="2858" spans="9:18">
      <c r="I2858" s="4">
        <v>2843</v>
      </c>
      <c r="J2858" s="5">
        <v>9405.362381917912</v>
      </c>
      <c r="K2858" s="5">
        <v>43843.85059185313</v>
      </c>
      <c r="L2858" s="5">
        <v>16955.349467865559</v>
      </c>
      <c r="M2858" s="5">
        <v>25580.243606220469</v>
      </c>
      <c r="N2858" s="5">
        <v>20558.672182394013</v>
      </c>
      <c r="O2858" s="5">
        <v>55264.438774006347</v>
      </c>
      <c r="P2858" s="5">
        <v>3831.1492650071077</v>
      </c>
      <c r="Q2858" s="5">
        <v>9796.0979856104404</v>
      </c>
      <c r="R2858" s="5">
        <v>181970.23111012415</v>
      </c>
    </row>
    <row r="2859" spans="9:18">
      <c r="I2859" s="4">
        <v>2844</v>
      </c>
      <c r="J2859" s="5">
        <v>15081.728672246438</v>
      </c>
      <c r="K2859" s="5">
        <v>15698.764831033119</v>
      </c>
      <c r="L2859" s="5">
        <v>14811.370758813007</v>
      </c>
      <c r="M2859" s="5">
        <v>6367.5407465007311</v>
      </c>
      <c r="N2859" s="5">
        <v>34295.124147811541</v>
      </c>
      <c r="O2859" s="5">
        <v>13613.378495715853</v>
      </c>
      <c r="P2859" s="5">
        <v>10532.667493814919</v>
      </c>
      <c r="Q2859" s="5">
        <v>68168.482468129529</v>
      </c>
      <c r="R2859" s="5">
        <v>9913.4206865238284</v>
      </c>
    </row>
    <row r="2860" spans="9:18">
      <c r="I2860" s="4">
        <v>2845</v>
      </c>
      <c r="J2860" s="5">
        <v>43272.831879770602</v>
      </c>
      <c r="K2860" s="5">
        <v>14021.934268028277</v>
      </c>
      <c r="L2860" s="5">
        <v>17578.712723867691</v>
      </c>
      <c r="M2860" s="5">
        <v>14217.48832834715</v>
      </c>
      <c r="N2860" s="5">
        <v>40377.252444397986</v>
      </c>
      <c r="O2860" s="5">
        <v>9869.5889207969612</v>
      </c>
      <c r="P2860" s="5">
        <v>10733.318076105543</v>
      </c>
      <c r="Q2860" s="5">
        <v>96632.959478514502</v>
      </c>
      <c r="R2860" s="5">
        <v>12194.45251033065</v>
      </c>
    </row>
    <row r="2861" spans="9:18">
      <c r="I2861" s="4">
        <v>2846</v>
      </c>
      <c r="J2861" s="5">
        <v>11116.191595722205</v>
      </c>
      <c r="K2861" s="5">
        <v>37822.375317881044</v>
      </c>
      <c r="L2861" s="5">
        <v>13023.361770761438</v>
      </c>
      <c r="M2861" s="5">
        <v>32751.734100446065</v>
      </c>
      <c r="N2861" s="5">
        <v>15251.140047572881</v>
      </c>
      <c r="O2861" s="5">
        <v>31172.963108652857</v>
      </c>
      <c r="P2861" s="5">
        <v>63015.124693769802</v>
      </c>
      <c r="Q2861" s="5">
        <v>47365.380972950254</v>
      </c>
      <c r="R2861" s="5">
        <v>86510.608303273053</v>
      </c>
    </row>
    <row r="2862" spans="9:18">
      <c r="I2862" s="4">
        <v>2847</v>
      </c>
      <c r="J2862" s="5">
        <v>14344.692898101612</v>
      </c>
      <c r="K2862" s="5">
        <v>15428.770955406064</v>
      </c>
      <c r="L2862" s="5">
        <v>18634.523182776735</v>
      </c>
      <c r="M2862" s="5">
        <v>13414.385151739983</v>
      </c>
      <c r="N2862" s="5">
        <v>48565.498233359976</v>
      </c>
      <c r="O2862" s="5">
        <v>27084.483614751469</v>
      </c>
      <c r="P2862" s="5">
        <v>14327.191387816954</v>
      </c>
      <c r="Q2862" s="5">
        <v>27018.509959127641</v>
      </c>
      <c r="R2862" s="5">
        <v>302760.11878714536</v>
      </c>
    </row>
    <row r="2863" spans="9:18">
      <c r="I2863" s="4">
        <v>2848</v>
      </c>
      <c r="J2863" s="5">
        <v>12888.204629170894</v>
      </c>
      <c r="K2863" s="5">
        <v>14021.934268028277</v>
      </c>
      <c r="L2863" s="5">
        <v>16071.478531535273</v>
      </c>
      <c r="M2863" s="5">
        <v>12426.949970383979</v>
      </c>
      <c r="N2863" s="5">
        <v>34295.124147811541</v>
      </c>
      <c r="O2863" s="5">
        <v>25604.597681740845</v>
      </c>
      <c r="P2863" s="5">
        <v>55119.366528283317</v>
      </c>
      <c r="Q2863" s="5">
        <v>44911.749632594299</v>
      </c>
      <c r="R2863" s="5">
        <v>31715.273557891396</v>
      </c>
    </row>
    <row r="2864" spans="9:18">
      <c r="I2864" s="4">
        <v>2849</v>
      </c>
      <c r="J2864" s="5">
        <v>16788.081681455456</v>
      </c>
      <c r="K2864" s="5">
        <v>15129.619337591721</v>
      </c>
      <c r="L2864" s="5">
        <v>17243.440968229323</v>
      </c>
      <c r="M2864" s="5">
        <v>10142.860128720422</v>
      </c>
      <c r="N2864" s="5">
        <v>27833.630848857778</v>
      </c>
      <c r="O2864" s="5">
        <v>20721.57544042755</v>
      </c>
      <c r="P2864" s="5">
        <v>9811.9720599964548</v>
      </c>
      <c r="Q2864" s="5">
        <v>7349.2234634219121</v>
      </c>
      <c r="R2864" s="5">
        <v>72561.496699005787</v>
      </c>
    </row>
    <row r="2865" spans="9:18">
      <c r="I2865" s="4">
        <v>2850</v>
      </c>
      <c r="J2865" s="5">
        <v>14344.692898101612</v>
      </c>
      <c r="K2865" s="5">
        <v>11558.357574452555</v>
      </c>
      <c r="L2865" s="5">
        <v>16777.996633299583</v>
      </c>
      <c r="M2865" s="5">
        <v>22815.60259636537</v>
      </c>
      <c r="N2865" s="5">
        <v>15130.853682762778</v>
      </c>
      <c r="O2865" s="5">
        <v>53028.643350899503</v>
      </c>
      <c r="P2865" s="5">
        <v>6275.8915673055426</v>
      </c>
      <c r="Q2865" s="5">
        <v>56069.347629295014</v>
      </c>
      <c r="R2865" s="5">
        <v>17304.847214362417</v>
      </c>
    </row>
    <row r="2866" spans="9:18">
      <c r="I2866" s="4">
        <v>2851</v>
      </c>
      <c r="J2866" s="5">
        <v>19467.17453557903</v>
      </c>
      <c r="K2866" s="5">
        <v>15631.937142257386</v>
      </c>
      <c r="L2866" s="5">
        <v>14344.859750762502</v>
      </c>
      <c r="M2866" s="5">
        <v>14217.48832834715</v>
      </c>
      <c r="N2866" s="5">
        <v>23998.040874392525</v>
      </c>
      <c r="O2866" s="5">
        <v>30656.031716467984</v>
      </c>
      <c r="P2866" s="5">
        <v>22708.601480587709</v>
      </c>
      <c r="Q2866" s="5">
        <v>96632.959478514502</v>
      </c>
      <c r="R2866" s="5">
        <v>33290.909836056817</v>
      </c>
    </row>
    <row r="2867" spans="9:18">
      <c r="I2867" s="4">
        <v>2852</v>
      </c>
      <c r="J2867" s="5">
        <v>28085.9245102444</v>
      </c>
      <c r="K2867" s="5">
        <v>13331.01856102917</v>
      </c>
      <c r="L2867" s="5">
        <v>24256.352541181568</v>
      </c>
      <c r="M2867" s="5">
        <v>9623.0342442006167</v>
      </c>
      <c r="N2867" s="5">
        <v>27833.630848857778</v>
      </c>
      <c r="O2867" s="5">
        <v>14371.728352806511</v>
      </c>
      <c r="P2867" s="5">
        <v>17974.179326980211</v>
      </c>
      <c r="Q2867" s="5">
        <v>17234.335939857254</v>
      </c>
      <c r="R2867" s="5">
        <v>302760.11878714536</v>
      </c>
    </row>
    <row r="2868" spans="9:18">
      <c r="I2868" s="4">
        <v>2853</v>
      </c>
      <c r="J2868" s="5">
        <v>14076.209333698853</v>
      </c>
      <c r="K2868" s="5">
        <v>14017.262946034314</v>
      </c>
      <c r="L2868" s="5">
        <v>10896.494237357269</v>
      </c>
      <c r="M2868" s="5">
        <v>22326.253555179093</v>
      </c>
      <c r="N2868" s="5">
        <v>24020.875410266352</v>
      </c>
      <c r="O2868" s="5">
        <v>24258.192244316608</v>
      </c>
      <c r="P2868" s="5">
        <v>16072.735485912413</v>
      </c>
      <c r="Q2868" s="5">
        <v>22483.395143121877</v>
      </c>
      <c r="R2868" s="5">
        <v>19133.693426869788</v>
      </c>
    </row>
    <row r="2869" spans="9:18">
      <c r="I2869" s="4">
        <v>2854</v>
      </c>
      <c r="J2869" s="5">
        <v>15786.811016780619</v>
      </c>
      <c r="K2869" s="5">
        <v>20887.307279900142</v>
      </c>
      <c r="L2869" s="5">
        <v>14316.474075738101</v>
      </c>
      <c r="M2869" s="5">
        <v>10111.451009425113</v>
      </c>
      <c r="N2869" s="5">
        <v>48565.498233359976</v>
      </c>
      <c r="O2869" s="5">
        <v>66253.993323243907</v>
      </c>
      <c r="P2869" s="5">
        <v>35569.894390728325</v>
      </c>
      <c r="Q2869" s="5">
        <v>22483.395143121877</v>
      </c>
      <c r="R2869" s="5">
        <v>123773.40402252052</v>
      </c>
    </row>
    <row r="2870" spans="9:18">
      <c r="I2870" s="4">
        <v>2855</v>
      </c>
      <c r="J2870" s="5">
        <v>49463.324094345015</v>
      </c>
      <c r="K2870" s="5">
        <v>9769.3659785458403</v>
      </c>
      <c r="L2870" s="5">
        <v>17482.478480142941</v>
      </c>
      <c r="M2870" s="5">
        <v>23913.435663027711</v>
      </c>
      <c r="N2870" s="5">
        <v>39406.658185292261</v>
      </c>
      <c r="O2870" s="5">
        <v>30876.675913171162</v>
      </c>
      <c r="P2870" s="5">
        <v>3831.1492650071077</v>
      </c>
      <c r="Q2870" s="5">
        <v>96632.959478514502</v>
      </c>
      <c r="R2870" s="5">
        <v>3311.4906988006405</v>
      </c>
    </row>
    <row r="2871" spans="9:18">
      <c r="I2871" s="4">
        <v>2856</v>
      </c>
      <c r="J2871" s="5">
        <v>15623.733864199699</v>
      </c>
      <c r="K2871" s="5">
        <v>16605.655749562578</v>
      </c>
      <c r="L2871" s="5">
        <v>17311.244744664215</v>
      </c>
      <c r="M2871" s="5">
        <v>23515.935489506261</v>
      </c>
      <c r="N2871" s="5">
        <v>37309.151967087455</v>
      </c>
      <c r="O2871" s="5">
        <v>13613.378495715853</v>
      </c>
      <c r="P2871" s="5">
        <v>9826.8369575407578</v>
      </c>
      <c r="Q2871" s="5">
        <v>59964.86015574776</v>
      </c>
      <c r="R2871" s="5">
        <v>123773.40402252052</v>
      </c>
    </row>
    <row r="2872" spans="9:18">
      <c r="I2872" s="4">
        <v>2857</v>
      </c>
      <c r="J2872" s="5">
        <v>27392.038553726634</v>
      </c>
      <c r="K2872" s="5">
        <v>17128.860847126922</v>
      </c>
      <c r="L2872" s="5">
        <v>16472.138192556791</v>
      </c>
      <c r="M2872" s="5">
        <v>21913.431401527439</v>
      </c>
      <c r="N2872" s="5">
        <v>27833.630848857778</v>
      </c>
      <c r="O2872" s="5">
        <v>8121.6248378263163</v>
      </c>
      <c r="P2872" s="5">
        <v>9811.9720599964548</v>
      </c>
      <c r="Q2872" s="5">
        <v>19541.409060825732</v>
      </c>
      <c r="R2872" s="5">
        <v>12130.167062525341</v>
      </c>
    </row>
    <row r="2873" spans="9:18">
      <c r="I2873" s="4">
        <v>2858</v>
      </c>
      <c r="J2873" s="5">
        <v>16511.332839561353</v>
      </c>
      <c r="K2873" s="5">
        <v>19467.955014411935</v>
      </c>
      <c r="L2873" s="5">
        <v>29265.217478369766</v>
      </c>
      <c r="M2873" s="5">
        <v>21712.71007234112</v>
      </c>
      <c r="N2873" s="5">
        <v>28426.778914975595</v>
      </c>
      <c r="O2873" s="5">
        <v>16462.170789592048</v>
      </c>
      <c r="P2873" s="5">
        <v>22708.601480587709</v>
      </c>
      <c r="Q2873" s="5">
        <v>73941.636731325911</v>
      </c>
      <c r="R2873" s="5">
        <v>1535.701520095213</v>
      </c>
    </row>
    <row r="2874" spans="9:18">
      <c r="I2874" s="4">
        <v>2859</v>
      </c>
      <c r="J2874" s="5">
        <v>31053.540961463306</v>
      </c>
      <c r="K2874" s="5">
        <v>16952.949313901812</v>
      </c>
      <c r="L2874" s="5">
        <v>16017.890956041876</v>
      </c>
      <c r="M2874" s="5">
        <v>13616.35938654862</v>
      </c>
      <c r="N2874" s="5">
        <v>20292.069765667391</v>
      </c>
      <c r="O2874" s="5">
        <v>27508.313315384185</v>
      </c>
      <c r="P2874" s="5">
        <v>10180.109839011631</v>
      </c>
      <c r="Q2874" s="5">
        <v>7349.2234634219121</v>
      </c>
      <c r="R2874" s="5">
        <v>216919.53009911609</v>
      </c>
    </row>
    <row r="2875" spans="9:18">
      <c r="I2875" s="4">
        <v>2860</v>
      </c>
      <c r="J2875" s="5">
        <v>15064.079707240266</v>
      </c>
      <c r="K2875" s="5">
        <v>61827.107730316675</v>
      </c>
      <c r="L2875" s="5">
        <v>25389.332759288587</v>
      </c>
      <c r="M2875" s="5">
        <v>14217.48832834715</v>
      </c>
      <c r="N2875" s="5">
        <v>23998.040874392525</v>
      </c>
      <c r="O2875" s="5">
        <v>77417.02098927302</v>
      </c>
      <c r="P2875" s="5">
        <v>27708.613526855763</v>
      </c>
      <c r="Q2875" s="5">
        <v>9652.8114206999071</v>
      </c>
      <c r="R2875" s="5">
        <v>72640.340924600489</v>
      </c>
    </row>
    <row r="2876" spans="9:18">
      <c r="I2876" s="4">
        <v>2861</v>
      </c>
      <c r="J2876" s="5">
        <v>16088.430030489333</v>
      </c>
      <c r="K2876" s="5">
        <v>16952.949313901812</v>
      </c>
      <c r="L2876" s="5">
        <v>27289.607394458035</v>
      </c>
      <c r="M2876" s="5">
        <v>29834.240613550006</v>
      </c>
      <c r="N2876" s="5">
        <v>45581.602064432409</v>
      </c>
      <c r="O2876" s="5">
        <v>5444.7598502623823</v>
      </c>
      <c r="P2876" s="5">
        <v>3831.1492650071077</v>
      </c>
      <c r="Q2876" s="5">
        <v>2356.8990887111336</v>
      </c>
      <c r="R2876" s="5">
        <v>39727.513802035661</v>
      </c>
    </row>
    <row r="2877" spans="9:18">
      <c r="I2877" s="4">
        <v>2862</v>
      </c>
      <c r="J2877" s="5">
        <v>16733.020222212988</v>
      </c>
      <c r="K2877" s="5">
        <v>16873.752266014431</v>
      </c>
      <c r="L2877" s="5">
        <v>10752.183901283248</v>
      </c>
      <c r="M2877" s="5">
        <v>10142.860128720422</v>
      </c>
      <c r="N2877" s="5">
        <v>39672.376281023731</v>
      </c>
      <c r="O2877" s="5">
        <v>20827.029306810669</v>
      </c>
      <c r="P2877" s="5">
        <v>28537.545734403488</v>
      </c>
      <c r="Q2877" s="5">
        <v>21421.044775857536</v>
      </c>
      <c r="R2877" s="5">
        <v>114016.93673542379</v>
      </c>
    </row>
    <row r="2878" spans="9:18">
      <c r="I2878" s="4">
        <v>2863</v>
      </c>
      <c r="J2878" s="5">
        <v>16416.142496463777</v>
      </c>
      <c r="K2878" s="5">
        <v>16665.1498926479</v>
      </c>
      <c r="L2878" s="5">
        <v>15832.5469007027</v>
      </c>
      <c r="M2878" s="5">
        <v>12426.949970383979</v>
      </c>
      <c r="N2878" s="5">
        <v>24853.247795632611</v>
      </c>
      <c r="O2878" s="5">
        <v>13550.031670770122</v>
      </c>
      <c r="P2878" s="5">
        <v>83536.241167211992</v>
      </c>
      <c r="Q2878" s="5">
        <v>53055.59182561023</v>
      </c>
      <c r="R2878" s="5">
        <v>8046.7106309763258</v>
      </c>
    </row>
    <row r="2879" spans="9:18">
      <c r="I2879" s="4">
        <v>2864</v>
      </c>
      <c r="J2879" s="5">
        <v>7855.2948890116513</v>
      </c>
      <c r="K2879" s="5">
        <v>9739.7813029644258</v>
      </c>
      <c r="L2879" s="5">
        <v>13037.115556745504</v>
      </c>
      <c r="M2879" s="5">
        <v>15346.383801976139</v>
      </c>
      <c r="N2879" s="5">
        <v>23043.345403059295</v>
      </c>
      <c r="O2879" s="5">
        <v>13966.178986479143</v>
      </c>
      <c r="P2879" s="5">
        <v>13452.921824087563</v>
      </c>
      <c r="Q2879" s="5">
        <v>31902.904306425251</v>
      </c>
      <c r="R2879" s="5">
        <v>38898.713625068609</v>
      </c>
    </row>
    <row r="2880" spans="9:18">
      <c r="I2880" s="4">
        <v>2865</v>
      </c>
      <c r="J2880" s="5">
        <v>16733.020222212988</v>
      </c>
      <c r="K2880" s="5">
        <v>19467.955014411935</v>
      </c>
      <c r="L2880" s="5">
        <v>16577.562442697115</v>
      </c>
      <c r="M2880" s="5">
        <v>14217.48832834715</v>
      </c>
      <c r="N2880" s="5">
        <v>15658.063692994532</v>
      </c>
      <c r="O2880" s="5">
        <v>16826.763259351828</v>
      </c>
      <c r="P2880" s="5">
        <v>55119.366528283317</v>
      </c>
      <c r="Q2880" s="5">
        <v>29432.473148002948</v>
      </c>
      <c r="R2880" s="5">
        <v>7784.2246210242874</v>
      </c>
    </row>
    <row r="2881" spans="9:18">
      <c r="I2881" s="4">
        <v>2866</v>
      </c>
      <c r="J2881" s="5">
        <v>20768.286261788198</v>
      </c>
      <c r="K2881" s="5">
        <v>19467.955014411935</v>
      </c>
      <c r="L2881" s="5">
        <v>22319.409576580376</v>
      </c>
      <c r="M2881" s="5">
        <v>23454.775510296178</v>
      </c>
      <c r="N2881" s="5">
        <v>11635.644856128632</v>
      </c>
      <c r="O2881" s="5">
        <v>19430.912633256889</v>
      </c>
      <c r="P2881" s="5">
        <v>27820.721938889761</v>
      </c>
      <c r="Q2881" s="5">
        <v>9645.8788061228515</v>
      </c>
      <c r="R2881" s="5">
        <v>3433.6677391851467</v>
      </c>
    </row>
    <row r="2882" spans="9:18">
      <c r="I2882" s="4">
        <v>2867</v>
      </c>
      <c r="J2882" s="5">
        <v>28085.9245102444</v>
      </c>
      <c r="K2882" s="5">
        <v>20887.307279900142</v>
      </c>
      <c r="L2882" s="5">
        <v>17845.207337527903</v>
      </c>
      <c r="M2882" s="5">
        <v>20788.503422877813</v>
      </c>
      <c r="N2882" s="5">
        <v>9989.086510768735</v>
      </c>
      <c r="O2882" s="5">
        <v>51330.340277512776</v>
      </c>
      <c r="P2882" s="5">
        <v>35213.322626437533</v>
      </c>
      <c r="Q2882" s="5">
        <v>44911.749632594299</v>
      </c>
      <c r="R2882" s="5">
        <v>122304.95880137496</v>
      </c>
    </row>
    <row r="2883" spans="9:18">
      <c r="I2883" s="4">
        <v>2868</v>
      </c>
      <c r="J2883" s="5">
        <v>9405.362381917912</v>
      </c>
      <c r="K2883" s="5">
        <v>21218.439146892688</v>
      </c>
      <c r="L2883" s="5">
        <v>19359.475411188432</v>
      </c>
      <c r="M2883" s="5">
        <v>21913.431401527439</v>
      </c>
      <c r="N2883" s="5">
        <v>11251.634703629026</v>
      </c>
      <c r="O2883" s="5">
        <v>13117.417685535194</v>
      </c>
      <c r="P2883" s="5">
        <v>17737.38315098183</v>
      </c>
      <c r="Q2883" s="5">
        <v>92068.726035424203</v>
      </c>
      <c r="R2883" s="5">
        <v>10885.018205103002</v>
      </c>
    </row>
    <row r="2884" spans="9:18">
      <c r="I2884" s="4">
        <v>2869</v>
      </c>
      <c r="J2884" s="5">
        <v>31053.540961463306</v>
      </c>
      <c r="K2884" s="5">
        <v>14878.52734402675</v>
      </c>
      <c r="L2884" s="5">
        <v>13037.115556745504</v>
      </c>
      <c r="M2884" s="5">
        <v>14660.631931099009</v>
      </c>
      <c r="N2884" s="5">
        <v>23998.040874392525</v>
      </c>
      <c r="O2884" s="5">
        <v>24258.192244316608</v>
      </c>
      <c r="P2884" s="5">
        <v>26541.896041444568</v>
      </c>
      <c r="Q2884" s="5">
        <v>22145.301831504508</v>
      </c>
      <c r="R2884" s="5">
        <v>62674.060343500474</v>
      </c>
    </row>
    <row r="2885" spans="9:18">
      <c r="I2885" s="4">
        <v>2870</v>
      </c>
      <c r="J2885" s="5">
        <v>11936.262457073821</v>
      </c>
      <c r="K2885" s="5">
        <v>13559.080695844099</v>
      </c>
      <c r="L2885" s="5">
        <v>15832.5469007027</v>
      </c>
      <c r="M2885" s="5">
        <v>18043.539897080744</v>
      </c>
      <c r="N2885" s="5">
        <v>46248.895746171031</v>
      </c>
      <c r="O2885" s="5">
        <v>24422.445067017139</v>
      </c>
      <c r="P2885" s="5">
        <v>25258.981945036445</v>
      </c>
      <c r="Q2885" s="5">
        <v>42044.890065817184</v>
      </c>
      <c r="R2885" s="5">
        <v>41056.152565483346</v>
      </c>
    </row>
    <row r="2886" spans="9:18">
      <c r="I2886" s="4">
        <v>2871</v>
      </c>
      <c r="J2886" s="5">
        <v>13841.207384998772</v>
      </c>
      <c r="K2886" s="5">
        <v>14611.618478071941</v>
      </c>
      <c r="L2886" s="5">
        <v>14042.41908879921</v>
      </c>
      <c r="M2886" s="5">
        <v>20041.623430301417</v>
      </c>
      <c r="N2886" s="5">
        <v>48565.498233359976</v>
      </c>
      <c r="O2886" s="5">
        <v>49114.195066822271</v>
      </c>
      <c r="P2886" s="5">
        <v>14376.883105731285</v>
      </c>
      <c r="Q2886" s="5">
        <v>31019.493883163672</v>
      </c>
      <c r="R2886" s="5">
        <v>55106.806585409526</v>
      </c>
    </row>
    <row r="2887" spans="9:18">
      <c r="I2887" s="4">
        <v>2872</v>
      </c>
      <c r="J2887" s="5">
        <v>26634.853073396614</v>
      </c>
      <c r="K2887" s="5">
        <v>7753.2116148734594</v>
      </c>
      <c r="L2887" s="5">
        <v>17482.478480142941</v>
      </c>
      <c r="M2887" s="5">
        <v>31472.019071027709</v>
      </c>
      <c r="N2887" s="5">
        <v>12297.015342318469</v>
      </c>
      <c r="O2887" s="5">
        <v>9956.4031238965053</v>
      </c>
      <c r="P2887" s="5">
        <v>55152.110177667731</v>
      </c>
      <c r="Q2887" s="5">
        <v>8832.660767995616</v>
      </c>
      <c r="R2887" s="5">
        <v>16039.216896723072</v>
      </c>
    </row>
    <row r="2888" spans="9:18">
      <c r="I2888" s="4">
        <v>2873</v>
      </c>
      <c r="J2888" s="5">
        <v>16710.807721801892</v>
      </c>
      <c r="K2888" s="5">
        <v>21218.439146892688</v>
      </c>
      <c r="L2888" s="5">
        <v>16472.138192556791</v>
      </c>
      <c r="M2888" s="5">
        <v>17116.951435661951</v>
      </c>
      <c r="N2888" s="5">
        <v>11952.903761138405</v>
      </c>
      <c r="O2888" s="5">
        <v>35286.662852302201</v>
      </c>
      <c r="P2888" s="5">
        <v>3831.1492650071077</v>
      </c>
      <c r="Q2888" s="5">
        <v>2356.8990887111336</v>
      </c>
      <c r="R2888" s="5">
        <v>23583.884732956092</v>
      </c>
    </row>
    <row r="2889" spans="9:18">
      <c r="I2889" s="4">
        <v>2874</v>
      </c>
      <c r="J2889" s="5">
        <v>15064.079707240266</v>
      </c>
      <c r="K2889" s="5">
        <v>11403.533194020869</v>
      </c>
      <c r="L2889" s="5">
        <v>15300.182042823812</v>
      </c>
      <c r="M2889" s="5">
        <v>20550.782384061673</v>
      </c>
      <c r="N2889" s="5">
        <v>11788.341482962171</v>
      </c>
      <c r="O2889" s="5">
        <v>28431.436490368542</v>
      </c>
      <c r="P2889" s="5">
        <v>95486.196907583406</v>
      </c>
      <c r="Q2889" s="5">
        <v>30266.563414010914</v>
      </c>
      <c r="R2889" s="5">
        <v>46004.399892616471</v>
      </c>
    </row>
    <row r="2890" spans="9:18">
      <c r="I2890" s="4">
        <v>2875</v>
      </c>
      <c r="J2890" s="5">
        <v>22812.564910649318</v>
      </c>
      <c r="K2890" s="5">
        <v>30552.499930043898</v>
      </c>
      <c r="L2890" s="5">
        <v>16616.161224349555</v>
      </c>
      <c r="M2890" s="5">
        <v>23067.94260629595</v>
      </c>
      <c r="N2890" s="5">
        <v>23746.795665493762</v>
      </c>
      <c r="O2890" s="5">
        <v>4231.3144655921506</v>
      </c>
      <c r="P2890" s="5">
        <v>21813.848941464526</v>
      </c>
      <c r="Q2890" s="5">
        <v>116445.46783345108</v>
      </c>
      <c r="R2890" s="5">
        <v>50287.76786557267</v>
      </c>
    </row>
    <row r="2891" spans="9:18">
      <c r="I2891" s="4">
        <v>2876</v>
      </c>
      <c r="J2891" s="5">
        <v>45301.532027110363</v>
      </c>
      <c r="K2891" s="5">
        <v>14587.813833513306</v>
      </c>
      <c r="L2891" s="5">
        <v>17128.574519497746</v>
      </c>
      <c r="M2891" s="5">
        <v>19151.339770278159</v>
      </c>
      <c r="N2891" s="5">
        <v>15786.177386596903</v>
      </c>
      <c r="O2891" s="5">
        <v>9708.4497800977806</v>
      </c>
      <c r="P2891" s="5">
        <v>54100.778483493887</v>
      </c>
      <c r="Q2891" s="5">
        <v>28078.365156847896</v>
      </c>
      <c r="R2891" s="5">
        <v>65420.116221752483</v>
      </c>
    </row>
    <row r="2892" spans="9:18">
      <c r="I2892" s="4">
        <v>2877</v>
      </c>
      <c r="J2892" s="5">
        <v>16156.372629961115</v>
      </c>
      <c r="K2892" s="5">
        <v>61827.107730316675</v>
      </c>
      <c r="L2892" s="5">
        <v>21725.131459372977</v>
      </c>
      <c r="M2892" s="5">
        <v>29058.117767351498</v>
      </c>
      <c r="N2892" s="5">
        <v>39406.658185292261</v>
      </c>
      <c r="O2892" s="5">
        <v>8121.6248378263163</v>
      </c>
      <c r="P2892" s="5">
        <v>20403.656304140692</v>
      </c>
      <c r="Q2892" s="5">
        <v>37802.358878968138</v>
      </c>
      <c r="R2892" s="5">
        <v>14079.827908007112</v>
      </c>
    </row>
    <row r="2893" spans="9:18">
      <c r="I2893" s="4">
        <v>2878</v>
      </c>
      <c r="J2893" s="5">
        <v>29760.443016608337</v>
      </c>
      <c r="K2893" s="5">
        <v>32073.547537933715</v>
      </c>
      <c r="L2893" s="5">
        <v>13023.361770761438</v>
      </c>
      <c r="M2893" s="5">
        <v>10451.914120098167</v>
      </c>
      <c r="N2893" s="5">
        <v>16581.915858379376</v>
      </c>
      <c r="O2893" s="5">
        <v>45451.954570113048</v>
      </c>
      <c r="P2893" s="5">
        <v>14316.965520592317</v>
      </c>
      <c r="Q2893" s="5">
        <v>15623.622662102793</v>
      </c>
      <c r="R2893" s="5">
        <v>7952.6989268572033</v>
      </c>
    </row>
    <row r="2894" spans="9:18">
      <c r="I2894" s="4">
        <v>2879</v>
      </c>
      <c r="J2894" s="5">
        <v>14076.209333698853</v>
      </c>
      <c r="K2894" s="5">
        <v>15428.770955406064</v>
      </c>
      <c r="L2894" s="5">
        <v>17920.486090689363</v>
      </c>
      <c r="M2894" s="5">
        <v>21913.431401527439</v>
      </c>
      <c r="N2894" s="5">
        <v>37309.151967087455</v>
      </c>
      <c r="O2894" s="5">
        <v>13966.178986479143</v>
      </c>
      <c r="P2894" s="5">
        <v>95486.196907583406</v>
      </c>
      <c r="Q2894" s="5">
        <v>22895.455950885695</v>
      </c>
      <c r="R2894" s="5">
        <v>16039.216896723072</v>
      </c>
    </row>
    <row r="2895" spans="9:18">
      <c r="I2895" s="4">
        <v>2880</v>
      </c>
      <c r="J2895" s="5">
        <v>15417.870921574262</v>
      </c>
      <c r="K2895" s="5">
        <v>16674.541027260992</v>
      </c>
      <c r="L2895" s="5">
        <v>15759.954187048656</v>
      </c>
      <c r="M2895" s="5">
        <v>36301.422888051464</v>
      </c>
      <c r="N2895" s="5">
        <v>46248.895746171031</v>
      </c>
      <c r="O2895" s="5">
        <v>9320.7026593487881</v>
      </c>
      <c r="P2895" s="5">
        <v>9482.0186426688688</v>
      </c>
      <c r="Q2895" s="5">
        <v>28567.61306643406</v>
      </c>
      <c r="R2895" s="5">
        <v>26783.439354489365</v>
      </c>
    </row>
    <row r="2896" spans="9:18">
      <c r="I2896" s="4">
        <v>2881</v>
      </c>
      <c r="J2896" s="5">
        <v>19048.674633640545</v>
      </c>
      <c r="K2896" s="5">
        <v>34058.671324159091</v>
      </c>
      <c r="L2896" s="5">
        <v>16472.138192556791</v>
      </c>
      <c r="M2896" s="5">
        <v>19433.64679949253</v>
      </c>
      <c r="N2896" s="5">
        <v>12523.573732460784</v>
      </c>
      <c r="O2896" s="5">
        <v>26268.613803794757</v>
      </c>
      <c r="P2896" s="5">
        <v>106091.28270624072</v>
      </c>
      <c r="Q2896" s="5">
        <v>27789.973552634947</v>
      </c>
      <c r="R2896" s="5">
        <v>7394.6358885760465</v>
      </c>
    </row>
    <row r="2897" spans="9:18">
      <c r="I2897" s="4">
        <v>2882</v>
      </c>
      <c r="J2897" s="5">
        <v>16710.807721801892</v>
      </c>
      <c r="K2897" s="5">
        <v>11149.572204897504</v>
      </c>
      <c r="L2897" s="5">
        <v>18475.258050488967</v>
      </c>
      <c r="M2897" s="5">
        <v>41698.977215629871</v>
      </c>
      <c r="N2897" s="5">
        <v>9563.1256545330361</v>
      </c>
      <c r="O2897" s="5">
        <v>30876.675913171162</v>
      </c>
      <c r="P2897" s="5">
        <v>21813.848941464526</v>
      </c>
      <c r="Q2897" s="5">
        <v>16591.881190929333</v>
      </c>
      <c r="R2897" s="5">
        <v>76851.431017396084</v>
      </c>
    </row>
    <row r="2898" spans="9:18">
      <c r="I2898" s="4">
        <v>2883</v>
      </c>
      <c r="J2898" s="5">
        <v>33627.941293959229</v>
      </c>
      <c r="K2898" s="5">
        <v>34058.671324159091</v>
      </c>
      <c r="L2898" s="5">
        <v>22162.138529251199</v>
      </c>
      <c r="M2898" s="5">
        <v>23454.775510296178</v>
      </c>
      <c r="N2898" s="5">
        <v>23998.040874392525</v>
      </c>
      <c r="O2898" s="5">
        <v>41653.890350944224</v>
      </c>
      <c r="P2898" s="5">
        <v>48123.003747643132</v>
      </c>
      <c r="Q2898" s="5">
        <v>9652.8114206999071</v>
      </c>
      <c r="R2898" s="5">
        <v>3433.6677391851467</v>
      </c>
    </row>
    <row r="2899" spans="9:18">
      <c r="I2899" s="4">
        <v>2884</v>
      </c>
      <c r="J2899" s="5">
        <v>15648.665245032147</v>
      </c>
      <c r="K2899" s="5">
        <v>15347.101709242541</v>
      </c>
      <c r="L2899" s="5">
        <v>21725.131459372977</v>
      </c>
      <c r="M2899" s="5">
        <v>23067.94260629595</v>
      </c>
      <c r="N2899" s="5">
        <v>16418.492928415813</v>
      </c>
      <c r="O2899" s="5">
        <v>77417.02098927302</v>
      </c>
      <c r="P2899" s="5">
        <v>32167.874670939738</v>
      </c>
      <c r="Q2899" s="5">
        <v>31902.904306425251</v>
      </c>
      <c r="R2899" s="5">
        <v>13258.538726001538</v>
      </c>
    </row>
    <row r="2900" spans="9:18">
      <c r="I2900" s="4">
        <v>2885</v>
      </c>
      <c r="J2900" s="5">
        <v>16145.071869702888</v>
      </c>
      <c r="K2900" s="5">
        <v>16273.14570113692</v>
      </c>
      <c r="L2900" s="5">
        <v>17482.478480142941</v>
      </c>
      <c r="M2900" s="5">
        <v>18691.941789825862</v>
      </c>
      <c r="N2900" s="5">
        <v>8104.6265149430556</v>
      </c>
      <c r="O2900" s="5">
        <v>8121.6248378263163</v>
      </c>
      <c r="P2900" s="5">
        <v>16072.735485912413</v>
      </c>
      <c r="Q2900" s="5">
        <v>52545.991451361173</v>
      </c>
      <c r="R2900" s="5">
        <v>18720.450716365784</v>
      </c>
    </row>
    <row r="2901" spans="9:18">
      <c r="I2901" s="4">
        <v>2886</v>
      </c>
      <c r="J2901" s="5">
        <v>20768.286261788198</v>
      </c>
      <c r="K2901" s="5">
        <v>7753.2116148734594</v>
      </c>
      <c r="L2901" s="5">
        <v>13622.976145621742</v>
      </c>
      <c r="M2901" s="5">
        <v>12619.198742021435</v>
      </c>
      <c r="N2901" s="5">
        <v>27841.916587595573</v>
      </c>
      <c r="O2901" s="5">
        <v>53007.660727727191</v>
      </c>
      <c r="P2901" s="5">
        <v>41657.50350099193</v>
      </c>
      <c r="Q2901" s="5">
        <v>2356.8990887111336</v>
      </c>
      <c r="R2901" s="5">
        <v>19133.693426869788</v>
      </c>
    </row>
    <row r="2902" spans="9:18">
      <c r="I2902" s="4">
        <v>2887</v>
      </c>
      <c r="J2902" s="5">
        <v>12701.339251949787</v>
      </c>
      <c r="K2902" s="5">
        <v>8124.7965732661823</v>
      </c>
      <c r="L2902" s="5">
        <v>15664.99858445921</v>
      </c>
      <c r="M2902" s="5">
        <v>18177.175180585615</v>
      </c>
      <c r="N2902" s="5">
        <v>18367.429489032103</v>
      </c>
      <c r="O2902" s="5">
        <v>36759.655306288936</v>
      </c>
      <c r="P2902" s="5">
        <v>9482.0186426688688</v>
      </c>
      <c r="Q2902" s="5">
        <v>21421.044775857536</v>
      </c>
      <c r="R2902" s="5">
        <v>122304.95880137496</v>
      </c>
    </row>
    <row r="2903" spans="9:18">
      <c r="I2903" s="4">
        <v>2888</v>
      </c>
      <c r="J2903" s="5">
        <v>17592.832480262863</v>
      </c>
      <c r="K2903" s="5">
        <v>8124.7965732661823</v>
      </c>
      <c r="L2903" s="5">
        <v>19189.275558866306</v>
      </c>
      <c r="M2903" s="5">
        <v>26477.996319655329</v>
      </c>
      <c r="N2903" s="5">
        <v>8104.6265149430556</v>
      </c>
      <c r="O2903" s="5">
        <v>16572.483389649329</v>
      </c>
      <c r="P2903" s="5">
        <v>33715.790977629549</v>
      </c>
      <c r="Q2903" s="5">
        <v>18097.768262249352</v>
      </c>
      <c r="R2903" s="5">
        <v>18720.450716365784</v>
      </c>
    </row>
    <row r="2904" spans="9:18">
      <c r="I2904" s="4">
        <v>2889</v>
      </c>
      <c r="J2904" s="5">
        <v>27392.038553726634</v>
      </c>
      <c r="K2904" s="5">
        <v>24728.095385476983</v>
      </c>
      <c r="L2904" s="5">
        <v>21428.663623484812</v>
      </c>
      <c r="M2904" s="5">
        <v>20041.623430301417</v>
      </c>
      <c r="N2904" s="5">
        <v>8555.1229659096207</v>
      </c>
      <c r="O2904" s="5">
        <v>25644.588869829797</v>
      </c>
      <c r="P2904" s="5">
        <v>54100.778483493887</v>
      </c>
      <c r="Q2904" s="5">
        <v>31019.493883163672</v>
      </c>
      <c r="R2904" s="5">
        <v>6360.7905155660001</v>
      </c>
    </row>
    <row r="2905" spans="9:18">
      <c r="I2905" s="4">
        <v>2890</v>
      </c>
      <c r="J2905" s="5">
        <v>22812.564910649318</v>
      </c>
      <c r="K2905" s="5">
        <v>16132.555399908759</v>
      </c>
      <c r="L2905" s="5">
        <v>14796.875457021113</v>
      </c>
      <c r="M2905" s="5">
        <v>22961.931350882205</v>
      </c>
      <c r="N2905" s="5">
        <v>8104.6265149430556</v>
      </c>
      <c r="O2905" s="5">
        <v>5444.7598502623823</v>
      </c>
      <c r="P2905" s="5">
        <v>26541.896041444568</v>
      </c>
      <c r="Q2905" s="5">
        <v>28776.080424849053</v>
      </c>
      <c r="R2905" s="5">
        <v>18230.645544621442</v>
      </c>
    </row>
    <row r="2906" spans="9:18">
      <c r="I2906" s="4">
        <v>2891</v>
      </c>
      <c r="J2906" s="5">
        <v>15623.733864199699</v>
      </c>
      <c r="K2906" s="5">
        <v>14497.035717129334</v>
      </c>
      <c r="L2906" s="5">
        <v>17482.478480142941</v>
      </c>
      <c r="M2906" s="5">
        <v>17349.963215818931</v>
      </c>
      <c r="N2906" s="5">
        <v>35826.921212852278</v>
      </c>
      <c r="O2906" s="5">
        <v>19430.912633256889</v>
      </c>
      <c r="P2906" s="5">
        <v>34814.458119125498</v>
      </c>
      <c r="Q2906" s="5">
        <v>31618.396253255491</v>
      </c>
      <c r="R2906" s="5">
        <v>1535.701520095213</v>
      </c>
    </row>
    <row r="2907" spans="9:18">
      <c r="I2907" s="4">
        <v>2892</v>
      </c>
      <c r="J2907" s="5">
        <v>16416.142496463777</v>
      </c>
      <c r="K2907" s="5">
        <v>17003.901855709089</v>
      </c>
      <c r="L2907" s="5">
        <v>21954.536591034263</v>
      </c>
      <c r="M2907" s="5">
        <v>18816.787977140237</v>
      </c>
      <c r="N2907" s="5">
        <v>16418.492928415813</v>
      </c>
      <c r="O2907" s="5">
        <v>24258.192244316608</v>
      </c>
      <c r="P2907" s="5">
        <v>44646.134934589521</v>
      </c>
      <c r="Q2907" s="5">
        <v>17234.335939857254</v>
      </c>
      <c r="R2907" s="5">
        <v>6681.1887184356683</v>
      </c>
    </row>
    <row r="2908" spans="9:18">
      <c r="I2908" s="4">
        <v>2893</v>
      </c>
      <c r="J2908" s="5">
        <v>14960.076233580705</v>
      </c>
      <c r="K2908" s="5">
        <v>14674.169276244838</v>
      </c>
      <c r="L2908" s="5">
        <v>22162.138529251199</v>
      </c>
      <c r="M2908" s="5">
        <v>13065.820809359835</v>
      </c>
      <c r="N2908" s="5">
        <v>23043.345403059295</v>
      </c>
      <c r="O2908" s="5">
        <v>26268.613803794757</v>
      </c>
      <c r="P2908" s="5">
        <v>16574.429708560569</v>
      </c>
      <c r="Q2908" s="5">
        <v>53055.59182561023</v>
      </c>
      <c r="R2908" s="5">
        <v>54594.567438884274</v>
      </c>
    </row>
    <row r="2909" spans="9:18">
      <c r="I2909" s="4">
        <v>2894</v>
      </c>
      <c r="J2909" s="5">
        <v>15623.733864199699</v>
      </c>
      <c r="K2909" s="5">
        <v>17003.901855709089</v>
      </c>
      <c r="L2909" s="5">
        <v>17073.17760523731</v>
      </c>
      <c r="M2909" s="5">
        <v>17349.963215818931</v>
      </c>
      <c r="N2909" s="5">
        <v>22010.718648995869</v>
      </c>
      <c r="O2909" s="5">
        <v>33720.545907536376</v>
      </c>
      <c r="P2909" s="5">
        <v>12639.596794453437</v>
      </c>
      <c r="Q2909" s="5">
        <v>116445.46783345108</v>
      </c>
      <c r="R2909" s="5">
        <v>14051.647494499957</v>
      </c>
    </row>
    <row r="2910" spans="9:18">
      <c r="I2910" s="4">
        <v>2895</v>
      </c>
      <c r="J2910" s="5">
        <v>16305.770155972396</v>
      </c>
      <c r="K2910" s="5">
        <v>26110.948843472826</v>
      </c>
      <c r="L2910" s="5">
        <v>16777.996633299583</v>
      </c>
      <c r="M2910" s="5">
        <v>17542.15972125496</v>
      </c>
      <c r="N2910" s="5">
        <v>23008.246229813707</v>
      </c>
      <c r="O2910" s="5">
        <v>27508.313315384185</v>
      </c>
      <c r="P2910" s="5">
        <v>40377.463755170742</v>
      </c>
      <c r="Q2910" s="5">
        <v>14064.158297039334</v>
      </c>
      <c r="R2910" s="5">
        <v>261393.32711858812</v>
      </c>
    </row>
    <row r="2911" spans="9:18">
      <c r="I2911" s="4">
        <v>2896</v>
      </c>
      <c r="J2911" s="5">
        <v>21888.821432026474</v>
      </c>
      <c r="K2911" s="5">
        <v>7753.2116148734594</v>
      </c>
      <c r="L2911" s="5">
        <v>16472.138192556791</v>
      </c>
      <c r="M2911" s="5">
        <v>13616.35938654862</v>
      </c>
      <c r="N2911" s="5">
        <v>48565.498233359976</v>
      </c>
      <c r="O2911" s="5">
        <v>10746.295275180995</v>
      </c>
      <c r="P2911" s="5">
        <v>8662.4232458952465</v>
      </c>
      <c r="Q2911" s="5">
        <v>20883.852062640355</v>
      </c>
      <c r="R2911" s="5">
        <v>39263.770877572199</v>
      </c>
    </row>
    <row r="2912" spans="9:18">
      <c r="I2912" s="4">
        <v>2897</v>
      </c>
      <c r="J2912" s="5">
        <v>14420.293087375476</v>
      </c>
      <c r="K2912" s="5">
        <v>34058.671324159091</v>
      </c>
      <c r="L2912" s="5">
        <v>17311.244744664215</v>
      </c>
      <c r="M2912" s="5">
        <v>20229.919588372999</v>
      </c>
      <c r="N2912" s="5">
        <v>14921.795973817481</v>
      </c>
      <c r="O2912" s="5">
        <v>13966.178986479143</v>
      </c>
      <c r="P2912" s="5">
        <v>10532.667493814919</v>
      </c>
      <c r="Q2912" s="5">
        <v>6386.5227360487288</v>
      </c>
      <c r="R2912" s="5">
        <v>17304.847214362417</v>
      </c>
    </row>
    <row r="2913" spans="9:18">
      <c r="I2913" s="4">
        <v>2898</v>
      </c>
      <c r="J2913" s="5">
        <v>16305.770155972396</v>
      </c>
      <c r="K2913" s="5">
        <v>14095.75230105142</v>
      </c>
      <c r="L2913" s="5">
        <v>14042.41908879921</v>
      </c>
      <c r="M2913" s="5">
        <v>10451.914120098167</v>
      </c>
      <c r="N2913" s="5">
        <v>27841.916587595573</v>
      </c>
      <c r="O2913" s="5">
        <v>30608.431994348266</v>
      </c>
      <c r="P2913" s="5">
        <v>29283.825979394511</v>
      </c>
      <c r="Q2913" s="5">
        <v>29432.473148002948</v>
      </c>
      <c r="R2913" s="5">
        <v>12194.45251033065</v>
      </c>
    </row>
    <row r="2914" spans="9:18">
      <c r="I2914" s="4">
        <v>2899</v>
      </c>
      <c r="J2914" s="5">
        <v>22188.291830993156</v>
      </c>
      <c r="K2914" s="5">
        <v>14017.262946034314</v>
      </c>
      <c r="L2914" s="5">
        <v>18379.634651549037</v>
      </c>
      <c r="M2914" s="5">
        <v>15586.009710351766</v>
      </c>
      <c r="N2914" s="5">
        <v>23583.581287126868</v>
      </c>
      <c r="O2914" s="5">
        <v>77417.02098927302</v>
      </c>
      <c r="P2914" s="5">
        <v>34814.458119125498</v>
      </c>
      <c r="Q2914" s="5">
        <v>43417.41805414496</v>
      </c>
      <c r="R2914" s="5">
        <v>91403.228438796665</v>
      </c>
    </row>
    <row r="2915" spans="9:18">
      <c r="I2915" s="4">
        <v>2900</v>
      </c>
      <c r="J2915" s="5">
        <v>28214.771032351968</v>
      </c>
      <c r="K2915" s="5">
        <v>21527.93129974293</v>
      </c>
      <c r="L2915" s="5">
        <v>15487.970507365942</v>
      </c>
      <c r="M2915" s="5">
        <v>29041.83725675238</v>
      </c>
      <c r="N2915" s="5">
        <v>15658.063692994532</v>
      </c>
      <c r="O2915" s="5">
        <v>20930.098352661731</v>
      </c>
      <c r="P2915" s="5">
        <v>39054.462981000084</v>
      </c>
      <c r="Q2915" s="5">
        <v>9645.8788061228515</v>
      </c>
      <c r="R2915" s="5">
        <v>18349.337771428582</v>
      </c>
    </row>
    <row r="2916" spans="9:18">
      <c r="I2916" s="4">
        <v>2901</v>
      </c>
      <c r="J2916" s="5">
        <v>29760.443016608337</v>
      </c>
      <c r="K2916" s="5">
        <v>6949.5708823216592</v>
      </c>
      <c r="L2916" s="5">
        <v>16017.890956041876</v>
      </c>
      <c r="M2916" s="5">
        <v>17116.951435661951</v>
      </c>
      <c r="N2916" s="5">
        <v>12297.015342318469</v>
      </c>
      <c r="O2916" s="5">
        <v>49114.195066822271</v>
      </c>
      <c r="P2916" s="5">
        <v>95486.196907583406</v>
      </c>
      <c r="Q2916" s="5">
        <v>21421.044775857536</v>
      </c>
      <c r="R2916" s="5">
        <v>35232.418639121184</v>
      </c>
    </row>
    <row r="2917" spans="9:18">
      <c r="I2917" s="4">
        <v>2902</v>
      </c>
      <c r="J2917" s="5">
        <v>28169.050633834027</v>
      </c>
      <c r="K2917" s="5">
        <v>12423.491400404893</v>
      </c>
      <c r="L2917" s="5">
        <v>18810.091753970282</v>
      </c>
      <c r="M2917" s="5">
        <v>11680.747299075838</v>
      </c>
      <c r="N2917" s="5">
        <v>17811.114014514766</v>
      </c>
      <c r="O2917" s="5">
        <v>16505.600261180331</v>
      </c>
      <c r="P2917" s="5">
        <v>38771.994792132391</v>
      </c>
      <c r="Q2917" s="5">
        <v>9645.8788061228515</v>
      </c>
      <c r="R2917" s="5">
        <v>7879.038918914337</v>
      </c>
    </row>
    <row r="2918" spans="9:18">
      <c r="I2918" s="4">
        <v>2903</v>
      </c>
      <c r="J2918" s="5">
        <v>13391.049101507895</v>
      </c>
      <c r="K2918" s="5">
        <v>9739.7813029644258</v>
      </c>
      <c r="L2918" s="5">
        <v>15832.5469007027</v>
      </c>
      <c r="M2918" s="5">
        <v>13414.385151739983</v>
      </c>
      <c r="N2918" s="5">
        <v>35826.921212852278</v>
      </c>
      <c r="O2918" s="5">
        <v>41653.890350944224</v>
      </c>
      <c r="P2918" s="5">
        <v>8662.4232458952465</v>
      </c>
      <c r="Q2918" s="5">
        <v>31855.809428519857</v>
      </c>
      <c r="R2918" s="5">
        <v>18720.450716365784</v>
      </c>
    </row>
    <row r="2919" spans="9:18">
      <c r="I2919" s="4">
        <v>2904</v>
      </c>
      <c r="J2919" s="5">
        <v>28085.9245102444</v>
      </c>
      <c r="K2919" s="5">
        <v>18821.113178054162</v>
      </c>
      <c r="L2919" s="5">
        <v>24256.352541181568</v>
      </c>
      <c r="M2919" s="5">
        <v>19042.78605337895</v>
      </c>
      <c r="N2919" s="5">
        <v>63974.903847153939</v>
      </c>
      <c r="O2919" s="5">
        <v>5444.7598502623823</v>
      </c>
      <c r="P2919" s="5">
        <v>21813.848941464526</v>
      </c>
      <c r="Q2919" s="5">
        <v>43417.41805414496</v>
      </c>
      <c r="R2919" s="5">
        <v>38898.713625068609</v>
      </c>
    </row>
    <row r="2920" spans="9:18">
      <c r="I2920" s="4">
        <v>2905</v>
      </c>
      <c r="J2920" s="5">
        <v>14960.076233580705</v>
      </c>
      <c r="K2920" s="5">
        <v>16873.752266014431</v>
      </c>
      <c r="L2920" s="5">
        <v>15922.087958863045</v>
      </c>
      <c r="M2920" s="5">
        <v>7334.8610818348589</v>
      </c>
      <c r="N2920" s="5">
        <v>15251.140047572881</v>
      </c>
      <c r="O2920" s="5">
        <v>36759.655306288936</v>
      </c>
      <c r="P2920" s="5">
        <v>27708.613526855763</v>
      </c>
      <c r="Q2920" s="5">
        <v>31855.809428519857</v>
      </c>
      <c r="R2920" s="5">
        <v>33863.04333215439</v>
      </c>
    </row>
    <row r="2921" spans="9:18">
      <c r="I2921" s="4">
        <v>2906</v>
      </c>
      <c r="J2921" s="5">
        <v>16088.430030489333</v>
      </c>
      <c r="K2921" s="5">
        <v>56656.842992470461</v>
      </c>
      <c r="L2921" s="5">
        <v>19359.475411188432</v>
      </c>
      <c r="M2921" s="5">
        <v>21272.00214469912</v>
      </c>
      <c r="N2921" s="5">
        <v>17214.078970533748</v>
      </c>
      <c r="O2921" s="5">
        <v>15936.062371781712</v>
      </c>
      <c r="P2921" s="5">
        <v>18963.234565965948</v>
      </c>
      <c r="Q2921" s="5">
        <v>59964.86015574776</v>
      </c>
      <c r="R2921" s="5">
        <v>23583.884732956092</v>
      </c>
    </row>
    <row r="2922" spans="9:18">
      <c r="I2922" s="4">
        <v>2907</v>
      </c>
      <c r="J2922" s="5">
        <v>15130.594750069789</v>
      </c>
      <c r="K2922" s="5">
        <v>14136.873097602549</v>
      </c>
      <c r="L2922" s="5">
        <v>22162.138529251199</v>
      </c>
      <c r="M2922" s="5">
        <v>21833.004790208965</v>
      </c>
      <c r="N2922" s="5">
        <v>40377.252444397986</v>
      </c>
      <c r="O2922" s="5">
        <v>77417.02098927302</v>
      </c>
      <c r="P2922" s="5">
        <v>17643.087208586294</v>
      </c>
      <c r="Q2922" s="5">
        <v>31974.553851773013</v>
      </c>
      <c r="R2922" s="5">
        <v>18720.450716365784</v>
      </c>
    </row>
    <row r="2923" spans="9:18">
      <c r="I2923" s="4">
        <v>2908</v>
      </c>
      <c r="J2923" s="5">
        <v>15623.733864199699</v>
      </c>
      <c r="K2923" s="5">
        <v>11857.447519815871</v>
      </c>
      <c r="L2923" s="5">
        <v>27144.958215276103</v>
      </c>
      <c r="M2923" s="5">
        <v>21072.983263501868</v>
      </c>
      <c r="N2923" s="5">
        <v>26152.705108198839</v>
      </c>
      <c r="O2923" s="5">
        <v>94068.324736096256</v>
      </c>
      <c r="P2923" s="5">
        <v>10532.667493814919</v>
      </c>
      <c r="Q2923" s="5">
        <v>96632.959478514502</v>
      </c>
      <c r="R2923" s="5">
        <v>18230.645544621442</v>
      </c>
    </row>
    <row r="2924" spans="9:18">
      <c r="I2924" s="4">
        <v>2909</v>
      </c>
      <c r="J2924" s="5">
        <v>15081.728672246438</v>
      </c>
      <c r="K2924" s="5">
        <v>32073.547537933715</v>
      </c>
      <c r="L2924" s="5">
        <v>13417.453622029931</v>
      </c>
      <c r="M2924" s="5">
        <v>24981.974172352908</v>
      </c>
      <c r="N2924" s="5">
        <v>23043.345403059295</v>
      </c>
      <c r="O2924" s="5">
        <v>14371.728352806511</v>
      </c>
      <c r="P2924" s="5">
        <v>20403.656304140692</v>
      </c>
      <c r="Q2924" s="5">
        <v>11928.872068442162</v>
      </c>
      <c r="R2924" s="5">
        <v>12194.45251033065</v>
      </c>
    </row>
    <row r="2925" spans="9:18">
      <c r="I2925" s="4">
        <v>2910</v>
      </c>
      <c r="J2925" s="5">
        <v>9368.8270679249108</v>
      </c>
      <c r="K2925" s="5">
        <v>16081.362509465702</v>
      </c>
      <c r="L2925" s="5">
        <v>14649.721476864312</v>
      </c>
      <c r="M2925" s="5">
        <v>12934.591863415189</v>
      </c>
      <c r="N2925" s="5">
        <v>22735.120948269971</v>
      </c>
      <c r="O2925" s="5">
        <v>41800.463215706819</v>
      </c>
      <c r="P2925" s="5">
        <v>26126.807131356076</v>
      </c>
      <c r="Q2925" s="5">
        <v>30266.563414010914</v>
      </c>
      <c r="R2925" s="5">
        <v>51141.799458534304</v>
      </c>
    </row>
    <row r="2926" spans="9:18">
      <c r="I2926" s="4">
        <v>2911</v>
      </c>
      <c r="J2926" s="5">
        <v>12452.764985867625</v>
      </c>
      <c r="K2926" s="5">
        <v>15428.770955406064</v>
      </c>
      <c r="L2926" s="5">
        <v>16106.634875163341</v>
      </c>
      <c r="M2926" s="5">
        <v>23454.775510296178</v>
      </c>
      <c r="N2926" s="5">
        <v>8555.1229659096207</v>
      </c>
      <c r="O2926" s="5">
        <v>27195.510785031525</v>
      </c>
      <c r="P2926" s="5">
        <v>20391.123772341358</v>
      </c>
      <c r="Q2926" s="5">
        <v>20987.925664394581</v>
      </c>
      <c r="R2926" s="5">
        <v>31715.273557891396</v>
      </c>
    </row>
    <row r="2927" spans="9:18">
      <c r="I2927" s="4">
        <v>2912</v>
      </c>
      <c r="J2927" s="5">
        <v>15873.12561080002</v>
      </c>
      <c r="K2927" s="5">
        <v>16081.362509465702</v>
      </c>
      <c r="L2927" s="5">
        <v>29265.217478369766</v>
      </c>
      <c r="M2927" s="5">
        <v>42282.977640783138</v>
      </c>
      <c r="N2927" s="5">
        <v>4770.4216775830728</v>
      </c>
      <c r="O2927" s="5">
        <v>10738.305003664611</v>
      </c>
      <c r="P2927" s="5">
        <v>23769.190223735484</v>
      </c>
      <c r="Q2927" s="5">
        <v>37073.980790337926</v>
      </c>
      <c r="R2927" s="5">
        <v>20303.08745527079</v>
      </c>
    </row>
    <row r="2928" spans="9:18">
      <c r="I2928" s="4">
        <v>2913</v>
      </c>
      <c r="J2928" s="5">
        <v>16710.807721801892</v>
      </c>
      <c r="K2928" s="5">
        <v>14579.232378315752</v>
      </c>
      <c r="L2928" s="5">
        <v>18379.634651549037</v>
      </c>
      <c r="M2928" s="5">
        <v>22326.253555179093</v>
      </c>
      <c r="N2928" s="5">
        <v>11684.605182472778</v>
      </c>
      <c r="O2928" s="5">
        <v>15936.062371781712</v>
      </c>
      <c r="P2928" s="5">
        <v>3017.2887813579896</v>
      </c>
      <c r="Q2928" s="5">
        <v>30266.563414010914</v>
      </c>
      <c r="R2928" s="5">
        <v>93933.045103013996</v>
      </c>
    </row>
    <row r="2929" spans="9:18">
      <c r="I2929" s="4">
        <v>2914</v>
      </c>
      <c r="J2929" s="5">
        <v>16459.003095225507</v>
      </c>
      <c r="K2929" s="5">
        <v>15051.330276415061</v>
      </c>
      <c r="L2929" s="5">
        <v>21725.131459372977</v>
      </c>
      <c r="M2929" s="5">
        <v>12735.841453044006</v>
      </c>
      <c r="N2929" s="5">
        <v>26565.664379767408</v>
      </c>
      <c r="O2929" s="5">
        <v>33720.545907536376</v>
      </c>
      <c r="P2929" s="5">
        <v>26126.807131356076</v>
      </c>
      <c r="Q2929" s="5">
        <v>15623.622662102793</v>
      </c>
      <c r="R2929" s="5">
        <v>9913.4206865238284</v>
      </c>
    </row>
    <row r="2930" spans="9:18">
      <c r="I2930" s="4">
        <v>2915</v>
      </c>
      <c r="J2930" s="5">
        <v>14671.176405938595</v>
      </c>
      <c r="K2930" s="5">
        <v>15782.544184844044</v>
      </c>
      <c r="L2930" s="5">
        <v>18475.258050488967</v>
      </c>
      <c r="M2930" s="5">
        <v>30785.663999045999</v>
      </c>
      <c r="N2930" s="5">
        <v>20292.069765667391</v>
      </c>
      <c r="O2930" s="5">
        <v>35865.625349531729</v>
      </c>
      <c r="P2930" s="5">
        <v>32155.527541400057</v>
      </c>
      <c r="Q2930" s="5">
        <v>44911.749632594299</v>
      </c>
      <c r="R2930" s="5">
        <v>51141.799458534304</v>
      </c>
    </row>
    <row r="2931" spans="9:18">
      <c r="I2931" s="4">
        <v>2916</v>
      </c>
      <c r="J2931" s="5">
        <v>26634.853073396614</v>
      </c>
      <c r="K2931" s="5">
        <v>16873.752266014431</v>
      </c>
      <c r="L2931" s="5">
        <v>15923.549351835489</v>
      </c>
      <c r="M2931" s="5">
        <v>15346.383801976139</v>
      </c>
      <c r="N2931" s="5">
        <v>17811.114014514766</v>
      </c>
      <c r="O2931" s="5">
        <v>21930.527973988665</v>
      </c>
      <c r="P2931" s="5">
        <v>31127.87225845682</v>
      </c>
      <c r="Q2931" s="5">
        <v>18097.768262249352</v>
      </c>
      <c r="R2931" s="5">
        <v>93933.045103013996</v>
      </c>
    </row>
    <row r="2932" spans="9:18">
      <c r="I2932" s="4">
        <v>2917</v>
      </c>
      <c r="J2932" s="5">
        <v>17005.744061105343</v>
      </c>
      <c r="K2932" s="5">
        <v>12026.500118162745</v>
      </c>
      <c r="L2932" s="5">
        <v>14264.23790876064</v>
      </c>
      <c r="M2932" s="5">
        <v>12735.841453044006</v>
      </c>
      <c r="N2932" s="5">
        <v>11788.341482962171</v>
      </c>
      <c r="O2932" s="5">
        <v>41800.463215706819</v>
      </c>
      <c r="P2932" s="5">
        <v>48123.003747643132</v>
      </c>
      <c r="Q2932" s="5">
        <v>8474.2603471579441</v>
      </c>
      <c r="R2932" s="5">
        <v>24722.972470599001</v>
      </c>
    </row>
    <row r="2933" spans="9:18">
      <c r="I2933" s="4">
        <v>2918</v>
      </c>
      <c r="J2933" s="5">
        <v>9368.8270679249108</v>
      </c>
      <c r="K2933" s="5">
        <v>14351.415257675473</v>
      </c>
      <c r="L2933" s="5">
        <v>27289.607394458035</v>
      </c>
      <c r="M2933" s="5">
        <v>10451.914120098167</v>
      </c>
      <c r="N2933" s="5">
        <v>59876.136849941562</v>
      </c>
      <c r="O2933" s="5">
        <v>28431.436490368542</v>
      </c>
      <c r="P2933" s="5">
        <v>28537.545734403488</v>
      </c>
      <c r="Q2933" s="5">
        <v>17234.335939857254</v>
      </c>
      <c r="R2933" s="5">
        <v>59414.886464347241</v>
      </c>
    </row>
    <row r="2934" spans="9:18">
      <c r="I2934" s="4">
        <v>2919</v>
      </c>
      <c r="J2934" s="5">
        <v>14680.308400328413</v>
      </c>
      <c r="K2934" s="5">
        <v>21218.439146892688</v>
      </c>
      <c r="L2934" s="5">
        <v>15759.954187048656</v>
      </c>
      <c r="M2934" s="5">
        <v>13414.385151739983</v>
      </c>
      <c r="N2934" s="5">
        <v>21933.097106966918</v>
      </c>
      <c r="O2934" s="5">
        <v>24247.516962783076</v>
      </c>
      <c r="P2934" s="5">
        <v>21933.779100635442</v>
      </c>
      <c r="Q2934" s="5">
        <v>4924.9171270300558</v>
      </c>
      <c r="R2934" s="5">
        <v>39263.770877572199</v>
      </c>
    </row>
    <row r="2935" spans="9:18">
      <c r="I2935" s="4">
        <v>2920</v>
      </c>
      <c r="J2935" s="5">
        <v>19048.674633640545</v>
      </c>
      <c r="K2935" s="5">
        <v>61827.107730316675</v>
      </c>
      <c r="L2935" s="5">
        <v>27289.607394458035</v>
      </c>
      <c r="M2935" s="5">
        <v>16881.579299055</v>
      </c>
      <c r="N2935" s="5">
        <v>12592.300437162297</v>
      </c>
      <c r="O2935" s="5">
        <v>24369.28567093279</v>
      </c>
      <c r="P2935" s="5">
        <v>14773.185437294762</v>
      </c>
      <c r="Q2935" s="5">
        <v>54060.5331097772</v>
      </c>
      <c r="R2935" s="5">
        <v>17991.870496434763</v>
      </c>
    </row>
    <row r="2936" spans="9:18">
      <c r="I2936" s="4">
        <v>2921</v>
      </c>
      <c r="J2936" s="5">
        <v>13447.638004246244</v>
      </c>
      <c r="K2936" s="5">
        <v>12026.500118162745</v>
      </c>
      <c r="L2936" s="5">
        <v>25389.332759288587</v>
      </c>
      <c r="M2936" s="5">
        <v>21332.072353846772</v>
      </c>
      <c r="N2936" s="5">
        <v>26565.664379767408</v>
      </c>
      <c r="O2936" s="5">
        <v>27068.054847826614</v>
      </c>
      <c r="P2936" s="5">
        <v>16574.429708560569</v>
      </c>
      <c r="Q2936" s="5">
        <v>96632.959478514502</v>
      </c>
      <c r="R2936" s="5">
        <v>14706.681111065362</v>
      </c>
    </row>
    <row r="2937" spans="9:18">
      <c r="I2937" s="4">
        <v>2922</v>
      </c>
      <c r="J2937" s="5">
        <v>28214.771032351968</v>
      </c>
      <c r="K2937" s="5">
        <v>13652.224205833634</v>
      </c>
      <c r="L2937" s="5">
        <v>25389.332759288587</v>
      </c>
      <c r="M2937" s="5">
        <v>31554.722481137964</v>
      </c>
      <c r="N2937" s="5">
        <v>32184.535272543482</v>
      </c>
      <c r="O2937" s="5">
        <v>59207.798737851255</v>
      </c>
      <c r="P2937" s="5">
        <v>46514.467673254068</v>
      </c>
      <c r="Q2937" s="5">
        <v>9796.0979856104404</v>
      </c>
      <c r="R2937" s="5">
        <v>91403.228438796665</v>
      </c>
    </row>
    <row r="2938" spans="9:18">
      <c r="I2938" s="4">
        <v>2923</v>
      </c>
      <c r="J2938" s="5">
        <v>19121.054099180623</v>
      </c>
      <c r="K2938" s="5">
        <v>32294.121255311245</v>
      </c>
      <c r="L2938" s="5">
        <v>16071.260291253868</v>
      </c>
      <c r="M2938" s="5">
        <v>9623.0342442006167</v>
      </c>
      <c r="N2938" s="5">
        <v>24020.875410266352</v>
      </c>
      <c r="O2938" s="5">
        <v>13613.378495715853</v>
      </c>
      <c r="P2938" s="5">
        <v>13452.921824087563</v>
      </c>
      <c r="Q2938" s="5">
        <v>48756.323642664109</v>
      </c>
      <c r="R2938" s="5">
        <v>114016.93673542379</v>
      </c>
    </row>
    <row r="2939" spans="9:18">
      <c r="I2939" s="4">
        <v>2924</v>
      </c>
      <c r="J2939" s="5">
        <v>16166.107684907736</v>
      </c>
      <c r="K2939" s="5">
        <v>61827.107730316675</v>
      </c>
      <c r="L2939" s="5">
        <v>16955.349467865559</v>
      </c>
      <c r="M2939" s="5">
        <v>32751.734100446065</v>
      </c>
      <c r="N2939" s="5">
        <v>22868.569282757788</v>
      </c>
      <c r="O2939" s="5">
        <v>10746.295275180995</v>
      </c>
      <c r="P2939" s="5">
        <v>77603.711720266961</v>
      </c>
      <c r="Q2939" s="5">
        <v>16591.881190929333</v>
      </c>
      <c r="R2939" s="5">
        <v>122304.95880137496</v>
      </c>
    </row>
    <row r="2940" spans="9:18">
      <c r="I2940" s="4">
        <v>2925</v>
      </c>
      <c r="J2940" s="5">
        <v>49463.324094345015</v>
      </c>
      <c r="K2940" s="5">
        <v>9739.7813029644258</v>
      </c>
      <c r="L2940" s="5">
        <v>14175.160754078657</v>
      </c>
      <c r="M2940" s="5">
        <v>18816.787977140237</v>
      </c>
      <c r="N2940" s="5">
        <v>11604.12831603515</v>
      </c>
      <c r="O2940" s="5">
        <v>13117.417685535194</v>
      </c>
      <c r="P2940" s="5">
        <v>9811.9720599964548</v>
      </c>
      <c r="Q2940" s="5">
        <v>52421.574537857021</v>
      </c>
      <c r="R2940" s="5">
        <v>81423.874800517297</v>
      </c>
    </row>
    <row r="2941" spans="9:18">
      <c r="I2941" s="4">
        <v>2926</v>
      </c>
      <c r="J2941" s="5">
        <v>16016.491239086423</v>
      </c>
      <c r="K2941" s="5">
        <v>16665.1498926479</v>
      </c>
      <c r="L2941" s="5">
        <v>16106.634875163341</v>
      </c>
      <c r="M2941" s="5">
        <v>16500.222621933419</v>
      </c>
      <c r="N2941" s="5">
        <v>36962.805083900916</v>
      </c>
      <c r="O2941" s="5">
        <v>30656.031716467984</v>
      </c>
      <c r="P2941" s="5">
        <v>22601.57564624758</v>
      </c>
      <c r="Q2941" s="5">
        <v>9138.5169630896526</v>
      </c>
      <c r="R2941" s="5">
        <v>17991.870496434763</v>
      </c>
    </row>
    <row r="2942" spans="9:18">
      <c r="I2942" s="4">
        <v>2927</v>
      </c>
      <c r="J2942" s="5">
        <v>12888.204629170894</v>
      </c>
      <c r="K2942" s="5">
        <v>14854.898507619706</v>
      </c>
      <c r="L2942" s="5">
        <v>13417.453622029931</v>
      </c>
      <c r="M2942" s="5">
        <v>23449.501569180404</v>
      </c>
      <c r="N2942" s="5">
        <v>51261.622558090799</v>
      </c>
      <c r="O2942" s="5">
        <v>10738.305003664611</v>
      </c>
      <c r="P2942" s="5">
        <v>16650.229067545235</v>
      </c>
      <c r="Q2942" s="5">
        <v>37802.358878968138</v>
      </c>
      <c r="R2942" s="5">
        <v>24722.972470599001</v>
      </c>
    </row>
    <row r="2943" spans="9:18">
      <c r="I2943" s="4">
        <v>2928</v>
      </c>
      <c r="J2943" s="5">
        <v>14076.209333698853</v>
      </c>
      <c r="K2943" s="5">
        <v>15487.124352801369</v>
      </c>
      <c r="L2943" s="5">
        <v>14042.41908879921</v>
      </c>
      <c r="M2943" s="5">
        <v>19262.243095117232</v>
      </c>
      <c r="N2943" s="5">
        <v>26115.05281128412</v>
      </c>
      <c r="O2943" s="5">
        <v>19430.912633256889</v>
      </c>
      <c r="P2943" s="5">
        <v>14316.965520592317</v>
      </c>
      <c r="Q2943" s="5">
        <v>9454.5906023793759</v>
      </c>
      <c r="R2943" s="5">
        <v>9913.4206865238284</v>
      </c>
    </row>
    <row r="2944" spans="9:18">
      <c r="I2944" s="4">
        <v>2929</v>
      </c>
      <c r="J2944" s="5">
        <v>20002.201347927807</v>
      </c>
      <c r="K2944" s="5">
        <v>34058.671324159091</v>
      </c>
      <c r="L2944" s="5">
        <v>17693.864646288712</v>
      </c>
      <c r="M2944" s="5">
        <v>17349.963215818931</v>
      </c>
      <c r="N2944" s="5">
        <v>22010.718648995869</v>
      </c>
      <c r="O2944" s="5">
        <v>9708.4497800977806</v>
      </c>
      <c r="P2944" s="5">
        <v>16650.229067545235</v>
      </c>
      <c r="Q2944" s="5">
        <v>25156.033327562815</v>
      </c>
      <c r="R2944" s="5">
        <v>8720.6503563381029</v>
      </c>
    </row>
    <row r="2945" spans="9:18">
      <c r="I2945" s="4">
        <v>2930</v>
      </c>
      <c r="J2945" s="5">
        <v>19467.17453557903</v>
      </c>
      <c r="K2945" s="5">
        <v>14854.898507619706</v>
      </c>
      <c r="L2945" s="5">
        <v>18810.091753970282</v>
      </c>
      <c r="M2945" s="5">
        <v>13022.686998540772</v>
      </c>
      <c r="N2945" s="5">
        <v>63974.903847153939</v>
      </c>
      <c r="O2945" s="5">
        <v>16505.600261180331</v>
      </c>
      <c r="P2945" s="5">
        <v>5735.6883097179207</v>
      </c>
      <c r="Q2945" s="5">
        <v>48756.323642664109</v>
      </c>
      <c r="R2945" s="5">
        <v>96845.299789249824</v>
      </c>
    </row>
    <row r="2946" spans="9:18">
      <c r="I2946" s="4">
        <v>2931</v>
      </c>
      <c r="J2946" s="5">
        <v>18650.249281571734</v>
      </c>
      <c r="K2946" s="5">
        <v>16952.949313901812</v>
      </c>
      <c r="L2946" s="5">
        <v>19359.475411188432</v>
      </c>
      <c r="M2946" s="5">
        <v>17370.588707072598</v>
      </c>
      <c r="N2946" s="5">
        <v>11635.644856128632</v>
      </c>
      <c r="O2946" s="5">
        <v>27062.73412298776</v>
      </c>
      <c r="P2946" s="5">
        <v>21933.779100635442</v>
      </c>
      <c r="Q2946" s="5">
        <v>4631.7430487757983</v>
      </c>
      <c r="R2946" s="5">
        <v>24831.679362998926</v>
      </c>
    </row>
    <row r="2947" spans="9:18">
      <c r="I2947" s="4">
        <v>2932</v>
      </c>
      <c r="J2947" s="5">
        <v>13663.281817546009</v>
      </c>
      <c r="K2947" s="5">
        <v>14497.035717129334</v>
      </c>
      <c r="L2947" s="5">
        <v>14811.370758813007</v>
      </c>
      <c r="M2947" s="5">
        <v>41403.687663920646</v>
      </c>
      <c r="N2947" s="5">
        <v>37309.151967087455</v>
      </c>
      <c r="O2947" s="5">
        <v>9956.4031238965053</v>
      </c>
      <c r="P2947" s="5">
        <v>16574.429708560569</v>
      </c>
      <c r="Q2947" s="5">
        <v>20987.925664394581</v>
      </c>
      <c r="R2947" s="5">
        <v>23583.884732956092</v>
      </c>
    </row>
    <row r="2948" spans="9:18">
      <c r="I2948" s="4">
        <v>2933</v>
      </c>
      <c r="J2948" s="5">
        <v>29760.443016608337</v>
      </c>
      <c r="K2948" s="5">
        <v>13331.01856102917</v>
      </c>
      <c r="L2948" s="5">
        <v>18475.258050488967</v>
      </c>
      <c r="M2948" s="5">
        <v>21913.431401527439</v>
      </c>
      <c r="N2948" s="5">
        <v>21009.255892677338</v>
      </c>
      <c r="O2948" s="5">
        <v>51330.340277512776</v>
      </c>
      <c r="P2948" s="5">
        <v>17643.087208586294</v>
      </c>
      <c r="Q2948" s="5">
        <v>59964.86015574776</v>
      </c>
      <c r="R2948" s="5">
        <v>19133.693426869788</v>
      </c>
    </row>
    <row r="2949" spans="9:18">
      <c r="I2949" s="4">
        <v>2934</v>
      </c>
      <c r="J2949" s="5">
        <v>21888.821432026474</v>
      </c>
      <c r="K2949" s="5">
        <v>20887.307279900142</v>
      </c>
      <c r="L2949" s="5">
        <v>14042.41908879921</v>
      </c>
      <c r="M2949" s="5">
        <v>13616.35938654862</v>
      </c>
      <c r="N2949" s="5">
        <v>11952.903761138405</v>
      </c>
      <c r="O2949" s="5">
        <v>16826.763259351828</v>
      </c>
      <c r="P2949" s="5">
        <v>27708.613526855763</v>
      </c>
      <c r="Q2949" s="5">
        <v>52545.991451361173</v>
      </c>
      <c r="R2949" s="5">
        <v>30571.564004538617</v>
      </c>
    </row>
    <row r="2950" spans="9:18">
      <c r="I2950" s="4">
        <v>2935</v>
      </c>
      <c r="J2950" s="5">
        <v>19467.17453557903</v>
      </c>
      <c r="K2950" s="5">
        <v>17495.743706488822</v>
      </c>
      <c r="L2950" s="5">
        <v>16071.260291253868</v>
      </c>
      <c r="M2950" s="5">
        <v>10451.914120098167</v>
      </c>
      <c r="N2950" s="5">
        <v>45581.602064432409</v>
      </c>
      <c r="O2950" s="5">
        <v>67717.30633712461</v>
      </c>
      <c r="P2950" s="5">
        <v>34768.042801665702</v>
      </c>
      <c r="Q2950" s="5">
        <v>27789.973552634947</v>
      </c>
      <c r="R2950" s="5">
        <v>39263.770877572199</v>
      </c>
    </row>
    <row r="2951" spans="9:18">
      <c r="I2951" s="4">
        <v>2936</v>
      </c>
      <c r="J2951" s="5">
        <v>21150.169973104224</v>
      </c>
      <c r="K2951" s="5">
        <v>11507.182177474708</v>
      </c>
      <c r="L2951" s="5">
        <v>17243.440968229323</v>
      </c>
      <c r="M2951" s="5">
        <v>30785.663999045999</v>
      </c>
      <c r="N2951" s="5">
        <v>26152.705108198839</v>
      </c>
      <c r="O2951" s="5">
        <v>13117.417685535194</v>
      </c>
      <c r="P2951" s="5">
        <v>9633.1652908310007</v>
      </c>
      <c r="Q2951" s="5">
        <v>8502.450657922871</v>
      </c>
      <c r="R2951" s="5">
        <v>14051.647494499957</v>
      </c>
    </row>
    <row r="2952" spans="9:18">
      <c r="I2952" s="4">
        <v>2937</v>
      </c>
      <c r="J2952" s="5">
        <v>14680.308400328413</v>
      </c>
      <c r="K2952" s="5">
        <v>17128.860847126922</v>
      </c>
      <c r="L2952" s="5">
        <v>11827.803406885578</v>
      </c>
      <c r="M2952" s="5">
        <v>41698.977215629871</v>
      </c>
      <c r="N2952" s="5">
        <v>42744.618431291936</v>
      </c>
      <c r="O2952" s="5">
        <v>13966.178986479143</v>
      </c>
      <c r="P2952" s="5">
        <v>14327.191387816954</v>
      </c>
      <c r="Q2952" s="5">
        <v>48756.323642664109</v>
      </c>
      <c r="R2952" s="5">
        <v>261393.32711858812</v>
      </c>
    </row>
    <row r="2953" spans="9:18">
      <c r="I2953" s="4">
        <v>2938</v>
      </c>
      <c r="J2953" s="5">
        <v>16416.142496463777</v>
      </c>
      <c r="K2953" s="5">
        <v>15428.770955406064</v>
      </c>
      <c r="L2953" s="5">
        <v>17073.17760523731</v>
      </c>
      <c r="M2953" s="5">
        <v>22961.931350882205</v>
      </c>
      <c r="N2953" s="5">
        <v>28426.778914975595</v>
      </c>
      <c r="O2953" s="5">
        <v>20721.57544042755</v>
      </c>
      <c r="P2953" s="5">
        <v>14327.191387816954</v>
      </c>
      <c r="Q2953" s="5">
        <v>9138.5169630896526</v>
      </c>
      <c r="R2953" s="5">
        <v>5865.9802599669383</v>
      </c>
    </row>
    <row r="2954" spans="9:18">
      <c r="I2954" s="4">
        <v>2939</v>
      </c>
      <c r="J2954" s="5">
        <v>19048.674633640545</v>
      </c>
      <c r="K2954" s="5">
        <v>32294.121255311245</v>
      </c>
      <c r="L2954" s="5">
        <v>13358.459356674217</v>
      </c>
      <c r="M2954" s="5">
        <v>14217.48832834715</v>
      </c>
      <c r="N2954" s="5">
        <v>21009.255892677338</v>
      </c>
      <c r="O2954" s="5">
        <v>53007.660727727191</v>
      </c>
      <c r="P2954" s="5">
        <v>54923.423457863879</v>
      </c>
      <c r="Q2954" s="5">
        <v>8832.660767995616</v>
      </c>
      <c r="R2954" s="5">
        <v>50287.76786557267</v>
      </c>
    </row>
    <row r="2955" spans="9:18">
      <c r="I2955" s="4">
        <v>2940</v>
      </c>
      <c r="J2955" s="5">
        <v>16788.081681455456</v>
      </c>
      <c r="K2955" s="5">
        <v>23934.551191616061</v>
      </c>
      <c r="L2955" s="5">
        <v>15664.99858445921</v>
      </c>
      <c r="M2955" s="5">
        <v>23449.501569180404</v>
      </c>
      <c r="N2955" s="5">
        <v>15251.140047572881</v>
      </c>
      <c r="O2955" s="5">
        <v>5444.7598502623823</v>
      </c>
      <c r="P2955" s="5">
        <v>54292.749740228588</v>
      </c>
      <c r="Q2955" s="5">
        <v>7457.1844090365566</v>
      </c>
      <c r="R2955" s="5">
        <v>39263.770877572199</v>
      </c>
    </row>
    <row r="2956" spans="9:18">
      <c r="I2956" s="4">
        <v>2941</v>
      </c>
      <c r="J2956" s="5">
        <v>14749.343145806102</v>
      </c>
      <c r="K2956" s="5">
        <v>14021.934268028277</v>
      </c>
      <c r="L2956" s="5">
        <v>17845.207337527903</v>
      </c>
      <c r="M2956" s="5">
        <v>12934.591863415189</v>
      </c>
      <c r="N2956" s="5">
        <v>23583.581287126868</v>
      </c>
      <c r="O2956" s="5">
        <v>83458.030763693328</v>
      </c>
      <c r="P2956" s="5">
        <v>36724.352187786957</v>
      </c>
      <c r="Q2956" s="5">
        <v>16591.881190929333</v>
      </c>
      <c r="R2956" s="5">
        <v>12130.167062525341</v>
      </c>
    </row>
    <row r="2957" spans="9:18">
      <c r="I2957" s="4">
        <v>2942</v>
      </c>
      <c r="J2957" s="5">
        <v>28214.771032351968</v>
      </c>
      <c r="K2957" s="5">
        <v>16674.541027260992</v>
      </c>
      <c r="L2957" s="5">
        <v>14146.191653372813</v>
      </c>
      <c r="M2957" s="5">
        <v>18043.539897080744</v>
      </c>
      <c r="N2957" s="5">
        <v>22868.569282757788</v>
      </c>
      <c r="O2957" s="5">
        <v>27084.483614751469</v>
      </c>
      <c r="P2957" s="5">
        <v>16650.229067545235</v>
      </c>
      <c r="Q2957" s="5">
        <v>12253.299944531094</v>
      </c>
      <c r="R2957" s="5">
        <v>33863.04333215439</v>
      </c>
    </row>
    <row r="2958" spans="9:18">
      <c r="I2958" s="4">
        <v>2943</v>
      </c>
      <c r="J2958" s="5">
        <v>28169.050633834027</v>
      </c>
      <c r="K2958" s="5">
        <v>26110.948843472826</v>
      </c>
      <c r="L2958" s="5">
        <v>23760.785349782636</v>
      </c>
      <c r="M2958" s="5">
        <v>21072.983263501868</v>
      </c>
      <c r="N2958" s="5">
        <v>14240.123545764454</v>
      </c>
      <c r="O2958" s="5">
        <v>27508.313315384185</v>
      </c>
      <c r="P2958" s="5">
        <v>6275.8915673055426</v>
      </c>
      <c r="Q2958" s="5">
        <v>17234.335939857254</v>
      </c>
      <c r="R2958" s="5">
        <v>44707.053087992797</v>
      </c>
    </row>
    <row r="2959" spans="9:18">
      <c r="I2959" s="4">
        <v>2944</v>
      </c>
      <c r="J2959" s="5">
        <v>15873.12561080002</v>
      </c>
      <c r="K2959" s="5">
        <v>15768.312122029349</v>
      </c>
      <c r="L2959" s="5">
        <v>16017.890956041876</v>
      </c>
      <c r="M2959" s="5">
        <v>10451.914120098167</v>
      </c>
      <c r="N2959" s="5">
        <v>20558.672182394013</v>
      </c>
      <c r="O2959" s="5">
        <v>25802.481365323994</v>
      </c>
      <c r="P2959" s="5">
        <v>46514.467673254068</v>
      </c>
      <c r="Q2959" s="5">
        <v>22145.301831504508</v>
      </c>
      <c r="R2959" s="5">
        <v>2180.6148629084787</v>
      </c>
    </row>
    <row r="2960" spans="9:18">
      <c r="I2960" s="4">
        <v>2945</v>
      </c>
      <c r="J2960" s="5">
        <v>11854.381651026555</v>
      </c>
      <c r="K2960" s="5">
        <v>15347.101709242541</v>
      </c>
      <c r="L2960" s="5">
        <v>14146.191653372813</v>
      </c>
      <c r="M2960" s="5">
        <v>30830.81083227017</v>
      </c>
      <c r="N2960" s="5">
        <v>20292.069765667391</v>
      </c>
      <c r="O2960" s="5">
        <v>26565.882515615398</v>
      </c>
      <c r="P2960" s="5">
        <v>33715.790977629549</v>
      </c>
      <c r="Q2960" s="5">
        <v>17493.456269945855</v>
      </c>
      <c r="R2960" s="5">
        <v>302760.11878714536</v>
      </c>
    </row>
    <row r="2961" spans="9:18">
      <c r="I2961" s="4">
        <v>2946</v>
      </c>
      <c r="J2961" s="5">
        <v>17005.744061105343</v>
      </c>
      <c r="K2961" s="5">
        <v>11507.182177474708</v>
      </c>
      <c r="L2961" s="5">
        <v>22018.381599979773</v>
      </c>
      <c r="M2961" s="5">
        <v>18043.539897080744</v>
      </c>
      <c r="N2961" s="5">
        <v>45581.602064432409</v>
      </c>
      <c r="O2961" s="5">
        <v>24247.516962783076</v>
      </c>
      <c r="P2961" s="5">
        <v>41657.50350099193</v>
      </c>
      <c r="Q2961" s="5">
        <v>68168.482468129529</v>
      </c>
      <c r="R2961" s="5">
        <v>3311.4906988006405</v>
      </c>
    </row>
    <row r="2962" spans="9:18">
      <c r="I2962" s="4">
        <v>2947</v>
      </c>
      <c r="J2962" s="5">
        <v>16544.73779470181</v>
      </c>
      <c r="K2962" s="5">
        <v>15347.101709242541</v>
      </c>
      <c r="L2962" s="5">
        <v>17920.486090689363</v>
      </c>
      <c r="M2962" s="5">
        <v>19151.339770278159</v>
      </c>
      <c r="N2962" s="5">
        <v>19125.360074567652</v>
      </c>
      <c r="O2962" s="5">
        <v>24258.192244316608</v>
      </c>
      <c r="P2962" s="5">
        <v>9482.0186426688688</v>
      </c>
      <c r="Q2962" s="5">
        <v>8502.450657922871</v>
      </c>
      <c r="R2962" s="5">
        <v>62674.060343500474</v>
      </c>
    </row>
    <row r="2963" spans="9:18">
      <c r="I2963" s="4">
        <v>2948</v>
      </c>
      <c r="J2963" s="5">
        <v>14538.277247583976</v>
      </c>
      <c r="K2963" s="5">
        <v>12423.491400404893</v>
      </c>
      <c r="L2963" s="5">
        <v>19189.275558866306</v>
      </c>
      <c r="M2963" s="5">
        <v>32751.734100446065</v>
      </c>
      <c r="N2963" s="5">
        <v>12592.300437162297</v>
      </c>
      <c r="O2963" s="5">
        <v>27503.656957929088</v>
      </c>
      <c r="P2963" s="5">
        <v>14316.965520592317</v>
      </c>
      <c r="Q2963" s="5">
        <v>2356.8990887111336</v>
      </c>
      <c r="R2963" s="5">
        <v>17687.533637716911</v>
      </c>
    </row>
    <row r="2964" spans="9:18">
      <c r="I2964" s="4">
        <v>2949</v>
      </c>
      <c r="J2964" s="5">
        <v>17679.321624063952</v>
      </c>
      <c r="K2964" s="5">
        <v>15768.312122029349</v>
      </c>
      <c r="L2964" s="5">
        <v>23760.785349782636</v>
      </c>
      <c r="M2964" s="5">
        <v>24981.974172352908</v>
      </c>
      <c r="N2964" s="5">
        <v>39672.376281023731</v>
      </c>
      <c r="O2964" s="5">
        <v>10738.305003664611</v>
      </c>
      <c r="P2964" s="5">
        <v>13452.921824087563</v>
      </c>
      <c r="Q2964" s="5">
        <v>11173.074396969254</v>
      </c>
      <c r="R2964" s="5">
        <v>62674.060343500474</v>
      </c>
    </row>
    <row r="2965" spans="9:18">
      <c r="I2965" s="4">
        <v>2950</v>
      </c>
      <c r="J2965" s="5">
        <v>14538.277247583976</v>
      </c>
      <c r="K2965" s="5">
        <v>12777.667398488715</v>
      </c>
      <c r="L2965" s="5">
        <v>14649.721476864312</v>
      </c>
      <c r="M2965" s="5">
        <v>29041.83725675238</v>
      </c>
      <c r="N2965" s="5">
        <v>26565.664379767408</v>
      </c>
      <c r="O2965" s="5">
        <v>27508.313315384185</v>
      </c>
      <c r="P2965" s="5">
        <v>10966.822219855034</v>
      </c>
      <c r="Q2965" s="5">
        <v>9796.0979856104404</v>
      </c>
      <c r="R2965" s="5">
        <v>24831.679362998926</v>
      </c>
    </row>
    <row r="2966" spans="9:18">
      <c r="I2966" s="4">
        <v>2951</v>
      </c>
      <c r="J2966" s="5">
        <v>15648.665245032147</v>
      </c>
      <c r="K2966" s="5">
        <v>17495.743706488822</v>
      </c>
      <c r="L2966" s="5">
        <v>25389.332759288587</v>
      </c>
      <c r="M2966" s="5">
        <v>18177.175180585615</v>
      </c>
      <c r="N2966" s="5">
        <v>8104.6265149430556</v>
      </c>
      <c r="O2966" s="5">
        <v>53504.725169095313</v>
      </c>
      <c r="P2966" s="5">
        <v>74840.036182179319</v>
      </c>
      <c r="Q2966" s="5">
        <v>19541.409060825732</v>
      </c>
      <c r="R2966" s="5">
        <v>10885.018205103002</v>
      </c>
    </row>
    <row r="2967" spans="9:18">
      <c r="I2967" s="4">
        <v>2952</v>
      </c>
      <c r="J2967" s="5">
        <v>13447.638004246244</v>
      </c>
      <c r="K2967" s="5">
        <v>16199.334613834633</v>
      </c>
      <c r="L2967" s="5">
        <v>13417.453622029931</v>
      </c>
      <c r="M2967" s="5">
        <v>16881.579299055</v>
      </c>
      <c r="N2967" s="5">
        <v>17811.114014514766</v>
      </c>
      <c r="O2967" s="5">
        <v>10746.295275180995</v>
      </c>
      <c r="P2967" s="5">
        <v>74840.036182179319</v>
      </c>
      <c r="Q2967" s="5">
        <v>11173.074396969254</v>
      </c>
      <c r="R2967" s="5">
        <v>18349.337771428582</v>
      </c>
    </row>
    <row r="2968" spans="9:18">
      <c r="I2968" s="4">
        <v>2953</v>
      </c>
      <c r="J2968" s="5">
        <v>20002.201347927807</v>
      </c>
      <c r="K2968" s="5">
        <v>61827.107730316675</v>
      </c>
      <c r="L2968" s="5">
        <v>13358.459356674217</v>
      </c>
      <c r="M2968" s="5">
        <v>30830.81083227017</v>
      </c>
      <c r="N2968" s="5">
        <v>45581.602064432409</v>
      </c>
      <c r="O2968" s="5">
        <v>27508.313315384185</v>
      </c>
      <c r="P2968" s="5">
        <v>10966.822219855034</v>
      </c>
      <c r="Q2968" s="5">
        <v>21421.044775857536</v>
      </c>
      <c r="R2968" s="5">
        <v>14051.647494499957</v>
      </c>
    </row>
    <row r="2969" spans="9:18">
      <c r="I2969" s="4">
        <v>2954</v>
      </c>
      <c r="J2969" s="5">
        <v>15130.594750069789</v>
      </c>
      <c r="K2969" s="5">
        <v>13331.01856102917</v>
      </c>
      <c r="L2969" s="5">
        <v>14264.23790876064</v>
      </c>
      <c r="M2969" s="5">
        <v>24981.974172352908</v>
      </c>
      <c r="N2969" s="5">
        <v>34295.124147811541</v>
      </c>
      <c r="O2969" s="5">
        <v>27508.313315384185</v>
      </c>
      <c r="P2969" s="5">
        <v>10532.667493814919</v>
      </c>
      <c r="Q2969" s="5">
        <v>35525.432376048877</v>
      </c>
      <c r="R2969" s="5">
        <v>19133.693426869788</v>
      </c>
    </row>
    <row r="2970" spans="9:18">
      <c r="I2970" s="4">
        <v>2955</v>
      </c>
      <c r="J2970" s="5">
        <v>22812.564910649318</v>
      </c>
      <c r="K2970" s="5">
        <v>9769.3659785458403</v>
      </c>
      <c r="L2970" s="5">
        <v>13358.459356674217</v>
      </c>
      <c r="M2970" s="5">
        <v>12934.591863415189</v>
      </c>
      <c r="N2970" s="5">
        <v>16418.492928415813</v>
      </c>
      <c r="O2970" s="5">
        <v>20991.103410982985</v>
      </c>
      <c r="P2970" s="5">
        <v>3930.0915591834291</v>
      </c>
      <c r="Q2970" s="5">
        <v>16591.881190929333</v>
      </c>
      <c r="R2970" s="5">
        <v>72561.496699005787</v>
      </c>
    </row>
    <row r="2971" spans="9:18">
      <c r="I2971" s="4">
        <v>2956</v>
      </c>
      <c r="J2971" s="5">
        <v>14671.176405938595</v>
      </c>
      <c r="K2971" s="5">
        <v>14854.898507619706</v>
      </c>
      <c r="L2971" s="5">
        <v>14796.875457021113</v>
      </c>
      <c r="M2971" s="5">
        <v>23908.621352410395</v>
      </c>
      <c r="N2971" s="5">
        <v>11251.634703629026</v>
      </c>
      <c r="O2971" s="5">
        <v>30608.431994348266</v>
      </c>
      <c r="P2971" s="5">
        <v>55152.110177667731</v>
      </c>
      <c r="Q2971" s="5">
        <v>52545.991451361173</v>
      </c>
      <c r="R2971" s="5">
        <v>302760.11878714536</v>
      </c>
    </row>
    <row r="2972" spans="9:18">
      <c r="I2972" s="4">
        <v>2957</v>
      </c>
      <c r="J2972" s="5">
        <v>31053.540961463306</v>
      </c>
      <c r="K2972" s="5">
        <v>95171.967522309933</v>
      </c>
      <c r="L2972" s="5">
        <v>13358.459356674217</v>
      </c>
      <c r="M2972" s="5">
        <v>12934.591863415189</v>
      </c>
      <c r="N2972" s="5">
        <v>46248.895746171031</v>
      </c>
      <c r="O2972" s="5">
        <v>12110.196126281628</v>
      </c>
      <c r="P2972" s="5">
        <v>29283.825979394511</v>
      </c>
      <c r="Q2972" s="5">
        <v>56069.347629295014</v>
      </c>
      <c r="R2972" s="5">
        <v>16039.216896723072</v>
      </c>
    </row>
    <row r="2973" spans="9:18">
      <c r="I2973" s="4">
        <v>2958</v>
      </c>
      <c r="J2973" s="5">
        <v>13045.114546182727</v>
      </c>
      <c r="K2973" s="5">
        <v>19467.955014411935</v>
      </c>
      <c r="L2973" s="5">
        <v>16071.478531535273</v>
      </c>
      <c r="M2973" s="5">
        <v>41698.977215629871</v>
      </c>
      <c r="N2973" s="5">
        <v>27841.916587595573</v>
      </c>
      <c r="O2973" s="5">
        <v>13840.304699955392</v>
      </c>
      <c r="P2973" s="5">
        <v>33500.490132682797</v>
      </c>
      <c r="Q2973" s="5">
        <v>13099.063525342741</v>
      </c>
      <c r="R2973" s="5">
        <v>29295.938844292672</v>
      </c>
    </row>
    <row r="2974" spans="9:18">
      <c r="I2974" s="4">
        <v>2959</v>
      </c>
      <c r="J2974" s="5">
        <v>13663.281817546009</v>
      </c>
      <c r="K2974" s="5">
        <v>21218.439146892688</v>
      </c>
      <c r="L2974" s="5">
        <v>17482.478480142941</v>
      </c>
      <c r="M2974" s="5">
        <v>13022.686998540772</v>
      </c>
      <c r="N2974" s="5">
        <v>24314.043643333731</v>
      </c>
      <c r="O2974" s="5">
        <v>10738.305003664611</v>
      </c>
      <c r="P2974" s="5">
        <v>3930.0915591834291</v>
      </c>
      <c r="Q2974" s="5">
        <v>14064.158297039334</v>
      </c>
      <c r="R2974" s="5">
        <v>93933.045103013996</v>
      </c>
    </row>
    <row r="2975" spans="9:18">
      <c r="I2975" s="4">
        <v>2960</v>
      </c>
      <c r="J2975" s="5">
        <v>28169.050633834027</v>
      </c>
      <c r="K2975" s="5">
        <v>16081.362509465702</v>
      </c>
      <c r="L2975" s="5">
        <v>18475.258050488967</v>
      </c>
      <c r="M2975" s="5">
        <v>19262.243095117232</v>
      </c>
      <c r="N2975" s="5">
        <v>22511.351424689696</v>
      </c>
      <c r="O2975" s="5">
        <v>24258.192244316608</v>
      </c>
      <c r="P2975" s="5">
        <v>38771.994792132391</v>
      </c>
      <c r="Q2975" s="5">
        <v>21421.044775857536</v>
      </c>
      <c r="R2975" s="5">
        <v>8105.1944146993656</v>
      </c>
    </row>
    <row r="2976" spans="9:18">
      <c r="I2976" s="4">
        <v>2961</v>
      </c>
      <c r="J2976" s="5">
        <v>19048.674633640545</v>
      </c>
      <c r="K2976" s="5">
        <v>35705.595198125673</v>
      </c>
      <c r="L2976" s="5">
        <v>15126.980926457318</v>
      </c>
      <c r="M2976" s="5">
        <v>16842.379179328669</v>
      </c>
      <c r="N2976" s="5">
        <v>15786.177386596903</v>
      </c>
      <c r="O2976" s="5">
        <v>77417.02098927302</v>
      </c>
      <c r="P2976" s="5">
        <v>35569.894390728325</v>
      </c>
      <c r="Q2976" s="5">
        <v>44911.749632594299</v>
      </c>
      <c r="R2976" s="5">
        <v>114016.93673542379</v>
      </c>
    </row>
    <row r="2977" spans="9:18">
      <c r="I2977" s="4">
        <v>2962</v>
      </c>
      <c r="J2977" s="5">
        <v>16305.770155972396</v>
      </c>
      <c r="K2977" s="5">
        <v>23934.551191616061</v>
      </c>
      <c r="L2977" s="5">
        <v>15300.182042823812</v>
      </c>
      <c r="M2977" s="5">
        <v>16001.653036457456</v>
      </c>
      <c r="N2977" s="5">
        <v>13909.728487455486</v>
      </c>
      <c r="O2977" s="5">
        <v>27508.313315384185</v>
      </c>
      <c r="P2977" s="5">
        <v>13793.886507202402</v>
      </c>
      <c r="Q2977" s="5">
        <v>27789.973552634947</v>
      </c>
      <c r="R2977" s="5">
        <v>84289.422255274636</v>
      </c>
    </row>
    <row r="2978" spans="9:18">
      <c r="I2978" s="4">
        <v>2963</v>
      </c>
      <c r="J2978" s="5">
        <v>19467.17453557903</v>
      </c>
      <c r="K2978" s="5">
        <v>32073.547537933715</v>
      </c>
      <c r="L2978" s="5">
        <v>22162.138529251199</v>
      </c>
      <c r="M2978" s="5">
        <v>20185.026038758231</v>
      </c>
      <c r="N2978" s="5">
        <v>16418.492928415813</v>
      </c>
      <c r="O2978" s="5">
        <v>10676.618215263648</v>
      </c>
      <c r="P2978" s="5">
        <v>26541.896041444568</v>
      </c>
      <c r="Q2978" s="5">
        <v>16591.881190929333</v>
      </c>
      <c r="R2978" s="5">
        <v>72561.496699005787</v>
      </c>
    </row>
    <row r="2979" spans="9:18">
      <c r="I2979" s="4">
        <v>2964</v>
      </c>
      <c r="J2979" s="5">
        <v>27392.038553726634</v>
      </c>
      <c r="K2979" s="5">
        <v>16674.541027260992</v>
      </c>
      <c r="L2979" s="5">
        <v>16071.478531535273</v>
      </c>
      <c r="M2979" s="5">
        <v>10111.451009425113</v>
      </c>
      <c r="N2979" s="5">
        <v>63974.903847153939</v>
      </c>
      <c r="O2979" s="5">
        <v>9320.7026593487881</v>
      </c>
      <c r="P2979" s="5">
        <v>12992.105410393709</v>
      </c>
      <c r="Q2979" s="5">
        <v>28797.29222718185</v>
      </c>
      <c r="R2979" s="5">
        <v>7879.038918914337</v>
      </c>
    </row>
    <row r="2980" spans="9:18">
      <c r="I2980" s="4">
        <v>2965</v>
      </c>
      <c r="J2980" s="5">
        <v>16088.430030489333</v>
      </c>
      <c r="K2980" s="5">
        <v>10931.803935361211</v>
      </c>
      <c r="L2980" s="5">
        <v>23760.785349782636</v>
      </c>
      <c r="M2980" s="5">
        <v>21712.71007234112</v>
      </c>
      <c r="N2980" s="5">
        <v>14240.123545764454</v>
      </c>
      <c r="O2980" s="5">
        <v>28431.436490368542</v>
      </c>
      <c r="P2980" s="5">
        <v>34814.458119125498</v>
      </c>
      <c r="Q2980" s="5">
        <v>116445.46783345108</v>
      </c>
      <c r="R2980" s="5">
        <v>33290.909836056817</v>
      </c>
    </row>
    <row r="2981" spans="9:18">
      <c r="I2981" s="4">
        <v>2966</v>
      </c>
      <c r="J2981" s="5">
        <v>14960.076233580705</v>
      </c>
      <c r="K2981" s="5">
        <v>14611.618478071941</v>
      </c>
      <c r="L2981" s="5">
        <v>17578.712723867691</v>
      </c>
      <c r="M2981" s="5">
        <v>19097.39635881727</v>
      </c>
      <c r="N2981" s="5">
        <v>12297.015342318469</v>
      </c>
      <c r="O2981" s="5">
        <v>24422.445067017139</v>
      </c>
      <c r="P2981" s="5">
        <v>33715.790977629549</v>
      </c>
      <c r="Q2981" s="5">
        <v>22895.455950885695</v>
      </c>
      <c r="R2981" s="5">
        <v>35232.418639121184</v>
      </c>
    </row>
    <row r="2982" spans="9:18">
      <c r="I2982" s="4">
        <v>2967</v>
      </c>
      <c r="J2982" s="5">
        <v>14420.293087375476</v>
      </c>
      <c r="K2982" s="5">
        <v>31910.762633549082</v>
      </c>
      <c r="L2982" s="5">
        <v>15651.346103181355</v>
      </c>
      <c r="M2982" s="5">
        <v>9623.0342442006167</v>
      </c>
      <c r="N2982" s="5">
        <v>22868.569282757788</v>
      </c>
      <c r="O2982" s="5">
        <v>25604.597681740845</v>
      </c>
      <c r="P2982" s="5">
        <v>27820.721938889761</v>
      </c>
      <c r="Q2982" s="5">
        <v>18097.768262249352</v>
      </c>
      <c r="R2982" s="5">
        <v>39263.770877572199</v>
      </c>
    </row>
    <row r="2983" spans="9:18">
      <c r="I2983" s="4">
        <v>2968</v>
      </c>
      <c r="J2983" s="5">
        <v>15417.870921574262</v>
      </c>
      <c r="K2983" s="5">
        <v>30552.499930043898</v>
      </c>
      <c r="L2983" s="5">
        <v>21725.131459372977</v>
      </c>
      <c r="M2983" s="5">
        <v>13616.35938654862</v>
      </c>
      <c r="N2983" s="5">
        <v>19225.139878706803</v>
      </c>
      <c r="O2983" s="5">
        <v>27062.73412298776</v>
      </c>
      <c r="P2983" s="5">
        <v>3017.2887813579896</v>
      </c>
      <c r="Q2983" s="5">
        <v>29432.473148002948</v>
      </c>
      <c r="R2983" s="5">
        <v>51141.799458534304</v>
      </c>
    </row>
    <row r="2984" spans="9:18">
      <c r="I2984" s="4">
        <v>2969</v>
      </c>
      <c r="J2984" s="5">
        <v>13447.638004246244</v>
      </c>
      <c r="K2984" s="5">
        <v>19467.955014411935</v>
      </c>
      <c r="L2984" s="5">
        <v>17578.712723867691</v>
      </c>
      <c r="M2984" s="5">
        <v>11860.862376247747</v>
      </c>
      <c r="N2984" s="5">
        <v>22868.569282757788</v>
      </c>
      <c r="O2984" s="5">
        <v>41800.463215706819</v>
      </c>
      <c r="P2984" s="5">
        <v>20403.656304140692</v>
      </c>
      <c r="Q2984" s="5">
        <v>31019.493883163672</v>
      </c>
      <c r="R2984" s="5">
        <v>1535.701520095213</v>
      </c>
    </row>
    <row r="2985" spans="9:18">
      <c r="I2985" s="4">
        <v>2970</v>
      </c>
      <c r="J2985" s="5">
        <v>73074.062486361407</v>
      </c>
      <c r="K2985" s="5">
        <v>13520.836427679104</v>
      </c>
      <c r="L2985" s="5">
        <v>22018.381599979773</v>
      </c>
      <c r="M2985" s="5">
        <v>20185.026038758231</v>
      </c>
      <c r="N2985" s="5">
        <v>11251.634703629026</v>
      </c>
      <c r="O2985" s="5">
        <v>9708.4497800977806</v>
      </c>
      <c r="P2985" s="5">
        <v>66904.018529955298</v>
      </c>
      <c r="Q2985" s="5">
        <v>16591.881190929333</v>
      </c>
      <c r="R2985" s="5">
        <v>261393.32711858812</v>
      </c>
    </row>
    <row r="2986" spans="9:18">
      <c r="I2986" s="4">
        <v>2971</v>
      </c>
      <c r="J2986" s="5">
        <v>16416.142496463777</v>
      </c>
      <c r="K2986" s="5">
        <v>31910.762633549082</v>
      </c>
      <c r="L2986" s="5">
        <v>18602.881797624486</v>
      </c>
      <c r="M2986" s="5">
        <v>18043.539897080744</v>
      </c>
      <c r="N2986" s="5">
        <v>18367.429489032103</v>
      </c>
      <c r="O2986" s="5">
        <v>83458.030763693328</v>
      </c>
      <c r="P2986" s="5">
        <v>54100.778483493887</v>
      </c>
      <c r="Q2986" s="5">
        <v>56069.347629295014</v>
      </c>
      <c r="R2986" s="5">
        <v>72561.496699005787</v>
      </c>
    </row>
    <row r="2987" spans="9:18">
      <c r="I2987" s="4">
        <v>2972</v>
      </c>
      <c r="J2987" s="5">
        <v>31559.699247539775</v>
      </c>
      <c r="K2987" s="5">
        <v>11149.572204897504</v>
      </c>
      <c r="L2987" s="5">
        <v>15487.970507365942</v>
      </c>
      <c r="M2987" s="5">
        <v>20550.782384061673</v>
      </c>
      <c r="N2987" s="5">
        <v>22511.351424689696</v>
      </c>
      <c r="O2987" s="5">
        <v>31172.963108652857</v>
      </c>
      <c r="P2987" s="5">
        <v>9633.1652908310007</v>
      </c>
      <c r="Q2987" s="5">
        <v>59964.86015574776</v>
      </c>
      <c r="R2987" s="5">
        <v>17687.533637716911</v>
      </c>
    </row>
    <row r="2988" spans="9:18">
      <c r="I2988" s="4">
        <v>2973</v>
      </c>
      <c r="J2988" s="5">
        <v>15081.728672246438</v>
      </c>
      <c r="K2988" s="5">
        <v>95171.967522309933</v>
      </c>
      <c r="L2988" s="5">
        <v>14316.474075738101</v>
      </c>
      <c r="M2988" s="5">
        <v>12735.841453044006</v>
      </c>
      <c r="N2988" s="5">
        <v>46248.895746171031</v>
      </c>
      <c r="O2988" s="5">
        <v>53007.660727727191</v>
      </c>
      <c r="P2988" s="5">
        <v>14316.965520592317</v>
      </c>
      <c r="Q2988" s="5">
        <v>28078.365156847896</v>
      </c>
      <c r="R2988" s="5">
        <v>41418.225609677866</v>
      </c>
    </row>
    <row r="2989" spans="9:18">
      <c r="I2989" s="4">
        <v>2974</v>
      </c>
      <c r="J2989" s="5">
        <v>12056.41843703942</v>
      </c>
      <c r="K2989" s="5">
        <v>30552.499930043898</v>
      </c>
      <c r="L2989" s="5">
        <v>16472.138192556791</v>
      </c>
      <c r="M2989" s="5">
        <v>22961.931350882205</v>
      </c>
      <c r="N2989" s="5">
        <v>21009.255892677338</v>
      </c>
      <c r="O2989" s="5">
        <v>33720.545907536376</v>
      </c>
      <c r="P2989" s="5">
        <v>21813.848941464526</v>
      </c>
      <c r="Q2989" s="5">
        <v>30495.121067047665</v>
      </c>
      <c r="R2989" s="5">
        <v>81423.874800517297</v>
      </c>
    </row>
    <row r="2990" spans="9:18">
      <c r="I2990" s="4">
        <v>2975</v>
      </c>
      <c r="J2990" s="5">
        <v>22812.564910649318</v>
      </c>
      <c r="K2990" s="5">
        <v>14136.873097602549</v>
      </c>
      <c r="L2990" s="5">
        <v>29265.217478369766</v>
      </c>
      <c r="M2990" s="5">
        <v>22815.60259636537</v>
      </c>
      <c r="N2990" s="5">
        <v>23043.345403059295</v>
      </c>
      <c r="O2990" s="5">
        <v>4231.3144655921506</v>
      </c>
      <c r="P2990" s="5">
        <v>13452.921824087563</v>
      </c>
      <c r="Q2990" s="5">
        <v>16803.875627203233</v>
      </c>
      <c r="R2990" s="5">
        <v>18720.450716365784</v>
      </c>
    </row>
    <row r="2991" spans="9:18">
      <c r="I2991" s="4">
        <v>2976</v>
      </c>
      <c r="J2991" s="5">
        <v>27392.038553726634</v>
      </c>
      <c r="K2991" s="5">
        <v>43843.85059185313</v>
      </c>
      <c r="L2991" s="5">
        <v>17128.574519497746</v>
      </c>
      <c r="M2991" s="5">
        <v>36301.422888051464</v>
      </c>
      <c r="N2991" s="5">
        <v>18367.429489032103</v>
      </c>
      <c r="O2991" s="5">
        <v>36759.655306288936</v>
      </c>
      <c r="P2991" s="5">
        <v>83536.241167211992</v>
      </c>
      <c r="Q2991" s="5">
        <v>79566.621912742485</v>
      </c>
      <c r="R2991" s="5">
        <v>23583.884732956092</v>
      </c>
    </row>
    <row r="2992" spans="9:18">
      <c r="I2992" s="4">
        <v>2977</v>
      </c>
      <c r="J2992" s="5">
        <v>22812.564910649318</v>
      </c>
      <c r="K2992" s="5">
        <v>14017.262946034314</v>
      </c>
      <c r="L2992" s="5">
        <v>16071.260291253868</v>
      </c>
      <c r="M2992" s="5">
        <v>31460.745851561904</v>
      </c>
      <c r="N2992" s="5">
        <v>35826.921212852278</v>
      </c>
      <c r="O2992" s="5">
        <v>79848.944504816522</v>
      </c>
      <c r="P2992" s="5">
        <v>27452.975716953504</v>
      </c>
      <c r="Q2992" s="5">
        <v>29432.473148002948</v>
      </c>
      <c r="R2992" s="5">
        <v>12116.34255245842</v>
      </c>
    </row>
    <row r="2993" spans="9:18">
      <c r="I2993" s="4">
        <v>2978</v>
      </c>
      <c r="J2993" s="5">
        <v>16416.142496463777</v>
      </c>
      <c r="K2993" s="5">
        <v>15487.124352801369</v>
      </c>
      <c r="L2993" s="5">
        <v>16955.349467865559</v>
      </c>
      <c r="M2993" s="5">
        <v>17349.963215818931</v>
      </c>
      <c r="N2993" s="5">
        <v>21009.255892677338</v>
      </c>
      <c r="O2993" s="5">
        <v>31172.963108652857</v>
      </c>
      <c r="P2993" s="5">
        <v>26126.807131356076</v>
      </c>
      <c r="Q2993" s="5">
        <v>42044.890065817184</v>
      </c>
      <c r="R2993" s="5">
        <v>123773.40402252052</v>
      </c>
    </row>
    <row r="2994" spans="9:18">
      <c r="I2994" s="4">
        <v>2979</v>
      </c>
      <c r="J2994" s="5">
        <v>23517.429992060665</v>
      </c>
      <c r="K2994" s="5">
        <v>14095.75230105142</v>
      </c>
      <c r="L2994" s="5">
        <v>25389.332759288587</v>
      </c>
      <c r="M2994" s="5">
        <v>19042.78605337895</v>
      </c>
      <c r="N2994" s="5">
        <v>59876.136849941562</v>
      </c>
      <c r="O2994" s="5">
        <v>13966.178986479143</v>
      </c>
      <c r="P2994" s="5">
        <v>17996.895987204196</v>
      </c>
      <c r="Q2994" s="5">
        <v>9138.5169630896526</v>
      </c>
      <c r="R2994" s="5">
        <v>96845.299789249824</v>
      </c>
    </row>
    <row r="2995" spans="9:18">
      <c r="I2995" s="4">
        <v>2980</v>
      </c>
      <c r="J2995" s="5">
        <v>14344.692898101612</v>
      </c>
      <c r="K2995" s="5">
        <v>13331.01856102917</v>
      </c>
      <c r="L2995" s="5">
        <v>17243.440968229323</v>
      </c>
      <c r="M2995" s="5">
        <v>16510.442870615672</v>
      </c>
      <c r="N2995" s="5">
        <v>23583.581287126868</v>
      </c>
      <c r="O2995" s="5">
        <v>13840.304699955392</v>
      </c>
      <c r="P2995" s="5">
        <v>39054.462981000084</v>
      </c>
      <c r="Q2995" s="5">
        <v>11928.872068442162</v>
      </c>
      <c r="R2995" s="5">
        <v>3311.4906988006405</v>
      </c>
    </row>
    <row r="2996" spans="9:18">
      <c r="I2996" s="4">
        <v>2981</v>
      </c>
      <c r="J2996" s="5">
        <v>16710.807721801892</v>
      </c>
      <c r="K2996" s="5">
        <v>18218.584572172625</v>
      </c>
      <c r="L2996" s="5">
        <v>16071.478531535273</v>
      </c>
      <c r="M2996" s="5">
        <v>7334.8610818348589</v>
      </c>
      <c r="N2996" s="5">
        <v>6130.3882288404347</v>
      </c>
      <c r="O2996" s="5">
        <v>31172.963108652857</v>
      </c>
      <c r="P2996" s="5">
        <v>10733.318076105543</v>
      </c>
      <c r="Q2996" s="5">
        <v>100789.83462564547</v>
      </c>
      <c r="R2996" s="5">
        <v>50287.76786557267</v>
      </c>
    </row>
    <row r="2997" spans="9:18">
      <c r="I2997" s="4">
        <v>2982</v>
      </c>
      <c r="J2997" s="5">
        <v>15623.733864199699</v>
      </c>
      <c r="K2997" s="5">
        <v>13288.692555879701</v>
      </c>
      <c r="L2997" s="5">
        <v>15225.811035017256</v>
      </c>
      <c r="M2997" s="5">
        <v>37411.178129764201</v>
      </c>
      <c r="N2997" s="5">
        <v>13511.694619545402</v>
      </c>
      <c r="O2997" s="5">
        <v>19430.912633256889</v>
      </c>
      <c r="P2997" s="5">
        <v>5735.6883097179207</v>
      </c>
      <c r="Q2997" s="5">
        <v>31618.396253255491</v>
      </c>
      <c r="R2997" s="5">
        <v>65420.116221752483</v>
      </c>
    </row>
    <row r="2998" spans="9:18">
      <c r="I2998" s="4">
        <v>2983</v>
      </c>
      <c r="J2998" s="5">
        <v>13663.281817546009</v>
      </c>
      <c r="K2998" s="5">
        <v>13719.930466819731</v>
      </c>
      <c r="L2998" s="5">
        <v>14610.165745300763</v>
      </c>
      <c r="M2998" s="5">
        <v>18816.787977140237</v>
      </c>
      <c r="N2998" s="5">
        <v>12297.015342318469</v>
      </c>
      <c r="O2998" s="5">
        <v>51330.340277512776</v>
      </c>
      <c r="P2998" s="5">
        <v>63015.124693769802</v>
      </c>
      <c r="Q2998" s="5">
        <v>8502.450657922871</v>
      </c>
      <c r="R2998" s="5">
        <v>55106.806585409526</v>
      </c>
    </row>
    <row r="2999" spans="9:18">
      <c r="I2999" s="4">
        <v>2984</v>
      </c>
      <c r="J2999" s="5">
        <v>29760.443016608337</v>
      </c>
      <c r="K2999" s="5">
        <v>10931.803935361211</v>
      </c>
      <c r="L2999" s="5">
        <v>17243.440968229323</v>
      </c>
      <c r="M2999" s="5">
        <v>12934.591863415189</v>
      </c>
      <c r="N2999" s="5">
        <v>42744.618431291936</v>
      </c>
      <c r="O2999" s="5">
        <v>30876.675913171162</v>
      </c>
      <c r="P2999" s="5">
        <v>44816.412248582856</v>
      </c>
      <c r="Q2999" s="5">
        <v>42044.890065817184</v>
      </c>
      <c r="R2999" s="5">
        <v>1535.701520095213</v>
      </c>
    </row>
    <row r="3000" spans="9:18">
      <c r="I3000" s="4">
        <v>2985</v>
      </c>
      <c r="J3000" s="5">
        <v>14749.343145806102</v>
      </c>
      <c r="K3000" s="5">
        <v>11507.182177474708</v>
      </c>
      <c r="L3000" s="5">
        <v>13358.459356674217</v>
      </c>
      <c r="M3000" s="5">
        <v>17370.588707072598</v>
      </c>
      <c r="N3000" s="5">
        <v>11684.605182472778</v>
      </c>
      <c r="O3000" s="5">
        <v>12110.196126281628</v>
      </c>
      <c r="P3000" s="5">
        <v>10966.822219855034</v>
      </c>
      <c r="Q3000" s="5">
        <v>64585.328088516922</v>
      </c>
      <c r="R3000" s="5">
        <v>39788.288251916689</v>
      </c>
    </row>
    <row r="3001" spans="9:18">
      <c r="I3001" s="4">
        <v>2986</v>
      </c>
      <c r="J3001" s="5">
        <v>15130.594750069789</v>
      </c>
      <c r="K3001" s="5">
        <v>23543.914024953676</v>
      </c>
      <c r="L3001" s="5">
        <v>16777.996633299583</v>
      </c>
      <c r="M3001" s="5">
        <v>23908.621352410395</v>
      </c>
      <c r="N3001" s="5">
        <v>9989.086510768735</v>
      </c>
      <c r="O3001" s="5">
        <v>8801.3667015774663</v>
      </c>
      <c r="P3001" s="5">
        <v>46514.467673254068</v>
      </c>
      <c r="Q3001" s="5">
        <v>22895.455950885695</v>
      </c>
      <c r="R3001" s="5">
        <v>7952.6989268572033</v>
      </c>
    </row>
    <row r="3002" spans="9:18">
      <c r="I3002" s="4">
        <v>2987</v>
      </c>
      <c r="J3002" s="5">
        <v>31053.540961463306</v>
      </c>
      <c r="K3002" s="5">
        <v>24728.095385476983</v>
      </c>
      <c r="L3002" s="5">
        <v>14649.721476864312</v>
      </c>
      <c r="M3002" s="5">
        <v>13414.385151739983</v>
      </c>
      <c r="N3002" s="5">
        <v>25424.029865101274</v>
      </c>
      <c r="O3002" s="5">
        <v>30608.431994348266</v>
      </c>
      <c r="P3002" s="5">
        <v>38771.994792132391</v>
      </c>
      <c r="Q3002" s="5">
        <v>27018.509959127641</v>
      </c>
      <c r="R3002" s="5">
        <v>62674.060343500474</v>
      </c>
    </row>
    <row r="3003" spans="9:18">
      <c r="I3003" s="4">
        <v>2988</v>
      </c>
      <c r="J3003" s="5">
        <v>45301.532027110363</v>
      </c>
      <c r="K3003" s="5">
        <v>30552.499930043898</v>
      </c>
      <c r="L3003" s="5">
        <v>25007.552172398639</v>
      </c>
      <c r="M3003" s="5">
        <v>16001.653036457456</v>
      </c>
      <c r="N3003" s="5">
        <v>18367.429489032103</v>
      </c>
      <c r="O3003" s="5">
        <v>79848.944504816522</v>
      </c>
      <c r="P3003" s="5">
        <v>39054.462981000084</v>
      </c>
      <c r="Q3003" s="5">
        <v>9796.0979856104404</v>
      </c>
      <c r="R3003" s="5">
        <v>261393.32711858812</v>
      </c>
    </row>
    <row r="3004" spans="9:18">
      <c r="I3004" s="4">
        <v>2989</v>
      </c>
      <c r="J3004" s="5">
        <v>16156.372629961115</v>
      </c>
      <c r="K3004" s="5">
        <v>13652.224205833634</v>
      </c>
      <c r="L3004" s="5">
        <v>13358.459356674217</v>
      </c>
      <c r="M3004" s="5">
        <v>31472.019071027709</v>
      </c>
      <c r="N3004" s="5">
        <v>11684.605182472778</v>
      </c>
      <c r="O3004" s="5">
        <v>26565.882515615398</v>
      </c>
      <c r="P3004" s="5">
        <v>3831.1492650071077</v>
      </c>
      <c r="Q3004" s="5">
        <v>30495.121067047665</v>
      </c>
      <c r="R3004" s="5">
        <v>72640.340924600489</v>
      </c>
    </row>
    <row r="3005" spans="9:18">
      <c r="I3005" s="4">
        <v>2990</v>
      </c>
      <c r="J3005" s="5">
        <v>16145.071869702888</v>
      </c>
      <c r="K3005" s="5">
        <v>11403.533194020869</v>
      </c>
      <c r="L3005" s="5">
        <v>13867.07093008449</v>
      </c>
      <c r="M3005" s="5">
        <v>19097.39635881727</v>
      </c>
      <c r="N3005" s="5">
        <v>4770.4216775830728</v>
      </c>
      <c r="O3005" s="5">
        <v>11282.178219986479</v>
      </c>
      <c r="P3005" s="5">
        <v>27820.721938889761</v>
      </c>
      <c r="Q3005" s="5">
        <v>44911.749632594299</v>
      </c>
      <c r="R3005" s="5">
        <v>50287.76786557267</v>
      </c>
    </row>
    <row r="3006" spans="9:18">
      <c r="I3006" s="4">
        <v>2991</v>
      </c>
      <c r="J3006" s="5">
        <v>22188.291830993156</v>
      </c>
      <c r="K3006" s="5">
        <v>24728.095385476983</v>
      </c>
      <c r="L3006" s="5">
        <v>14649.721476864312</v>
      </c>
      <c r="M3006" s="5">
        <v>13139.022167648376</v>
      </c>
      <c r="N3006" s="5">
        <v>14921.795973817481</v>
      </c>
      <c r="O3006" s="5">
        <v>41653.890350944224</v>
      </c>
      <c r="P3006" s="5">
        <v>8877.9712092977989</v>
      </c>
      <c r="Q3006" s="5">
        <v>64585.328088516922</v>
      </c>
      <c r="R3006" s="5">
        <v>17687.533637716911</v>
      </c>
    </row>
    <row r="3007" spans="9:18">
      <c r="I3007" s="4">
        <v>2992</v>
      </c>
      <c r="J3007" s="5">
        <v>15417.870921574262</v>
      </c>
      <c r="K3007" s="5">
        <v>15768.312122029349</v>
      </c>
      <c r="L3007" s="5">
        <v>15922.087958863045</v>
      </c>
      <c r="M3007" s="5">
        <v>18816.787977140237</v>
      </c>
      <c r="N3007" s="5">
        <v>11251.634703629026</v>
      </c>
      <c r="O3007" s="5">
        <v>20827.029306810669</v>
      </c>
      <c r="P3007" s="5">
        <v>22601.57564624758</v>
      </c>
      <c r="Q3007" s="5">
        <v>17234.335939857254</v>
      </c>
      <c r="R3007" s="5">
        <v>39788.288251916689</v>
      </c>
    </row>
    <row r="3008" spans="9:18">
      <c r="I3008" s="4">
        <v>2993</v>
      </c>
      <c r="J3008" s="5">
        <v>22370.105711697011</v>
      </c>
      <c r="K3008" s="5">
        <v>13331.01856102917</v>
      </c>
      <c r="L3008" s="5">
        <v>16293.265064857471</v>
      </c>
      <c r="M3008" s="5">
        <v>11860.862376247747</v>
      </c>
      <c r="N3008" s="5">
        <v>13511.694619545402</v>
      </c>
      <c r="O3008" s="5">
        <v>19430.912633256889</v>
      </c>
      <c r="P3008" s="5">
        <v>32155.527541400057</v>
      </c>
      <c r="Q3008" s="5">
        <v>22895.455950885695</v>
      </c>
      <c r="R3008" s="5">
        <v>65420.116221752483</v>
      </c>
    </row>
    <row r="3009" spans="9:18">
      <c r="I3009" s="4">
        <v>2994</v>
      </c>
      <c r="J3009" s="5">
        <v>11036.461796239426</v>
      </c>
      <c r="K3009" s="5">
        <v>30552.499930043898</v>
      </c>
      <c r="L3009" s="5">
        <v>14344.859750762502</v>
      </c>
      <c r="M3009" s="5">
        <v>17542.15972125496</v>
      </c>
      <c r="N3009" s="5">
        <v>15130.853682762778</v>
      </c>
      <c r="O3009" s="5">
        <v>26565.882515615398</v>
      </c>
      <c r="P3009" s="5">
        <v>41657.50350099193</v>
      </c>
      <c r="Q3009" s="5">
        <v>4631.7430487757983</v>
      </c>
      <c r="R3009" s="5">
        <v>33863.04333215439</v>
      </c>
    </row>
    <row r="3010" spans="9:18">
      <c r="I3010" s="4">
        <v>2995</v>
      </c>
      <c r="J3010" s="5">
        <v>28085.9245102444</v>
      </c>
      <c r="K3010" s="5">
        <v>21218.439146892688</v>
      </c>
      <c r="L3010" s="5">
        <v>10896.494237357269</v>
      </c>
      <c r="M3010" s="5">
        <v>12426.949970383979</v>
      </c>
      <c r="N3010" s="5">
        <v>27833.630848857778</v>
      </c>
      <c r="O3010" s="5">
        <v>9708.4497800977806</v>
      </c>
      <c r="P3010" s="5">
        <v>9826.8369575407578</v>
      </c>
      <c r="Q3010" s="5">
        <v>27018.509959127641</v>
      </c>
      <c r="R3010" s="5">
        <v>19133.693426869788</v>
      </c>
    </row>
    <row r="3011" spans="9:18">
      <c r="I3011" s="4">
        <v>2996</v>
      </c>
      <c r="J3011" s="5">
        <v>17005.744061105343</v>
      </c>
      <c r="K3011" s="5">
        <v>37822.375317881044</v>
      </c>
      <c r="L3011" s="5">
        <v>14146.191653372813</v>
      </c>
      <c r="M3011" s="5">
        <v>16842.379179328669</v>
      </c>
      <c r="N3011" s="5">
        <v>9989.086510768735</v>
      </c>
      <c r="O3011" s="5">
        <v>24422.445067017139</v>
      </c>
      <c r="P3011" s="5">
        <v>25258.981945036445</v>
      </c>
      <c r="Q3011" s="5">
        <v>19541.409060825732</v>
      </c>
      <c r="R3011" s="5">
        <v>14079.827908007112</v>
      </c>
    </row>
    <row r="3012" spans="9:18">
      <c r="I3012" s="4">
        <v>2997</v>
      </c>
      <c r="J3012" s="5">
        <v>14680.308400328413</v>
      </c>
      <c r="K3012" s="5">
        <v>14351.415257675473</v>
      </c>
      <c r="L3012" s="5">
        <v>17845.207337527903</v>
      </c>
      <c r="M3012" s="5">
        <v>22961.931350882205</v>
      </c>
      <c r="N3012" s="5">
        <v>9989.086510768735</v>
      </c>
      <c r="O3012" s="5">
        <v>3171.3006415671193</v>
      </c>
      <c r="P3012" s="5">
        <v>54292.749740228588</v>
      </c>
      <c r="Q3012" s="5">
        <v>100789.83462564547</v>
      </c>
      <c r="R3012" s="5">
        <v>302760.11878714536</v>
      </c>
    </row>
    <row r="3013" spans="9:18">
      <c r="I3013" s="4">
        <v>2998</v>
      </c>
      <c r="J3013" s="5">
        <v>11936.262457073821</v>
      </c>
      <c r="K3013" s="5">
        <v>56656.842992470461</v>
      </c>
      <c r="L3013" s="5">
        <v>14811.370758813007</v>
      </c>
      <c r="M3013" s="5">
        <v>14432.283063351901</v>
      </c>
      <c r="N3013" s="5">
        <v>23998.040874392525</v>
      </c>
      <c r="O3013" s="5">
        <v>55264.438774006347</v>
      </c>
      <c r="P3013" s="5">
        <v>27820.721938889761</v>
      </c>
      <c r="Q3013" s="5">
        <v>11928.872068442162</v>
      </c>
      <c r="R3013" s="5">
        <v>17304.847214362417</v>
      </c>
    </row>
    <row r="3014" spans="9:18">
      <c r="I3014" s="4">
        <v>2999</v>
      </c>
      <c r="J3014" s="5">
        <v>17005.744061105343</v>
      </c>
      <c r="K3014" s="5">
        <v>16873.752266014431</v>
      </c>
      <c r="L3014" s="5">
        <v>15759.954187048656</v>
      </c>
      <c r="M3014" s="5">
        <v>19890.009981657669</v>
      </c>
      <c r="N3014" s="5">
        <v>23043.345403059295</v>
      </c>
      <c r="O3014" s="5">
        <v>10676.618215263648</v>
      </c>
      <c r="P3014" s="5">
        <v>3831.1492650071077</v>
      </c>
      <c r="Q3014" s="5">
        <v>53055.59182561023</v>
      </c>
      <c r="R3014" s="5">
        <v>51141.799458534304</v>
      </c>
    </row>
    <row r="3015" spans="9:18">
      <c r="I3015" s="4">
        <v>3000</v>
      </c>
      <c r="J3015" s="5">
        <v>14750.660273177687</v>
      </c>
      <c r="K3015" s="5">
        <v>14878.52734402675</v>
      </c>
      <c r="L3015" s="5">
        <v>14364.472927446199</v>
      </c>
      <c r="M3015" s="5">
        <v>31554.722481137964</v>
      </c>
      <c r="N3015" s="5">
        <v>28426.778914975595</v>
      </c>
      <c r="O3015" s="5">
        <v>9320.7026593487881</v>
      </c>
      <c r="P3015" s="5">
        <v>55152.110177667731</v>
      </c>
      <c r="Q3015" s="5">
        <v>19315.033835554255</v>
      </c>
      <c r="R3015" s="5">
        <v>72640.340924600489</v>
      </c>
    </row>
    <row r="3016" spans="9:18">
      <c r="I3016" s="4">
        <v>3001</v>
      </c>
      <c r="J3016" s="5">
        <v>31559.699247539775</v>
      </c>
      <c r="K3016" s="5">
        <v>30552.499930043898</v>
      </c>
      <c r="L3016" s="5">
        <v>21725.131459372977</v>
      </c>
      <c r="M3016" s="5">
        <v>20185.026038758231</v>
      </c>
      <c r="N3016" s="5">
        <v>42744.618431291936</v>
      </c>
      <c r="O3016" s="5">
        <v>67717.30633712461</v>
      </c>
      <c r="P3016" s="5">
        <v>36724.352187786957</v>
      </c>
      <c r="Q3016" s="5">
        <v>70295.978314632754</v>
      </c>
      <c r="R3016" s="5">
        <v>31715.273557891396</v>
      </c>
    </row>
    <row r="3017" spans="9:18">
      <c r="I3017" s="4">
        <v>3002</v>
      </c>
      <c r="J3017" s="5">
        <v>22812.564910649318</v>
      </c>
      <c r="K3017" s="5">
        <v>30552.499930043898</v>
      </c>
      <c r="L3017" s="5">
        <v>24256.352541181568</v>
      </c>
      <c r="M3017" s="5">
        <v>10111.451009425113</v>
      </c>
      <c r="N3017" s="5">
        <v>48565.498233359976</v>
      </c>
      <c r="O3017" s="5">
        <v>15124.35050053727</v>
      </c>
      <c r="P3017" s="5">
        <v>23769.190223735484</v>
      </c>
      <c r="Q3017" s="5">
        <v>52545.991451361173</v>
      </c>
      <c r="R3017" s="5">
        <v>2071.5141323269809</v>
      </c>
    </row>
    <row r="3018" spans="9:18">
      <c r="I3018" s="4">
        <v>3003</v>
      </c>
      <c r="J3018" s="5">
        <v>11936.262457073821</v>
      </c>
      <c r="K3018" s="5">
        <v>15698.764831033119</v>
      </c>
      <c r="L3018" s="5">
        <v>17243.440968229323</v>
      </c>
      <c r="M3018" s="5">
        <v>36301.422888051464</v>
      </c>
      <c r="N3018" s="5">
        <v>35826.921212852278</v>
      </c>
      <c r="O3018" s="5">
        <v>28431.436490368542</v>
      </c>
      <c r="P3018" s="5">
        <v>24349.301972630979</v>
      </c>
      <c r="Q3018" s="5">
        <v>30266.563414010914</v>
      </c>
      <c r="R3018" s="5">
        <v>62674.060343500474</v>
      </c>
    </row>
    <row r="3019" spans="9:18">
      <c r="I3019" s="4">
        <v>3004</v>
      </c>
      <c r="J3019" s="5">
        <v>15417.870921574262</v>
      </c>
      <c r="K3019" s="5">
        <v>32294.121255311245</v>
      </c>
      <c r="L3019" s="5">
        <v>16293.265064857471</v>
      </c>
      <c r="M3019" s="5">
        <v>20788.503422877813</v>
      </c>
      <c r="N3019" s="5">
        <v>24020.875410266352</v>
      </c>
      <c r="O3019" s="5">
        <v>53007.660727727191</v>
      </c>
      <c r="P3019" s="5">
        <v>55152.110177667731</v>
      </c>
      <c r="Q3019" s="5">
        <v>59134.059519022907</v>
      </c>
      <c r="R3019" s="5">
        <v>90296.353221228885</v>
      </c>
    </row>
    <row r="3020" spans="9:18">
      <c r="I3020" s="4">
        <v>3005</v>
      </c>
      <c r="J3020" s="5">
        <v>13447.638004246244</v>
      </c>
      <c r="K3020" s="5">
        <v>16273.14570113692</v>
      </c>
      <c r="L3020" s="5">
        <v>14264.23790876064</v>
      </c>
      <c r="M3020" s="5">
        <v>19795.661011456152</v>
      </c>
      <c r="N3020" s="5">
        <v>23998.040874392525</v>
      </c>
      <c r="O3020" s="5">
        <v>10746.295275180995</v>
      </c>
      <c r="P3020" s="5">
        <v>3017.2887813579896</v>
      </c>
      <c r="Q3020" s="5">
        <v>42044.890065817184</v>
      </c>
      <c r="R3020" s="5">
        <v>89167.415757270224</v>
      </c>
    </row>
    <row r="3021" spans="9:18">
      <c r="I3021" s="4">
        <v>3006</v>
      </c>
      <c r="J3021" s="5">
        <v>15064.079707240266</v>
      </c>
      <c r="K3021" s="5">
        <v>15051.330276415061</v>
      </c>
      <c r="L3021" s="5">
        <v>18215.751370765771</v>
      </c>
      <c r="M3021" s="5">
        <v>14217.48832834715</v>
      </c>
      <c r="N3021" s="5">
        <v>57711.498171893618</v>
      </c>
      <c r="O3021" s="5">
        <v>12110.196126281628</v>
      </c>
      <c r="P3021" s="5">
        <v>9633.1652908310007</v>
      </c>
      <c r="Q3021" s="5">
        <v>27789.973552634947</v>
      </c>
      <c r="R3021" s="5">
        <v>89167.415757270224</v>
      </c>
    </row>
    <row r="3022" spans="9:18">
      <c r="I3022" s="4">
        <v>3007</v>
      </c>
      <c r="J3022" s="5">
        <v>15554.996700302558</v>
      </c>
      <c r="K3022" s="5">
        <v>13652.224205833634</v>
      </c>
      <c r="L3022" s="5">
        <v>22162.138529251199</v>
      </c>
      <c r="M3022" s="5">
        <v>19262.243095117232</v>
      </c>
      <c r="N3022" s="5">
        <v>36962.805083900916</v>
      </c>
      <c r="O3022" s="5">
        <v>83458.030763693328</v>
      </c>
      <c r="P3022" s="5">
        <v>10733.318076105543</v>
      </c>
      <c r="Q3022" s="5">
        <v>28776.080424849053</v>
      </c>
      <c r="R3022" s="5">
        <v>50287.76786557267</v>
      </c>
    </row>
    <row r="3023" spans="9:18">
      <c r="I3023" s="4">
        <v>3008</v>
      </c>
      <c r="J3023" s="5">
        <v>31053.540961463306</v>
      </c>
      <c r="K3023" s="5">
        <v>15768.312122029349</v>
      </c>
      <c r="L3023" s="5">
        <v>15651.346103181355</v>
      </c>
      <c r="M3023" s="5">
        <v>14660.631931099009</v>
      </c>
      <c r="N3023" s="5">
        <v>42744.618431291936</v>
      </c>
      <c r="O3023" s="5">
        <v>26565.882515615398</v>
      </c>
      <c r="P3023" s="5">
        <v>3930.0915591834291</v>
      </c>
      <c r="Q3023" s="5">
        <v>9138.5169630896526</v>
      </c>
      <c r="R3023" s="5">
        <v>27349.63499959607</v>
      </c>
    </row>
    <row r="3024" spans="9:18">
      <c r="I3024" s="4">
        <v>3009</v>
      </c>
      <c r="J3024" s="5">
        <v>14749.343145806102</v>
      </c>
      <c r="K3024" s="5">
        <v>35488.449387009874</v>
      </c>
      <c r="L3024" s="5">
        <v>18602.881797624486</v>
      </c>
      <c r="M3024" s="5">
        <v>16001.653036457456</v>
      </c>
      <c r="N3024" s="5">
        <v>48565.498233359976</v>
      </c>
      <c r="O3024" s="5">
        <v>53504.725169095313</v>
      </c>
      <c r="P3024" s="5">
        <v>55119.366528283317</v>
      </c>
      <c r="Q3024" s="5">
        <v>10151.908492905288</v>
      </c>
      <c r="R3024" s="5">
        <v>6360.7905155660001</v>
      </c>
    </row>
    <row r="3025" spans="9:18">
      <c r="I3025" s="4">
        <v>3010</v>
      </c>
      <c r="J3025" s="5">
        <v>20002.201347927807</v>
      </c>
      <c r="K3025" s="5">
        <v>18218.584572172625</v>
      </c>
      <c r="L3025" s="5">
        <v>18634.523182776735</v>
      </c>
      <c r="M3025" s="5">
        <v>26477.996319655329</v>
      </c>
      <c r="N3025" s="5">
        <v>37309.151967087455</v>
      </c>
      <c r="O3025" s="5">
        <v>20991.103410982985</v>
      </c>
      <c r="P3025" s="5">
        <v>74840.036182179319</v>
      </c>
      <c r="Q3025" s="5">
        <v>13865.641566869812</v>
      </c>
      <c r="R3025" s="5">
        <v>55106.806585409526</v>
      </c>
    </row>
    <row r="3026" spans="9:18">
      <c r="I3026" s="4">
        <v>3011</v>
      </c>
      <c r="J3026" s="5">
        <v>11036.461796239426</v>
      </c>
      <c r="K3026" s="5">
        <v>12777.667398488715</v>
      </c>
      <c r="L3026" s="5">
        <v>17128.574519497746</v>
      </c>
      <c r="M3026" s="5">
        <v>12735.841453044006</v>
      </c>
      <c r="N3026" s="5">
        <v>34295.124147811541</v>
      </c>
      <c r="O3026" s="5">
        <v>26565.882515615398</v>
      </c>
      <c r="P3026" s="5">
        <v>14773.185437294762</v>
      </c>
      <c r="Q3026" s="5">
        <v>20987.925664394581</v>
      </c>
      <c r="R3026" s="5">
        <v>17991.870496434763</v>
      </c>
    </row>
    <row r="3027" spans="9:18">
      <c r="I3027" s="4">
        <v>3012</v>
      </c>
      <c r="J3027" s="5">
        <v>19048.674633640545</v>
      </c>
      <c r="K3027" s="5">
        <v>34164.842952759042</v>
      </c>
      <c r="L3027" s="5">
        <v>14610.165745300763</v>
      </c>
      <c r="M3027" s="5">
        <v>24981.974172352908</v>
      </c>
      <c r="N3027" s="5">
        <v>22735.120948269971</v>
      </c>
      <c r="O3027" s="5">
        <v>35286.662852302201</v>
      </c>
      <c r="P3027" s="5">
        <v>17643.087208586294</v>
      </c>
      <c r="Q3027" s="5">
        <v>4924.9171270300558</v>
      </c>
      <c r="R3027" s="5">
        <v>216919.53009911609</v>
      </c>
    </row>
    <row r="3028" spans="9:18">
      <c r="I3028" s="4">
        <v>3013</v>
      </c>
      <c r="J3028" s="5">
        <v>16145.071869702888</v>
      </c>
      <c r="K3028" s="5">
        <v>9739.7813029644258</v>
      </c>
      <c r="L3028" s="5">
        <v>21954.536591034263</v>
      </c>
      <c r="M3028" s="5">
        <v>15202.972920708273</v>
      </c>
      <c r="N3028" s="5">
        <v>9209.4418830788036</v>
      </c>
      <c r="O3028" s="5">
        <v>13840.304699955392</v>
      </c>
      <c r="P3028" s="5">
        <v>12639.596794453437</v>
      </c>
      <c r="Q3028" s="5">
        <v>9138.5169630896526</v>
      </c>
      <c r="R3028" s="5">
        <v>84289.422255274636</v>
      </c>
    </row>
    <row r="3029" spans="9:18">
      <c r="I3029" s="4">
        <v>3014</v>
      </c>
      <c r="J3029" s="5">
        <v>16544.73779470181</v>
      </c>
      <c r="K3029" s="5">
        <v>14854.898507619706</v>
      </c>
      <c r="L3029" s="5">
        <v>16577.562442697115</v>
      </c>
      <c r="M3029" s="5">
        <v>16510.442870615672</v>
      </c>
      <c r="N3029" s="5">
        <v>9563.1256545330361</v>
      </c>
      <c r="O3029" s="5">
        <v>5444.7598502623823</v>
      </c>
      <c r="P3029" s="5">
        <v>12790.85158217316</v>
      </c>
      <c r="Q3029" s="5">
        <v>44911.749632594299</v>
      </c>
      <c r="R3029" s="5">
        <v>20236.767651156802</v>
      </c>
    </row>
    <row r="3030" spans="9:18">
      <c r="I3030" s="4">
        <v>3015</v>
      </c>
      <c r="J3030" s="5">
        <v>16733.020222212988</v>
      </c>
      <c r="K3030" s="5">
        <v>11149.572204897504</v>
      </c>
      <c r="L3030" s="5">
        <v>18602.881797624486</v>
      </c>
      <c r="M3030" s="5">
        <v>24981.974172352908</v>
      </c>
      <c r="N3030" s="5">
        <v>34295.124147811541</v>
      </c>
      <c r="O3030" s="5">
        <v>24247.516962783076</v>
      </c>
      <c r="P3030" s="5">
        <v>46514.467673254068</v>
      </c>
      <c r="Q3030" s="5">
        <v>19315.033835554255</v>
      </c>
      <c r="R3030" s="5">
        <v>93933.045103013996</v>
      </c>
    </row>
    <row r="3031" spans="9:18">
      <c r="I3031" s="4">
        <v>3016</v>
      </c>
      <c r="J3031" s="5">
        <v>19121.054099180623</v>
      </c>
      <c r="K3031" s="5">
        <v>13331.01856102917</v>
      </c>
      <c r="L3031" s="5">
        <v>15300.182042823812</v>
      </c>
      <c r="M3031" s="5">
        <v>7334.8610818348589</v>
      </c>
      <c r="N3031" s="5">
        <v>46248.895746171031</v>
      </c>
      <c r="O3031" s="5">
        <v>19430.912633256889</v>
      </c>
      <c r="P3031" s="5">
        <v>55119.366528283317</v>
      </c>
      <c r="Q3031" s="5">
        <v>18097.768262249352</v>
      </c>
      <c r="R3031" s="5">
        <v>50287.76786557267</v>
      </c>
    </row>
    <row r="3032" spans="9:18">
      <c r="I3032" s="4">
        <v>3017</v>
      </c>
      <c r="J3032" s="5">
        <v>23517.429992060665</v>
      </c>
      <c r="K3032" s="5">
        <v>14017.262946034314</v>
      </c>
      <c r="L3032" s="5">
        <v>16472.138192556791</v>
      </c>
      <c r="M3032" s="5">
        <v>13616.35938654862</v>
      </c>
      <c r="N3032" s="5">
        <v>26152.705108198839</v>
      </c>
      <c r="O3032" s="5">
        <v>10676.618215263648</v>
      </c>
      <c r="P3032" s="5">
        <v>14316.965520592317</v>
      </c>
      <c r="Q3032" s="5">
        <v>18097.768262249352</v>
      </c>
      <c r="R3032" s="5">
        <v>1535.701520095213</v>
      </c>
    </row>
    <row r="3033" spans="9:18">
      <c r="I3033" s="4">
        <v>3018</v>
      </c>
      <c r="J3033" s="5">
        <v>16166.107684907736</v>
      </c>
      <c r="K3033" s="5">
        <v>14017.262946034314</v>
      </c>
      <c r="L3033" s="5">
        <v>16293.265064857471</v>
      </c>
      <c r="M3033" s="5">
        <v>19042.78605337895</v>
      </c>
      <c r="N3033" s="5">
        <v>11251.634703629026</v>
      </c>
      <c r="O3033" s="5">
        <v>10369.402667058452</v>
      </c>
      <c r="P3033" s="5">
        <v>17737.38315098183</v>
      </c>
      <c r="Q3033" s="5">
        <v>47365.380972950254</v>
      </c>
      <c r="R3033" s="5">
        <v>181970.23111012415</v>
      </c>
    </row>
    <row r="3034" spans="9:18">
      <c r="I3034" s="4">
        <v>3019</v>
      </c>
      <c r="J3034" s="5">
        <v>7855.2948890116513</v>
      </c>
      <c r="K3034" s="5">
        <v>16605.655749562578</v>
      </c>
      <c r="L3034" s="5">
        <v>15487.970507365942</v>
      </c>
      <c r="M3034" s="5">
        <v>19097.39635881727</v>
      </c>
      <c r="N3034" s="5">
        <v>23043.345403059295</v>
      </c>
      <c r="O3034" s="5">
        <v>27195.510785031525</v>
      </c>
      <c r="P3034" s="5">
        <v>46514.467673254068</v>
      </c>
      <c r="Q3034" s="5">
        <v>28776.080424849053</v>
      </c>
      <c r="R3034" s="5">
        <v>41056.152565483346</v>
      </c>
    </row>
    <row r="3035" spans="9:18">
      <c r="I3035" s="4">
        <v>3020</v>
      </c>
      <c r="J3035" s="5">
        <v>17005.744061105343</v>
      </c>
      <c r="K3035" s="5">
        <v>11857.447519815871</v>
      </c>
      <c r="L3035" s="5">
        <v>19189.275558866306</v>
      </c>
      <c r="M3035" s="5">
        <v>13414.385151739983</v>
      </c>
      <c r="N3035" s="5">
        <v>6130.3882288404347</v>
      </c>
      <c r="O3035" s="5">
        <v>41653.890350944224</v>
      </c>
      <c r="P3035" s="5">
        <v>95486.196907583406</v>
      </c>
      <c r="Q3035" s="5">
        <v>54060.5331097772</v>
      </c>
      <c r="R3035" s="5">
        <v>20236.767651156802</v>
      </c>
    </row>
    <row r="3036" spans="9:18">
      <c r="I3036" s="4">
        <v>3021</v>
      </c>
      <c r="J3036" s="5">
        <v>49463.324094345015</v>
      </c>
      <c r="K3036" s="5">
        <v>15768.312122029349</v>
      </c>
      <c r="L3036" s="5">
        <v>17243.440968229323</v>
      </c>
      <c r="M3036" s="5">
        <v>9623.0342442006167</v>
      </c>
      <c r="N3036" s="5">
        <v>20718.434293991453</v>
      </c>
      <c r="O3036" s="5">
        <v>33720.545907536376</v>
      </c>
      <c r="P3036" s="5">
        <v>13793.886507202402</v>
      </c>
      <c r="Q3036" s="5">
        <v>8880.8074399558282</v>
      </c>
      <c r="R3036" s="5">
        <v>122304.95880137496</v>
      </c>
    </row>
    <row r="3037" spans="9:18">
      <c r="I3037" s="4">
        <v>3022</v>
      </c>
      <c r="J3037" s="5">
        <v>14710.037865351254</v>
      </c>
      <c r="K3037" s="5">
        <v>34164.842952759042</v>
      </c>
      <c r="L3037" s="5">
        <v>18475.258050488967</v>
      </c>
      <c r="M3037" s="5">
        <v>29834.240613550006</v>
      </c>
      <c r="N3037" s="5">
        <v>14335.478134989447</v>
      </c>
      <c r="O3037" s="5">
        <v>27503.656957929088</v>
      </c>
      <c r="P3037" s="5">
        <v>49519.098753410741</v>
      </c>
      <c r="Q3037" s="5">
        <v>14064.158297039334</v>
      </c>
      <c r="R3037" s="5">
        <v>8046.7106309763258</v>
      </c>
    </row>
    <row r="3038" spans="9:18">
      <c r="I3038" s="4">
        <v>3023</v>
      </c>
      <c r="J3038" s="5">
        <v>20768.286261788198</v>
      </c>
      <c r="K3038" s="5">
        <v>10931.803935361211</v>
      </c>
      <c r="L3038" s="5">
        <v>14344.859750762502</v>
      </c>
      <c r="M3038" s="5">
        <v>20788.503422877813</v>
      </c>
      <c r="N3038" s="5">
        <v>12523.573732460784</v>
      </c>
      <c r="O3038" s="5">
        <v>5909.5347260996277</v>
      </c>
      <c r="P3038" s="5">
        <v>9826.8369575407578</v>
      </c>
      <c r="Q3038" s="5">
        <v>16803.875627203233</v>
      </c>
      <c r="R3038" s="5">
        <v>30571.564004538617</v>
      </c>
    </row>
    <row r="3039" spans="9:18">
      <c r="I3039" s="4">
        <v>3024</v>
      </c>
      <c r="J3039" s="5">
        <v>19467.17453557903</v>
      </c>
      <c r="K3039" s="5">
        <v>15347.101709242541</v>
      </c>
      <c r="L3039" s="5">
        <v>14691.846656953887</v>
      </c>
      <c r="M3039" s="5">
        <v>13022.686998540772</v>
      </c>
      <c r="N3039" s="5">
        <v>48565.498233359976</v>
      </c>
      <c r="O3039" s="5">
        <v>11282.178219986479</v>
      </c>
      <c r="P3039" s="5">
        <v>21933.779100635442</v>
      </c>
      <c r="Q3039" s="5">
        <v>27789.973552634947</v>
      </c>
      <c r="R3039" s="5">
        <v>8046.7106309763258</v>
      </c>
    </row>
    <row r="3040" spans="9:18">
      <c r="I3040" s="4">
        <v>3025</v>
      </c>
      <c r="J3040" s="5">
        <v>26634.853073396614</v>
      </c>
      <c r="K3040" s="5">
        <v>14351.415257675473</v>
      </c>
      <c r="L3040" s="5">
        <v>18634.523182776735</v>
      </c>
      <c r="M3040" s="5">
        <v>18816.787977140237</v>
      </c>
      <c r="N3040" s="5">
        <v>29468.83360104046</v>
      </c>
      <c r="O3040" s="5">
        <v>49114.195066822271</v>
      </c>
      <c r="P3040" s="5">
        <v>3831.1492650071077</v>
      </c>
      <c r="Q3040" s="5">
        <v>52421.574537857021</v>
      </c>
      <c r="R3040" s="5">
        <v>24831.679362998926</v>
      </c>
    </row>
    <row r="3041" spans="9:18">
      <c r="I3041" s="4">
        <v>3026</v>
      </c>
      <c r="J3041" s="5">
        <v>15081.728672246438</v>
      </c>
      <c r="K3041" s="5">
        <v>16081.362509465702</v>
      </c>
      <c r="L3041" s="5">
        <v>15746.942257105531</v>
      </c>
      <c r="M3041" s="5">
        <v>19097.39635881727</v>
      </c>
      <c r="N3041" s="5">
        <v>19225.139878706803</v>
      </c>
      <c r="O3041" s="5">
        <v>16572.483389649329</v>
      </c>
      <c r="P3041" s="5">
        <v>16650.229067545235</v>
      </c>
      <c r="Q3041" s="5">
        <v>53055.59182561023</v>
      </c>
      <c r="R3041" s="5">
        <v>7784.2246210242874</v>
      </c>
    </row>
    <row r="3042" spans="9:18">
      <c r="I3042" s="4">
        <v>3027</v>
      </c>
      <c r="J3042" s="5">
        <v>28085.9245102444</v>
      </c>
      <c r="K3042" s="5">
        <v>15768.312122029349</v>
      </c>
      <c r="L3042" s="5">
        <v>21725.131459372977</v>
      </c>
      <c r="M3042" s="5">
        <v>21072.983263501868</v>
      </c>
      <c r="N3042" s="5">
        <v>34295.124147811541</v>
      </c>
      <c r="O3042" s="5">
        <v>42492.261063288854</v>
      </c>
      <c r="P3042" s="5">
        <v>106091.28270624072</v>
      </c>
      <c r="Q3042" s="5">
        <v>22483.395143121877</v>
      </c>
      <c r="R3042" s="5">
        <v>55012.315589742022</v>
      </c>
    </row>
    <row r="3043" spans="9:18">
      <c r="I3043" s="4">
        <v>3028</v>
      </c>
      <c r="J3043" s="5">
        <v>17592.832480262863</v>
      </c>
      <c r="K3043" s="5">
        <v>11857.447519815871</v>
      </c>
      <c r="L3043" s="5">
        <v>16106.634875163341</v>
      </c>
      <c r="M3043" s="5">
        <v>14217.48832834715</v>
      </c>
      <c r="N3043" s="5">
        <v>39406.658185292261</v>
      </c>
      <c r="O3043" s="5">
        <v>26565.882515615398</v>
      </c>
      <c r="P3043" s="5">
        <v>16072.735485912413</v>
      </c>
      <c r="Q3043" s="5">
        <v>79566.621912742485</v>
      </c>
      <c r="R3043" s="5">
        <v>6360.7905155660001</v>
      </c>
    </row>
    <row r="3044" spans="9:18">
      <c r="I3044" s="4">
        <v>3029</v>
      </c>
      <c r="J3044" s="5">
        <v>19048.674633640545</v>
      </c>
      <c r="K3044" s="5">
        <v>19467.955014411935</v>
      </c>
      <c r="L3044" s="5">
        <v>27289.607394458035</v>
      </c>
      <c r="M3044" s="5">
        <v>11529.920007560097</v>
      </c>
      <c r="N3044" s="5">
        <v>32184.535272543482</v>
      </c>
      <c r="O3044" s="5">
        <v>45451.954570113048</v>
      </c>
      <c r="P3044" s="5">
        <v>77603.711720266961</v>
      </c>
      <c r="Q3044" s="5">
        <v>31902.904306425251</v>
      </c>
      <c r="R3044" s="5">
        <v>39263.770877572199</v>
      </c>
    </row>
    <row r="3045" spans="9:18">
      <c r="I3045" s="4">
        <v>3030</v>
      </c>
      <c r="J3045" s="5">
        <v>12888.204629170894</v>
      </c>
      <c r="K3045" s="5">
        <v>11206.053243692098</v>
      </c>
      <c r="L3045" s="5">
        <v>25007.552172398639</v>
      </c>
      <c r="M3045" s="5">
        <v>13065.820809359835</v>
      </c>
      <c r="N3045" s="5">
        <v>23746.795665493762</v>
      </c>
      <c r="O3045" s="5">
        <v>10270.120415297655</v>
      </c>
      <c r="P3045" s="5">
        <v>27452.975716953504</v>
      </c>
      <c r="Q3045" s="5">
        <v>3272.4685014937832</v>
      </c>
      <c r="R3045" s="5">
        <v>18720.450716365784</v>
      </c>
    </row>
    <row r="3046" spans="9:18">
      <c r="I3046" s="4">
        <v>3031</v>
      </c>
      <c r="J3046" s="5">
        <v>16511.332839561353</v>
      </c>
      <c r="K3046" s="5">
        <v>17903.387243834499</v>
      </c>
      <c r="L3046" s="5">
        <v>14610.165745300763</v>
      </c>
      <c r="M3046" s="5">
        <v>16881.579299055</v>
      </c>
      <c r="N3046" s="5">
        <v>39406.658185292261</v>
      </c>
      <c r="O3046" s="5">
        <v>8024.6340027919978</v>
      </c>
      <c r="P3046" s="5">
        <v>21039.927746191301</v>
      </c>
      <c r="Q3046" s="5">
        <v>9645.8788061228515</v>
      </c>
      <c r="R3046" s="5">
        <v>34970.397641695177</v>
      </c>
    </row>
    <row r="3047" spans="9:18">
      <c r="I3047" s="4">
        <v>3032</v>
      </c>
      <c r="J3047" s="5">
        <v>16166.107684907736</v>
      </c>
      <c r="K3047" s="5">
        <v>35488.449387009874</v>
      </c>
      <c r="L3047" s="5">
        <v>16577.562442697115</v>
      </c>
      <c r="M3047" s="5">
        <v>31460.745851561904</v>
      </c>
      <c r="N3047" s="5">
        <v>21909.120225822895</v>
      </c>
      <c r="O3047" s="5">
        <v>25604.597681740845</v>
      </c>
      <c r="P3047" s="5">
        <v>26541.896041444568</v>
      </c>
      <c r="Q3047" s="5">
        <v>8880.8074399558282</v>
      </c>
      <c r="R3047" s="5">
        <v>302760.11878714536</v>
      </c>
    </row>
    <row r="3048" spans="9:18">
      <c r="I3048" s="4">
        <v>3033</v>
      </c>
      <c r="J3048" s="5">
        <v>73074.062486361407</v>
      </c>
      <c r="K3048" s="5">
        <v>14674.169276244838</v>
      </c>
      <c r="L3048" s="5">
        <v>15161.007794371622</v>
      </c>
      <c r="M3048" s="5">
        <v>21913.431401527439</v>
      </c>
      <c r="N3048" s="5">
        <v>18410.937863650517</v>
      </c>
      <c r="O3048" s="5">
        <v>45451.954570113048</v>
      </c>
      <c r="P3048" s="5">
        <v>77603.711720266961</v>
      </c>
      <c r="Q3048" s="5">
        <v>129470.11441833655</v>
      </c>
      <c r="R3048" s="5">
        <v>261393.32711858812</v>
      </c>
    </row>
    <row r="3049" spans="9:18">
      <c r="I3049" s="4">
        <v>3034</v>
      </c>
      <c r="J3049" s="5">
        <v>22370.105711697011</v>
      </c>
      <c r="K3049" s="5">
        <v>34058.671324159091</v>
      </c>
      <c r="L3049" s="5">
        <v>15161.007794371622</v>
      </c>
      <c r="M3049" s="5">
        <v>13642.678686731051</v>
      </c>
      <c r="N3049" s="5">
        <v>22010.718648995869</v>
      </c>
      <c r="O3049" s="5">
        <v>16826.763259351828</v>
      </c>
      <c r="P3049" s="5">
        <v>6275.8915673055426</v>
      </c>
      <c r="Q3049" s="5">
        <v>28776.080424849053</v>
      </c>
      <c r="R3049" s="5">
        <v>16039.216896723072</v>
      </c>
    </row>
    <row r="3050" spans="9:18">
      <c r="I3050" s="4">
        <v>3035</v>
      </c>
      <c r="J3050" s="5">
        <v>28214.771032351968</v>
      </c>
      <c r="K3050" s="5">
        <v>14021.934268028277</v>
      </c>
      <c r="L3050" s="5">
        <v>16106.634875163341</v>
      </c>
      <c r="M3050" s="5">
        <v>13011.820191946215</v>
      </c>
      <c r="N3050" s="5">
        <v>22868.569282757788</v>
      </c>
      <c r="O3050" s="5">
        <v>49114.195066822271</v>
      </c>
      <c r="P3050" s="5">
        <v>12639.596794453437</v>
      </c>
      <c r="Q3050" s="5">
        <v>31618.396253255491</v>
      </c>
      <c r="R3050" s="5">
        <v>19133.693426869788</v>
      </c>
    </row>
    <row r="3051" spans="9:18">
      <c r="I3051" s="4">
        <v>3036</v>
      </c>
      <c r="J3051" s="5">
        <v>20768.286261788198</v>
      </c>
      <c r="K3051" s="5">
        <v>15768.312122029349</v>
      </c>
      <c r="L3051" s="5">
        <v>15664.99858445921</v>
      </c>
      <c r="M3051" s="5">
        <v>19151.339770278159</v>
      </c>
      <c r="N3051" s="5">
        <v>22010.718648995869</v>
      </c>
      <c r="O3051" s="5">
        <v>10369.402667058452</v>
      </c>
      <c r="P3051" s="5">
        <v>54923.423457863879</v>
      </c>
      <c r="Q3051" s="5">
        <v>21421.044775857536</v>
      </c>
      <c r="R3051" s="5">
        <v>96845.299789249824</v>
      </c>
    </row>
    <row r="3052" spans="9:18">
      <c r="I3052" s="4">
        <v>3037</v>
      </c>
      <c r="J3052" s="5">
        <v>15064.079707240266</v>
      </c>
      <c r="K3052" s="5">
        <v>16605.655749562578</v>
      </c>
      <c r="L3052" s="5">
        <v>22162.138529251199</v>
      </c>
      <c r="M3052" s="5">
        <v>9623.0342442006167</v>
      </c>
      <c r="N3052" s="5">
        <v>26152.705108198839</v>
      </c>
      <c r="O3052" s="5">
        <v>27508.313315384185</v>
      </c>
      <c r="P3052" s="5">
        <v>17996.895987204196</v>
      </c>
      <c r="Q3052" s="5">
        <v>52545.991451361173</v>
      </c>
      <c r="R3052" s="5">
        <v>10885.018205103002</v>
      </c>
    </row>
    <row r="3053" spans="9:18">
      <c r="I3053" s="4">
        <v>3038</v>
      </c>
      <c r="J3053" s="5">
        <v>19121.054099180623</v>
      </c>
      <c r="K3053" s="5">
        <v>11857.447519815871</v>
      </c>
      <c r="L3053" s="5">
        <v>14175.160754078657</v>
      </c>
      <c r="M3053" s="5">
        <v>18043.539897080744</v>
      </c>
      <c r="N3053" s="5">
        <v>26565.664379767408</v>
      </c>
      <c r="O3053" s="5">
        <v>20930.098352661731</v>
      </c>
      <c r="P3053" s="5">
        <v>26541.896041444568</v>
      </c>
      <c r="Q3053" s="5">
        <v>37101.531383212743</v>
      </c>
      <c r="R3053" s="5">
        <v>30571.564004538617</v>
      </c>
    </row>
    <row r="3054" spans="9:18">
      <c r="I3054" s="4">
        <v>3039</v>
      </c>
      <c r="J3054" s="5">
        <v>16145.071869702888</v>
      </c>
      <c r="K3054" s="5">
        <v>15782.544184844044</v>
      </c>
      <c r="L3054" s="5">
        <v>17311.244744664215</v>
      </c>
      <c r="M3054" s="5">
        <v>10142.860128720422</v>
      </c>
      <c r="N3054" s="5">
        <v>20292.069765667391</v>
      </c>
      <c r="O3054" s="5">
        <v>20827.029306810669</v>
      </c>
      <c r="P3054" s="5">
        <v>20403.656304140692</v>
      </c>
      <c r="Q3054" s="5">
        <v>17153.530968450712</v>
      </c>
      <c r="R3054" s="5">
        <v>33290.909836056817</v>
      </c>
    </row>
    <row r="3055" spans="9:18">
      <c r="I3055" s="4">
        <v>3040</v>
      </c>
      <c r="J3055" s="5">
        <v>15648.665245032147</v>
      </c>
      <c r="K3055" s="5">
        <v>17003.901855709089</v>
      </c>
      <c r="L3055" s="5">
        <v>14146.191653372813</v>
      </c>
      <c r="M3055" s="5">
        <v>17370.588707072598</v>
      </c>
      <c r="N3055" s="5">
        <v>36962.805083900916</v>
      </c>
      <c r="O3055" s="5">
        <v>9869.5889207969612</v>
      </c>
      <c r="P3055" s="5">
        <v>8662.4232458952465</v>
      </c>
      <c r="Q3055" s="5">
        <v>9138.5169630896526</v>
      </c>
      <c r="R3055" s="5">
        <v>34970.397641695177</v>
      </c>
    </row>
    <row r="3056" spans="9:18">
      <c r="I3056" s="4">
        <v>3041</v>
      </c>
      <c r="J3056" s="5">
        <v>16145.071869702888</v>
      </c>
      <c r="K3056" s="5">
        <v>15428.770955406064</v>
      </c>
      <c r="L3056" s="5">
        <v>15759.954187048656</v>
      </c>
      <c r="M3056" s="5">
        <v>26477.996319655329</v>
      </c>
      <c r="N3056" s="5">
        <v>51261.622558090799</v>
      </c>
      <c r="O3056" s="5">
        <v>10270.120415297655</v>
      </c>
      <c r="P3056" s="5">
        <v>21039.927746191301</v>
      </c>
      <c r="Q3056" s="5">
        <v>8502.450657922871</v>
      </c>
      <c r="R3056" s="5">
        <v>20303.08745527079</v>
      </c>
    </row>
    <row r="3057" spans="9:18">
      <c r="I3057" s="4">
        <v>3042</v>
      </c>
      <c r="J3057" s="5">
        <v>14680.308400328413</v>
      </c>
      <c r="K3057" s="5">
        <v>14021.934268028277</v>
      </c>
      <c r="L3057" s="5">
        <v>15764.107424863063</v>
      </c>
      <c r="M3057" s="5">
        <v>20229.919588372999</v>
      </c>
      <c r="N3057" s="5">
        <v>22735.120948269971</v>
      </c>
      <c r="O3057" s="5">
        <v>19430.912633256889</v>
      </c>
      <c r="P3057" s="5">
        <v>54100.778483493887</v>
      </c>
      <c r="Q3057" s="5">
        <v>11173.074396969254</v>
      </c>
      <c r="R3057" s="5">
        <v>41418.225609677866</v>
      </c>
    </row>
    <row r="3058" spans="9:18">
      <c r="I3058" s="4">
        <v>3043</v>
      </c>
      <c r="J3058" s="5">
        <v>19467.17453557903</v>
      </c>
      <c r="K3058" s="5">
        <v>11403.533194020869</v>
      </c>
      <c r="L3058" s="5">
        <v>14042.41908879921</v>
      </c>
      <c r="M3058" s="5">
        <v>21072.983263501868</v>
      </c>
      <c r="N3058" s="5">
        <v>15251.140047572881</v>
      </c>
      <c r="O3058" s="5">
        <v>20991.103410982985</v>
      </c>
      <c r="P3058" s="5">
        <v>77603.711720266961</v>
      </c>
      <c r="Q3058" s="5">
        <v>20987.925664394581</v>
      </c>
      <c r="R3058" s="5">
        <v>34970.397641695177</v>
      </c>
    </row>
    <row r="3059" spans="9:18">
      <c r="I3059" s="4">
        <v>3044</v>
      </c>
      <c r="J3059" s="5">
        <v>13841.207384998772</v>
      </c>
      <c r="K3059" s="5">
        <v>35488.449387009874</v>
      </c>
      <c r="L3059" s="5">
        <v>23760.785349782636</v>
      </c>
      <c r="M3059" s="5">
        <v>13022.686998540772</v>
      </c>
      <c r="N3059" s="5">
        <v>20292.069765667391</v>
      </c>
      <c r="O3059" s="5">
        <v>10746.295275180995</v>
      </c>
      <c r="P3059" s="5">
        <v>32155.527541400057</v>
      </c>
      <c r="Q3059" s="5">
        <v>37497.234505125656</v>
      </c>
      <c r="R3059" s="5">
        <v>261393.32711858812</v>
      </c>
    </row>
    <row r="3060" spans="9:18">
      <c r="I3060" s="4">
        <v>3045</v>
      </c>
      <c r="J3060" s="5">
        <v>26634.853073396614</v>
      </c>
      <c r="K3060" s="5">
        <v>13520.836427679104</v>
      </c>
      <c r="L3060" s="5">
        <v>14344.859750762502</v>
      </c>
      <c r="M3060" s="5">
        <v>18691.941789825862</v>
      </c>
      <c r="N3060" s="5">
        <v>11788.341482962171</v>
      </c>
      <c r="O3060" s="5">
        <v>8801.3667015774663</v>
      </c>
      <c r="P3060" s="5">
        <v>22601.57564624758</v>
      </c>
      <c r="Q3060" s="5">
        <v>8832.660767995616</v>
      </c>
      <c r="R3060" s="5">
        <v>9913.4206865238284</v>
      </c>
    </row>
    <row r="3061" spans="9:18">
      <c r="I3061" s="4">
        <v>3046</v>
      </c>
      <c r="J3061" s="5">
        <v>33627.941293959229</v>
      </c>
      <c r="K3061" s="5">
        <v>34058.671324159091</v>
      </c>
      <c r="L3061" s="5">
        <v>18810.091753970282</v>
      </c>
      <c r="M3061" s="5">
        <v>19151.339770278159</v>
      </c>
      <c r="N3061" s="5">
        <v>63974.903847153939</v>
      </c>
      <c r="O3061" s="5">
        <v>5444.7598502623823</v>
      </c>
      <c r="P3061" s="5">
        <v>63015.124693769802</v>
      </c>
      <c r="Q3061" s="5">
        <v>31019.493883163672</v>
      </c>
      <c r="R3061" s="5">
        <v>62674.060343500474</v>
      </c>
    </row>
    <row r="3062" spans="9:18">
      <c r="I3062" s="4">
        <v>3047</v>
      </c>
      <c r="J3062" s="5">
        <v>27392.038553726634</v>
      </c>
      <c r="K3062" s="5">
        <v>9769.3659785458403</v>
      </c>
      <c r="L3062" s="5">
        <v>20698.842353987733</v>
      </c>
      <c r="M3062" s="5">
        <v>13642.678686731051</v>
      </c>
      <c r="N3062" s="5">
        <v>17214.078970533748</v>
      </c>
      <c r="O3062" s="5">
        <v>15936.062371781712</v>
      </c>
      <c r="P3062" s="5">
        <v>63015.124693769802</v>
      </c>
      <c r="Q3062" s="5">
        <v>7457.1844090365566</v>
      </c>
      <c r="R3062" s="5">
        <v>30571.564004538617</v>
      </c>
    </row>
    <row r="3063" spans="9:18">
      <c r="I3063" s="4">
        <v>3048</v>
      </c>
      <c r="J3063" s="5">
        <v>12035.382213755307</v>
      </c>
      <c r="K3063" s="5">
        <v>43843.85059185313</v>
      </c>
      <c r="L3063" s="5">
        <v>21428.663623484812</v>
      </c>
      <c r="M3063" s="5">
        <v>12987.517521908694</v>
      </c>
      <c r="N3063" s="5">
        <v>11251.634703629026</v>
      </c>
      <c r="O3063" s="5">
        <v>20991.103410982985</v>
      </c>
      <c r="P3063" s="5">
        <v>9826.8369575407578</v>
      </c>
      <c r="Q3063" s="5">
        <v>70295.978314632754</v>
      </c>
      <c r="R3063" s="5">
        <v>17991.870496434763</v>
      </c>
    </row>
    <row r="3064" spans="9:18">
      <c r="I3064" s="4">
        <v>3049</v>
      </c>
      <c r="J3064" s="5">
        <v>12035.382213755307</v>
      </c>
      <c r="K3064" s="5">
        <v>14878.52734402675</v>
      </c>
      <c r="L3064" s="5">
        <v>10896.494237357269</v>
      </c>
      <c r="M3064" s="5">
        <v>23067.94260629595</v>
      </c>
      <c r="N3064" s="5">
        <v>8104.6265149430556</v>
      </c>
      <c r="O3064" s="5">
        <v>15124.35050053727</v>
      </c>
      <c r="P3064" s="5">
        <v>12790.85158217316</v>
      </c>
      <c r="Q3064" s="5">
        <v>73941.636731325911</v>
      </c>
      <c r="R3064" s="5">
        <v>3989.7956692889929</v>
      </c>
    </row>
    <row r="3065" spans="9:18">
      <c r="I3065" s="4">
        <v>3050</v>
      </c>
      <c r="J3065" s="5">
        <v>22812.564910649318</v>
      </c>
      <c r="K3065" s="5">
        <v>18218.584572172625</v>
      </c>
      <c r="L3065" s="5">
        <v>29265.217478369766</v>
      </c>
      <c r="M3065" s="5">
        <v>16500.222621933419</v>
      </c>
      <c r="N3065" s="5">
        <v>41563.89847100406</v>
      </c>
      <c r="O3065" s="5">
        <v>55264.438774006347</v>
      </c>
      <c r="P3065" s="5">
        <v>36724.352187786957</v>
      </c>
      <c r="Q3065" s="5">
        <v>20987.925664394581</v>
      </c>
      <c r="R3065" s="5">
        <v>20236.767651156802</v>
      </c>
    </row>
    <row r="3066" spans="9:18">
      <c r="I3066" s="4">
        <v>3051</v>
      </c>
      <c r="J3066" s="5">
        <v>28169.050633834027</v>
      </c>
      <c r="K3066" s="5">
        <v>15631.937142257386</v>
      </c>
      <c r="L3066" s="5">
        <v>17311.244744664215</v>
      </c>
      <c r="M3066" s="5">
        <v>22961.931350882205</v>
      </c>
      <c r="N3066" s="5">
        <v>4770.4216775830728</v>
      </c>
      <c r="O3066" s="5">
        <v>51330.340277512776</v>
      </c>
      <c r="P3066" s="5">
        <v>14327.191387816954</v>
      </c>
      <c r="Q3066" s="5">
        <v>8502.450657922871</v>
      </c>
      <c r="R3066" s="5">
        <v>14706.681111065362</v>
      </c>
    </row>
    <row r="3067" spans="9:18">
      <c r="I3067" s="4">
        <v>3052</v>
      </c>
      <c r="J3067" s="5">
        <v>20002.201347927807</v>
      </c>
      <c r="K3067" s="5">
        <v>14017.262946034314</v>
      </c>
      <c r="L3067" s="5">
        <v>17716.90539191998</v>
      </c>
      <c r="M3067" s="5">
        <v>18177.175180585615</v>
      </c>
      <c r="N3067" s="5">
        <v>11788.341482962171</v>
      </c>
      <c r="O3067" s="5">
        <v>27508.313315384185</v>
      </c>
      <c r="P3067" s="5">
        <v>13793.886507202402</v>
      </c>
      <c r="Q3067" s="5">
        <v>100789.83462564547</v>
      </c>
      <c r="R3067" s="5">
        <v>16039.216896723072</v>
      </c>
    </row>
    <row r="3068" spans="9:18">
      <c r="I3068" s="4">
        <v>3053</v>
      </c>
      <c r="J3068" s="5">
        <v>73074.062486361407</v>
      </c>
      <c r="K3068" s="5">
        <v>21187.174639714212</v>
      </c>
      <c r="L3068" s="5">
        <v>15359.132481533357</v>
      </c>
      <c r="M3068" s="5">
        <v>13642.678686731051</v>
      </c>
      <c r="N3068" s="5">
        <v>20718.434293991453</v>
      </c>
      <c r="O3068" s="5">
        <v>31172.963108652857</v>
      </c>
      <c r="P3068" s="5">
        <v>26126.807131356076</v>
      </c>
      <c r="Q3068" s="5">
        <v>4631.7430487757983</v>
      </c>
      <c r="R3068" s="5">
        <v>87776.138236389699</v>
      </c>
    </row>
    <row r="3069" spans="9:18">
      <c r="I3069" s="4">
        <v>3054</v>
      </c>
      <c r="J3069" s="5">
        <v>15352.465904292809</v>
      </c>
      <c r="K3069" s="5">
        <v>15698.764831033119</v>
      </c>
      <c r="L3069" s="5">
        <v>16017.890956041876</v>
      </c>
      <c r="M3069" s="5">
        <v>19433.64679949253</v>
      </c>
      <c r="N3069" s="5">
        <v>23746.795665493762</v>
      </c>
      <c r="O3069" s="5">
        <v>77417.02098927302</v>
      </c>
      <c r="P3069" s="5">
        <v>63015.124693769802</v>
      </c>
      <c r="Q3069" s="5">
        <v>9652.8114206999071</v>
      </c>
      <c r="R3069" s="5">
        <v>17991.870496434763</v>
      </c>
    </row>
    <row r="3070" spans="9:18">
      <c r="I3070" s="4">
        <v>3055</v>
      </c>
      <c r="J3070" s="5">
        <v>16156.372629961115</v>
      </c>
      <c r="K3070" s="5">
        <v>16199.334613834633</v>
      </c>
      <c r="L3070" s="5">
        <v>15746.942257105531</v>
      </c>
      <c r="M3070" s="5">
        <v>31554.722481137964</v>
      </c>
      <c r="N3070" s="5">
        <v>23043.345403059295</v>
      </c>
      <c r="O3070" s="5">
        <v>30656.031716467984</v>
      </c>
      <c r="P3070" s="5">
        <v>36724.352187786957</v>
      </c>
      <c r="Q3070" s="5">
        <v>30266.563414010914</v>
      </c>
      <c r="R3070" s="5">
        <v>18349.337771428582</v>
      </c>
    </row>
    <row r="3071" spans="9:18">
      <c r="I3071" s="4">
        <v>3056</v>
      </c>
      <c r="J3071" s="5">
        <v>19048.674633640545</v>
      </c>
      <c r="K3071" s="5">
        <v>8124.7965732661823</v>
      </c>
      <c r="L3071" s="5">
        <v>13023.361770761438</v>
      </c>
      <c r="M3071" s="5">
        <v>41403.687663920646</v>
      </c>
      <c r="N3071" s="5">
        <v>19125.360074567652</v>
      </c>
      <c r="O3071" s="5">
        <v>30656.031716467984</v>
      </c>
      <c r="P3071" s="5">
        <v>33715.790977629549</v>
      </c>
      <c r="Q3071" s="5">
        <v>13099.063525342741</v>
      </c>
      <c r="R3071" s="5">
        <v>7879.038918914337</v>
      </c>
    </row>
    <row r="3072" spans="9:18">
      <c r="I3072" s="4">
        <v>3057</v>
      </c>
      <c r="J3072" s="5">
        <v>11116.191595722205</v>
      </c>
      <c r="K3072" s="5">
        <v>26110.948843472826</v>
      </c>
      <c r="L3072" s="5">
        <v>11827.803406885578</v>
      </c>
      <c r="M3072" s="5">
        <v>10111.451009425113</v>
      </c>
      <c r="N3072" s="5">
        <v>19225.139878706803</v>
      </c>
      <c r="O3072" s="5">
        <v>20721.57544042755</v>
      </c>
      <c r="P3072" s="5">
        <v>9482.0186426688688</v>
      </c>
      <c r="Q3072" s="5">
        <v>28567.61306643406</v>
      </c>
      <c r="R3072" s="5">
        <v>2180.6148629084787</v>
      </c>
    </row>
    <row r="3073" spans="9:18">
      <c r="I3073" s="4">
        <v>3058</v>
      </c>
      <c r="J3073" s="5">
        <v>19048.674633640545</v>
      </c>
      <c r="K3073" s="5">
        <v>16199.334613834633</v>
      </c>
      <c r="L3073" s="5">
        <v>13023.361770761438</v>
      </c>
      <c r="M3073" s="5">
        <v>19430.369425783585</v>
      </c>
      <c r="N3073" s="5">
        <v>9563.1256545330361</v>
      </c>
      <c r="O3073" s="5">
        <v>10270.120415297655</v>
      </c>
      <c r="P3073" s="5">
        <v>106091.28270624072</v>
      </c>
      <c r="Q3073" s="5">
        <v>20883.852062640355</v>
      </c>
      <c r="R3073" s="5">
        <v>31715.273557891396</v>
      </c>
    </row>
    <row r="3074" spans="9:18">
      <c r="I3074" s="4">
        <v>3059</v>
      </c>
      <c r="J3074" s="5">
        <v>15352.465904292809</v>
      </c>
      <c r="K3074" s="5">
        <v>24728.095385476983</v>
      </c>
      <c r="L3074" s="5">
        <v>13023.361770761438</v>
      </c>
      <c r="M3074" s="5">
        <v>18043.539897080744</v>
      </c>
      <c r="N3074" s="5">
        <v>51261.622558090799</v>
      </c>
      <c r="O3074" s="5">
        <v>24422.445067017139</v>
      </c>
      <c r="P3074" s="5">
        <v>45161.732159568586</v>
      </c>
      <c r="Q3074" s="5">
        <v>22145.301831504508</v>
      </c>
      <c r="R3074" s="5">
        <v>41056.152565483346</v>
      </c>
    </row>
    <row r="3075" spans="9:18">
      <c r="I3075" s="4">
        <v>3060</v>
      </c>
      <c r="J3075" s="5">
        <v>22812.564910649318</v>
      </c>
      <c r="K3075" s="5">
        <v>35488.449387009874</v>
      </c>
      <c r="L3075" s="5">
        <v>16577.562442697115</v>
      </c>
      <c r="M3075" s="5">
        <v>41403.687663920646</v>
      </c>
      <c r="N3075" s="5">
        <v>29468.83360104046</v>
      </c>
      <c r="O3075" s="5">
        <v>36759.655306288936</v>
      </c>
      <c r="P3075" s="5">
        <v>29283.825979394511</v>
      </c>
      <c r="Q3075" s="5">
        <v>28776.080424849053</v>
      </c>
      <c r="R3075" s="5">
        <v>31715.273557891396</v>
      </c>
    </row>
    <row r="3076" spans="9:18">
      <c r="I3076" s="4">
        <v>3061</v>
      </c>
      <c r="J3076" s="5">
        <v>16156.372629961115</v>
      </c>
      <c r="K3076" s="5">
        <v>14021.934268028277</v>
      </c>
      <c r="L3076" s="5">
        <v>16017.890956041876</v>
      </c>
      <c r="M3076" s="5">
        <v>20185.026038758231</v>
      </c>
      <c r="N3076" s="5">
        <v>22868.569282757788</v>
      </c>
      <c r="O3076" s="5">
        <v>13966.178986479143</v>
      </c>
      <c r="P3076" s="5">
        <v>34768.042801665702</v>
      </c>
      <c r="Q3076" s="5">
        <v>17493.456269945855</v>
      </c>
      <c r="R3076" s="5">
        <v>181970.23111012415</v>
      </c>
    </row>
    <row r="3077" spans="9:18">
      <c r="I3077" s="4">
        <v>3062</v>
      </c>
      <c r="J3077" s="5">
        <v>18650.249281571734</v>
      </c>
      <c r="K3077" s="5">
        <v>23934.551191616061</v>
      </c>
      <c r="L3077" s="5">
        <v>17683.765335572589</v>
      </c>
      <c r="M3077" s="5">
        <v>26477.996319655329</v>
      </c>
      <c r="N3077" s="5">
        <v>17214.078970533748</v>
      </c>
      <c r="O3077" s="5">
        <v>13550.031670770122</v>
      </c>
      <c r="P3077" s="5">
        <v>27820.721938889761</v>
      </c>
      <c r="Q3077" s="5">
        <v>9138.5169630896526</v>
      </c>
      <c r="R3077" s="5">
        <v>24722.972470599001</v>
      </c>
    </row>
    <row r="3078" spans="9:18">
      <c r="I3078" s="4">
        <v>3063</v>
      </c>
      <c r="J3078" s="5">
        <v>16710.807721801892</v>
      </c>
      <c r="K3078" s="5">
        <v>9739.7813029644258</v>
      </c>
      <c r="L3078" s="5">
        <v>21954.536591034263</v>
      </c>
      <c r="M3078" s="5">
        <v>23454.775510296178</v>
      </c>
      <c r="N3078" s="5">
        <v>59876.136849941562</v>
      </c>
      <c r="O3078" s="5">
        <v>67717.30633712461</v>
      </c>
      <c r="P3078" s="5">
        <v>24349.301972630979</v>
      </c>
      <c r="Q3078" s="5">
        <v>27789.973552634947</v>
      </c>
      <c r="R3078" s="5">
        <v>123773.40402252052</v>
      </c>
    </row>
    <row r="3079" spans="9:18">
      <c r="I3079" s="4">
        <v>3064</v>
      </c>
      <c r="J3079" s="5">
        <v>19467.17453557903</v>
      </c>
      <c r="K3079" s="5">
        <v>17003.901855709089</v>
      </c>
      <c r="L3079" s="5">
        <v>22018.381599979773</v>
      </c>
      <c r="M3079" s="5">
        <v>19430.369425783585</v>
      </c>
      <c r="N3079" s="5">
        <v>20558.672182394013</v>
      </c>
      <c r="O3079" s="5">
        <v>11282.178219986479</v>
      </c>
      <c r="P3079" s="5">
        <v>27820.721938889761</v>
      </c>
      <c r="Q3079" s="5">
        <v>22145.301831504508</v>
      </c>
      <c r="R3079" s="5">
        <v>9913.4206865238284</v>
      </c>
    </row>
    <row r="3080" spans="9:18">
      <c r="I3080" s="4">
        <v>3065</v>
      </c>
      <c r="J3080" s="5">
        <v>13663.281817546009</v>
      </c>
      <c r="K3080" s="5">
        <v>15347.101709242541</v>
      </c>
      <c r="L3080" s="5">
        <v>16472.138192556791</v>
      </c>
      <c r="M3080" s="5">
        <v>19151.339770278159</v>
      </c>
      <c r="N3080" s="5">
        <v>13511.694619545402</v>
      </c>
      <c r="O3080" s="5">
        <v>13519.384207850644</v>
      </c>
      <c r="P3080" s="5">
        <v>18862.487147419793</v>
      </c>
      <c r="Q3080" s="5">
        <v>42044.890065817184</v>
      </c>
      <c r="R3080" s="5">
        <v>123773.40402252052</v>
      </c>
    </row>
    <row r="3081" spans="9:18">
      <c r="I3081" s="4">
        <v>3066</v>
      </c>
      <c r="J3081" s="5">
        <v>28085.9245102444</v>
      </c>
      <c r="K3081" s="5">
        <v>32294.121255311245</v>
      </c>
      <c r="L3081" s="5">
        <v>22319.409576580376</v>
      </c>
      <c r="M3081" s="5">
        <v>23908.621352410395</v>
      </c>
      <c r="N3081" s="5">
        <v>26152.705108198839</v>
      </c>
      <c r="O3081" s="5">
        <v>25802.481365323994</v>
      </c>
      <c r="P3081" s="5">
        <v>27820.721938889761</v>
      </c>
      <c r="Q3081" s="5">
        <v>116445.46783345108</v>
      </c>
      <c r="R3081" s="5">
        <v>6360.7905155660001</v>
      </c>
    </row>
    <row r="3082" spans="9:18">
      <c r="I3082" s="4">
        <v>3067</v>
      </c>
      <c r="J3082" s="5">
        <v>14538.277247583976</v>
      </c>
      <c r="K3082" s="5">
        <v>14587.813833513306</v>
      </c>
      <c r="L3082" s="5">
        <v>18634.523182776735</v>
      </c>
      <c r="M3082" s="5">
        <v>23515.935489506261</v>
      </c>
      <c r="N3082" s="5">
        <v>21009.255892677338</v>
      </c>
      <c r="O3082" s="5">
        <v>20721.57544042755</v>
      </c>
      <c r="P3082" s="5">
        <v>27708.613526855763</v>
      </c>
      <c r="Q3082" s="5">
        <v>52545.991451361173</v>
      </c>
      <c r="R3082" s="5">
        <v>50287.76786557267</v>
      </c>
    </row>
    <row r="3083" spans="9:18">
      <c r="I3083" s="4">
        <v>3068</v>
      </c>
      <c r="J3083" s="5">
        <v>73074.062486361407</v>
      </c>
      <c r="K3083" s="5">
        <v>32294.121255311245</v>
      </c>
      <c r="L3083" s="5">
        <v>16106.634875163341</v>
      </c>
      <c r="M3083" s="5">
        <v>13065.820809359835</v>
      </c>
      <c r="N3083" s="5">
        <v>24769.339976495565</v>
      </c>
      <c r="O3083" s="5">
        <v>53504.725169095313</v>
      </c>
      <c r="P3083" s="5">
        <v>44816.412248582856</v>
      </c>
      <c r="Q3083" s="5">
        <v>31019.493883163672</v>
      </c>
      <c r="R3083" s="5">
        <v>3989.7956692889929</v>
      </c>
    </row>
    <row r="3084" spans="9:18">
      <c r="I3084" s="4">
        <v>3069</v>
      </c>
      <c r="J3084" s="5">
        <v>16733.020222212988</v>
      </c>
      <c r="K3084" s="5">
        <v>11403.533194020869</v>
      </c>
      <c r="L3084" s="5">
        <v>16955.349467865559</v>
      </c>
      <c r="M3084" s="5">
        <v>20788.503422877813</v>
      </c>
      <c r="N3084" s="5">
        <v>23746.795665493762</v>
      </c>
      <c r="O3084" s="5">
        <v>6199.3195463515376</v>
      </c>
      <c r="P3084" s="5">
        <v>63015.124693769802</v>
      </c>
      <c r="Q3084" s="5">
        <v>59134.059519022907</v>
      </c>
      <c r="R3084" s="5">
        <v>6360.7905155660001</v>
      </c>
    </row>
    <row r="3085" spans="9:18">
      <c r="I3085" s="4">
        <v>3070</v>
      </c>
      <c r="J3085" s="5">
        <v>31559.699247539775</v>
      </c>
      <c r="K3085" s="5">
        <v>9739.7813029644258</v>
      </c>
      <c r="L3085" s="5">
        <v>29265.217478369766</v>
      </c>
      <c r="M3085" s="5">
        <v>21272.00214469912</v>
      </c>
      <c r="N3085" s="5">
        <v>11635.644856128632</v>
      </c>
      <c r="O3085" s="5">
        <v>24247.516962783076</v>
      </c>
      <c r="P3085" s="5">
        <v>45161.732159568586</v>
      </c>
      <c r="Q3085" s="5">
        <v>53055.59182561023</v>
      </c>
      <c r="R3085" s="5">
        <v>8046.7106309763258</v>
      </c>
    </row>
    <row r="3086" spans="9:18">
      <c r="I3086" s="4">
        <v>3071</v>
      </c>
      <c r="J3086" s="5">
        <v>33627.941293959229</v>
      </c>
      <c r="K3086" s="5">
        <v>95171.967522309933</v>
      </c>
      <c r="L3086" s="5">
        <v>16017.890956041876</v>
      </c>
      <c r="M3086" s="5">
        <v>17116.951435661951</v>
      </c>
      <c r="N3086" s="5">
        <v>4770.4216775830728</v>
      </c>
      <c r="O3086" s="5">
        <v>20489.622805425737</v>
      </c>
      <c r="P3086" s="5">
        <v>106091.28270624072</v>
      </c>
      <c r="Q3086" s="5">
        <v>19541.409060825732</v>
      </c>
      <c r="R3086" s="5">
        <v>17991.870496434763</v>
      </c>
    </row>
    <row r="3087" spans="9:18">
      <c r="I3087" s="4">
        <v>3072</v>
      </c>
      <c r="J3087" s="5">
        <v>15417.870921574262</v>
      </c>
      <c r="K3087" s="5">
        <v>20887.307279900142</v>
      </c>
      <c r="L3087" s="5">
        <v>25389.332759288587</v>
      </c>
      <c r="M3087" s="5">
        <v>14660.631931099009</v>
      </c>
      <c r="N3087" s="5">
        <v>10882.757905166785</v>
      </c>
      <c r="O3087" s="5">
        <v>20991.103410982985</v>
      </c>
      <c r="P3087" s="5">
        <v>28537.545734403488</v>
      </c>
      <c r="Q3087" s="5">
        <v>9652.8114206999071</v>
      </c>
      <c r="R3087" s="5">
        <v>8130.5639219412278</v>
      </c>
    </row>
    <row r="3088" spans="9:18">
      <c r="I3088" s="4">
        <v>3073</v>
      </c>
      <c r="J3088" s="5">
        <v>13391.049101507895</v>
      </c>
      <c r="K3088" s="5">
        <v>16934.093371663999</v>
      </c>
      <c r="L3088" s="5">
        <v>17128.574519497746</v>
      </c>
      <c r="M3088" s="5">
        <v>12426.949970383979</v>
      </c>
      <c r="N3088" s="5">
        <v>29468.83360104046</v>
      </c>
      <c r="O3088" s="5">
        <v>10738.305003664611</v>
      </c>
      <c r="P3088" s="5">
        <v>8069.5385577067918</v>
      </c>
      <c r="Q3088" s="5">
        <v>3909.239690544402</v>
      </c>
      <c r="R3088" s="5">
        <v>122304.95880137496</v>
      </c>
    </row>
    <row r="3089" spans="9:18">
      <c r="I3089" s="4">
        <v>3074</v>
      </c>
      <c r="J3089" s="5">
        <v>17005.744061105343</v>
      </c>
      <c r="K3089" s="5">
        <v>26110.948843472826</v>
      </c>
      <c r="L3089" s="5">
        <v>24256.352541181568</v>
      </c>
      <c r="M3089" s="5">
        <v>33862.836621974391</v>
      </c>
      <c r="N3089" s="5">
        <v>40377.252444397986</v>
      </c>
      <c r="O3089" s="5">
        <v>13117.417685535194</v>
      </c>
      <c r="P3089" s="5">
        <v>39054.462981000084</v>
      </c>
      <c r="Q3089" s="5">
        <v>68168.482468129529</v>
      </c>
      <c r="R3089" s="5">
        <v>27349.63499959607</v>
      </c>
    </row>
    <row r="3090" spans="9:18">
      <c r="I3090" s="4">
        <v>3075</v>
      </c>
      <c r="J3090" s="5">
        <v>14420.293087375476</v>
      </c>
      <c r="K3090" s="5">
        <v>23543.914024953676</v>
      </c>
      <c r="L3090" s="5">
        <v>17311.244744664215</v>
      </c>
      <c r="M3090" s="5">
        <v>22815.60259636537</v>
      </c>
      <c r="N3090" s="5">
        <v>12592.300437162297</v>
      </c>
      <c r="O3090" s="5">
        <v>16826.763259351828</v>
      </c>
      <c r="P3090" s="5">
        <v>48123.003747643132</v>
      </c>
      <c r="Q3090" s="5">
        <v>28776.080424849053</v>
      </c>
      <c r="R3090" s="5">
        <v>54594.567438884274</v>
      </c>
    </row>
    <row r="3091" spans="9:18">
      <c r="I3091" s="4">
        <v>3076</v>
      </c>
      <c r="J3091" s="5">
        <v>14710.037865351254</v>
      </c>
      <c r="K3091" s="5">
        <v>12777.667398488715</v>
      </c>
      <c r="L3091" s="5">
        <v>14815.394001212817</v>
      </c>
      <c r="M3091" s="5">
        <v>16881.579299055</v>
      </c>
      <c r="N3091" s="5">
        <v>15130.853682762778</v>
      </c>
      <c r="O3091" s="5">
        <v>19492.655596593511</v>
      </c>
      <c r="P3091" s="5">
        <v>83536.241167211992</v>
      </c>
      <c r="Q3091" s="5">
        <v>8474.2603471579441</v>
      </c>
      <c r="R3091" s="5">
        <v>17687.533637716911</v>
      </c>
    </row>
    <row r="3092" spans="9:18">
      <c r="I3092" s="4">
        <v>3077</v>
      </c>
      <c r="J3092" s="5">
        <v>9405.362381917912</v>
      </c>
      <c r="K3092" s="5">
        <v>16199.334613834633</v>
      </c>
      <c r="L3092" s="5">
        <v>15922.087958863045</v>
      </c>
      <c r="M3092" s="5">
        <v>23913.435663027711</v>
      </c>
      <c r="N3092" s="5">
        <v>21009.255892677338</v>
      </c>
      <c r="O3092" s="5">
        <v>27195.510785031525</v>
      </c>
      <c r="P3092" s="5">
        <v>13452.921824087563</v>
      </c>
      <c r="Q3092" s="5">
        <v>17234.335939857254</v>
      </c>
      <c r="R3092" s="5">
        <v>17991.870496434763</v>
      </c>
    </row>
    <row r="3093" spans="9:18">
      <c r="I3093" s="4">
        <v>3078</v>
      </c>
      <c r="J3093" s="5">
        <v>14671.176405938595</v>
      </c>
      <c r="K3093" s="5">
        <v>14611.618478071941</v>
      </c>
      <c r="L3093" s="5">
        <v>27144.958215276103</v>
      </c>
      <c r="M3093" s="5">
        <v>13011.820191946215</v>
      </c>
      <c r="N3093" s="5">
        <v>4770.4216775830728</v>
      </c>
      <c r="O3093" s="5">
        <v>53007.660727727191</v>
      </c>
      <c r="P3093" s="5">
        <v>16072.735485912413</v>
      </c>
      <c r="Q3093" s="5">
        <v>11928.872068442162</v>
      </c>
      <c r="R3093" s="5">
        <v>122304.95880137496</v>
      </c>
    </row>
    <row r="3094" spans="9:18">
      <c r="I3094" s="4">
        <v>3079</v>
      </c>
      <c r="J3094" s="5">
        <v>14017.326487344162</v>
      </c>
      <c r="K3094" s="5">
        <v>7753.2116148734594</v>
      </c>
      <c r="L3094" s="5">
        <v>15060.431658965737</v>
      </c>
      <c r="M3094" s="5">
        <v>18879.640760542785</v>
      </c>
      <c r="N3094" s="5">
        <v>26565.664379767408</v>
      </c>
      <c r="O3094" s="5">
        <v>41653.890350944224</v>
      </c>
      <c r="P3094" s="5">
        <v>27708.613526855763</v>
      </c>
      <c r="Q3094" s="5">
        <v>8502.450657922871</v>
      </c>
      <c r="R3094" s="5">
        <v>87776.138236389699</v>
      </c>
    </row>
    <row r="3095" spans="9:18">
      <c r="I3095" s="4">
        <v>3080</v>
      </c>
      <c r="J3095" s="5">
        <v>15417.870921574262</v>
      </c>
      <c r="K3095" s="5">
        <v>14854.898507619706</v>
      </c>
      <c r="L3095" s="5">
        <v>23760.785349782636</v>
      </c>
      <c r="M3095" s="5">
        <v>32751.734100446065</v>
      </c>
      <c r="N3095" s="5">
        <v>14921.795973817481</v>
      </c>
      <c r="O3095" s="5">
        <v>16524.769946939996</v>
      </c>
      <c r="P3095" s="5">
        <v>40377.463755170742</v>
      </c>
      <c r="Q3095" s="5">
        <v>14064.158297039334</v>
      </c>
      <c r="R3095" s="5">
        <v>3989.7956692889929</v>
      </c>
    </row>
    <row r="3096" spans="9:18">
      <c r="I3096" s="4">
        <v>3081</v>
      </c>
      <c r="J3096" s="5">
        <v>12035.382213755307</v>
      </c>
      <c r="K3096" s="5">
        <v>21527.93129974293</v>
      </c>
      <c r="L3096" s="5">
        <v>15651.346103181355</v>
      </c>
      <c r="M3096" s="5">
        <v>41403.687663920646</v>
      </c>
      <c r="N3096" s="5">
        <v>12297.015342318469</v>
      </c>
      <c r="O3096" s="5">
        <v>27062.73412298776</v>
      </c>
      <c r="P3096" s="5">
        <v>36724.352187786957</v>
      </c>
      <c r="Q3096" s="5">
        <v>9796.0979856104404</v>
      </c>
      <c r="R3096" s="5">
        <v>59414.886464347241</v>
      </c>
    </row>
    <row r="3097" spans="9:18">
      <c r="I3097" s="4">
        <v>3082</v>
      </c>
      <c r="J3097" s="5">
        <v>15352.465904292809</v>
      </c>
      <c r="K3097" s="5">
        <v>34058.671324159091</v>
      </c>
      <c r="L3097" s="5">
        <v>22018.381599979773</v>
      </c>
      <c r="M3097" s="5">
        <v>19890.009981657669</v>
      </c>
      <c r="N3097" s="5">
        <v>26115.05281128412</v>
      </c>
      <c r="O3097" s="5">
        <v>27062.73412298776</v>
      </c>
      <c r="P3097" s="5">
        <v>48123.003747643132</v>
      </c>
      <c r="Q3097" s="5">
        <v>37073.980790337926</v>
      </c>
      <c r="R3097" s="5">
        <v>62674.060343500474</v>
      </c>
    </row>
    <row r="3098" spans="9:18">
      <c r="I3098" s="4">
        <v>3083</v>
      </c>
      <c r="J3098" s="5">
        <v>9405.362381917912</v>
      </c>
      <c r="K3098" s="5">
        <v>15347.101709242541</v>
      </c>
      <c r="L3098" s="5">
        <v>14691.846656953887</v>
      </c>
      <c r="M3098" s="5">
        <v>11860.862376247747</v>
      </c>
      <c r="N3098" s="5">
        <v>42744.618431291936</v>
      </c>
      <c r="O3098" s="5">
        <v>94068.324736096256</v>
      </c>
      <c r="P3098" s="5">
        <v>10532.667493814919</v>
      </c>
      <c r="Q3098" s="5">
        <v>30266.563414010914</v>
      </c>
      <c r="R3098" s="5">
        <v>20303.08745527079</v>
      </c>
    </row>
    <row r="3099" spans="9:18">
      <c r="I3099" s="4">
        <v>3084</v>
      </c>
      <c r="J3099" s="5">
        <v>12888.204629170894</v>
      </c>
      <c r="K3099" s="5">
        <v>11403.533194020869</v>
      </c>
      <c r="L3099" s="5">
        <v>15126.980926457318</v>
      </c>
      <c r="M3099" s="5">
        <v>23515.935489506261</v>
      </c>
      <c r="N3099" s="5">
        <v>14335.478134989447</v>
      </c>
      <c r="O3099" s="5">
        <v>45451.954570113048</v>
      </c>
      <c r="P3099" s="5">
        <v>95486.196907583406</v>
      </c>
      <c r="Q3099" s="5">
        <v>27018.509959127641</v>
      </c>
      <c r="R3099" s="5">
        <v>8720.6503563381029</v>
      </c>
    </row>
    <row r="3100" spans="9:18">
      <c r="I3100" s="4">
        <v>3085</v>
      </c>
      <c r="J3100" s="5">
        <v>18650.249281571734</v>
      </c>
      <c r="K3100" s="5">
        <v>13288.692555879701</v>
      </c>
      <c r="L3100" s="5">
        <v>16777.996633299583</v>
      </c>
      <c r="M3100" s="5">
        <v>16881.579299055</v>
      </c>
      <c r="N3100" s="5">
        <v>15251.140047572881</v>
      </c>
      <c r="O3100" s="5">
        <v>41653.890350944224</v>
      </c>
      <c r="P3100" s="5">
        <v>17737.38315098183</v>
      </c>
      <c r="Q3100" s="5">
        <v>43417.41805414496</v>
      </c>
      <c r="R3100" s="5">
        <v>17304.847214362417</v>
      </c>
    </row>
    <row r="3101" spans="9:18">
      <c r="I3101" s="4">
        <v>3086</v>
      </c>
      <c r="J3101" s="5">
        <v>11854.381651026555</v>
      </c>
      <c r="K3101" s="5">
        <v>13559.080695844099</v>
      </c>
      <c r="L3101" s="5">
        <v>13037.115556745504</v>
      </c>
      <c r="M3101" s="5">
        <v>19151.339770278159</v>
      </c>
      <c r="N3101" s="5">
        <v>15804.474686449519</v>
      </c>
      <c r="O3101" s="5">
        <v>31172.963108652857</v>
      </c>
      <c r="P3101" s="5">
        <v>39054.462981000084</v>
      </c>
      <c r="Q3101" s="5">
        <v>20987.925664394581</v>
      </c>
      <c r="R3101" s="5">
        <v>20303.08745527079</v>
      </c>
    </row>
    <row r="3102" spans="9:18">
      <c r="I3102" s="4">
        <v>3087</v>
      </c>
      <c r="J3102" s="5">
        <v>31559.699247539775</v>
      </c>
      <c r="K3102" s="5">
        <v>15698.764831033119</v>
      </c>
      <c r="L3102" s="5">
        <v>25007.552172398639</v>
      </c>
      <c r="M3102" s="5">
        <v>12426.949970383979</v>
      </c>
      <c r="N3102" s="5">
        <v>4770.4216775830728</v>
      </c>
      <c r="O3102" s="5">
        <v>67717.30633712461</v>
      </c>
      <c r="P3102" s="5">
        <v>14376.883105731285</v>
      </c>
      <c r="Q3102" s="5">
        <v>37101.531383212743</v>
      </c>
      <c r="R3102" s="5">
        <v>261393.32711858812</v>
      </c>
    </row>
    <row r="3103" spans="9:18">
      <c r="I3103" s="4">
        <v>3088</v>
      </c>
      <c r="J3103" s="5">
        <v>19048.674633640545</v>
      </c>
      <c r="K3103" s="5">
        <v>15768.312122029349</v>
      </c>
      <c r="L3103" s="5">
        <v>15300.182042823812</v>
      </c>
      <c r="M3103" s="5">
        <v>20185.026038758231</v>
      </c>
      <c r="N3103" s="5">
        <v>11251.634703629026</v>
      </c>
      <c r="O3103" s="5">
        <v>13613.378495715853</v>
      </c>
      <c r="P3103" s="5">
        <v>32167.874670939738</v>
      </c>
      <c r="Q3103" s="5">
        <v>3909.239690544402</v>
      </c>
      <c r="R3103" s="5">
        <v>33290.909836056817</v>
      </c>
    </row>
    <row r="3104" spans="9:18">
      <c r="I3104" s="4">
        <v>3089</v>
      </c>
      <c r="J3104" s="5">
        <v>7855.2948890116513</v>
      </c>
      <c r="K3104" s="5">
        <v>34058.671324159091</v>
      </c>
      <c r="L3104" s="5">
        <v>17578.712723867691</v>
      </c>
      <c r="M3104" s="5">
        <v>31472.019071027709</v>
      </c>
      <c r="N3104" s="5">
        <v>8104.6265149430556</v>
      </c>
      <c r="O3104" s="5">
        <v>36759.655306288936</v>
      </c>
      <c r="P3104" s="5">
        <v>16650.229067545235</v>
      </c>
      <c r="Q3104" s="5">
        <v>17234.335939857254</v>
      </c>
      <c r="R3104" s="5">
        <v>65420.116221752483</v>
      </c>
    </row>
    <row r="3105" spans="9:18">
      <c r="I3105" s="4">
        <v>3090</v>
      </c>
      <c r="J3105" s="5">
        <v>19121.054099180623</v>
      </c>
      <c r="K3105" s="5">
        <v>16081.362509465702</v>
      </c>
      <c r="L3105" s="5">
        <v>18634.523182776735</v>
      </c>
      <c r="M3105" s="5">
        <v>20041.623430301417</v>
      </c>
      <c r="N3105" s="5">
        <v>15130.853682762778</v>
      </c>
      <c r="O3105" s="5">
        <v>13519.384207850644</v>
      </c>
      <c r="P3105" s="5">
        <v>54292.749740228588</v>
      </c>
      <c r="Q3105" s="5">
        <v>18097.768262249352</v>
      </c>
      <c r="R3105" s="5">
        <v>93933.045103013996</v>
      </c>
    </row>
    <row r="3106" spans="9:18">
      <c r="I3106" s="4">
        <v>3091</v>
      </c>
      <c r="J3106" s="5">
        <v>20002.201347927807</v>
      </c>
      <c r="K3106" s="5">
        <v>13520.836427679104</v>
      </c>
      <c r="L3106" s="5">
        <v>15225.811035017256</v>
      </c>
      <c r="M3106" s="5">
        <v>13616.35938654862</v>
      </c>
      <c r="N3106" s="5">
        <v>23583.581287126868</v>
      </c>
      <c r="O3106" s="5">
        <v>25802.481365323994</v>
      </c>
      <c r="P3106" s="5">
        <v>14316.965520592317</v>
      </c>
      <c r="Q3106" s="5">
        <v>9796.0979856104404</v>
      </c>
      <c r="R3106" s="5">
        <v>41056.152565483346</v>
      </c>
    </row>
    <row r="3107" spans="9:18">
      <c r="I3107" s="4">
        <v>3092</v>
      </c>
      <c r="J3107" s="5">
        <v>11854.381651026555</v>
      </c>
      <c r="K3107" s="5">
        <v>35705.595198125673</v>
      </c>
      <c r="L3107" s="5">
        <v>29265.217478369766</v>
      </c>
      <c r="M3107" s="5">
        <v>19795.661011456152</v>
      </c>
      <c r="N3107" s="5">
        <v>9209.4418830788036</v>
      </c>
      <c r="O3107" s="5">
        <v>31172.963108652857</v>
      </c>
      <c r="P3107" s="5">
        <v>55119.366528283317</v>
      </c>
      <c r="Q3107" s="5">
        <v>13099.063525342741</v>
      </c>
      <c r="R3107" s="5">
        <v>33290.909836056817</v>
      </c>
    </row>
    <row r="3108" spans="9:18">
      <c r="I3108" s="4">
        <v>3093</v>
      </c>
      <c r="J3108" s="5">
        <v>17005.744061105343</v>
      </c>
      <c r="K3108" s="5">
        <v>17003.901855709089</v>
      </c>
      <c r="L3108" s="5">
        <v>14811.370758813007</v>
      </c>
      <c r="M3108" s="5">
        <v>12987.517521908694</v>
      </c>
      <c r="N3108" s="5">
        <v>45581.602064432409</v>
      </c>
      <c r="O3108" s="5">
        <v>62082.6862081785</v>
      </c>
      <c r="P3108" s="5">
        <v>74840.036182179319</v>
      </c>
      <c r="Q3108" s="5">
        <v>48756.323642664109</v>
      </c>
      <c r="R3108" s="5">
        <v>30571.564004538617</v>
      </c>
    </row>
    <row r="3109" spans="9:18">
      <c r="I3109" s="4">
        <v>3094</v>
      </c>
      <c r="J3109" s="5">
        <v>9368.8270679249108</v>
      </c>
      <c r="K3109" s="5">
        <v>18218.584572172625</v>
      </c>
      <c r="L3109" s="5">
        <v>18215.751370765771</v>
      </c>
      <c r="M3109" s="5">
        <v>18816.787977140237</v>
      </c>
      <c r="N3109" s="5">
        <v>45581.602064432409</v>
      </c>
      <c r="O3109" s="5">
        <v>4231.3144655921506</v>
      </c>
      <c r="P3109" s="5">
        <v>17737.38315098183</v>
      </c>
      <c r="Q3109" s="5">
        <v>9645.8788061228515</v>
      </c>
      <c r="R3109" s="5">
        <v>76851.431017396084</v>
      </c>
    </row>
    <row r="3110" spans="9:18">
      <c r="I3110" s="4">
        <v>3095</v>
      </c>
      <c r="J3110" s="5">
        <v>21888.821432026474</v>
      </c>
      <c r="K3110" s="5">
        <v>16873.752266014431</v>
      </c>
      <c r="L3110" s="5">
        <v>22162.138529251199</v>
      </c>
      <c r="M3110" s="5">
        <v>29041.83725675238</v>
      </c>
      <c r="N3110" s="5">
        <v>26152.705108198839</v>
      </c>
      <c r="O3110" s="5">
        <v>16462.170789592048</v>
      </c>
      <c r="P3110" s="5">
        <v>27452.975716953504</v>
      </c>
      <c r="Q3110" s="5">
        <v>43417.41805414496</v>
      </c>
      <c r="R3110" s="5">
        <v>65420.116221752483</v>
      </c>
    </row>
    <row r="3111" spans="9:18">
      <c r="I3111" s="4">
        <v>3096</v>
      </c>
      <c r="J3111" s="5">
        <v>16459.003095225507</v>
      </c>
      <c r="K3111" s="5">
        <v>43843.85059185313</v>
      </c>
      <c r="L3111" s="5">
        <v>15225.811035017256</v>
      </c>
      <c r="M3111" s="5">
        <v>30785.663999045999</v>
      </c>
      <c r="N3111" s="5">
        <v>11251.634703629026</v>
      </c>
      <c r="O3111" s="5">
        <v>30876.675913171162</v>
      </c>
      <c r="P3111" s="5">
        <v>27373.102585108634</v>
      </c>
      <c r="Q3111" s="5">
        <v>28567.61306643406</v>
      </c>
      <c r="R3111" s="5">
        <v>18230.645544621442</v>
      </c>
    </row>
    <row r="3112" spans="9:18">
      <c r="I3112" s="4">
        <v>3097</v>
      </c>
      <c r="J3112" s="5">
        <v>9405.362381917912</v>
      </c>
      <c r="K3112" s="5">
        <v>23934.551191616061</v>
      </c>
      <c r="L3112" s="5">
        <v>15225.811035017256</v>
      </c>
      <c r="M3112" s="5">
        <v>25580.243606220469</v>
      </c>
      <c r="N3112" s="5">
        <v>9209.4418830788036</v>
      </c>
      <c r="O3112" s="5">
        <v>41800.463215706819</v>
      </c>
      <c r="P3112" s="5">
        <v>44816.412248582856</v>
      </c>
      <c r="Q3112" s="5">
        <v>79566.621912742485</v>
      </c>
      <c r="R3112" s="5">
        <v>31715.273557891396</v>
      </c>
    </row>
    <row r="3113" spans="9:18">
      <c r="I3113" s="4">
        <v>3098</v>
      </c>
      <c r="J3113" s="5">
        <v>11036.461796239426</v>
      </c>
      <c r="K3113" s="5">
        <v>8223.1266007477425</v>
      </c>
      <c r="L3113" s="5">
        <v>25389.332759288587</v>
      </c>
      <c r="M3113" s="5">
        <v>11529.920007560097</v>
      </c>
      <c r="N3113" s="5">
        <v>25424.029865101274</v>
      </c>
      <c r="O3113" s="5">
        <v>36759.655306288936</v>
      </c>
      <c r="P3113" s="5">
        <v>27708.613526855763</v>
      </c>
      <c r="Q3113" s="5">
        <v>31855.809428519857</v>
      </c>
      <c r="R3113" s="5">
        <v>65420.116221752483</v>
      </c>
    </row>
    <row r="3114" spans="9:18">
      <c r="I3114" s="4">
        <v>3099</v>
      </c>
      <c r="J3114" s="5">
        <v>28590.354879265724</v>
      </c>
      <c r="K3114" s="5">
        <v>11857.447519815871</v>
      </c>
      <c r="L3114" s="5">
        <v>22412.045018675239</v>
      </c>
      <c r="M3114" s="5">
        <v>17116.951435661951</v>
      </c>
      <c r="N3114" s="5">
        <v>9989.086510768735</v>
      </c>
      <c r="O3114" s="5">
        <v>40942.522561879181</v>
      </c>
      <c r="P3114" s="5">
        <v>33500.490132682797</v>
      </c>
      <c r="Q3114" s="5">
        <v>31618.396253255491</v>
      </c>
      <c r="R3114" s="5">
        <v>20303.08745527079</v>
      </c>
    </row>
    <row r="3115" spans="9:18">
      <c r="I3115" s="4">
        <v>3100</v>
      </c>
      <c r="J3115" s="5">
        <v>17005.744061105343</v>
      </c>
      <c r="K3115" s="5">
        <v>43843.85059185313</v>
      </c>
      <c r="L3115" s="5">
        <v>14815.394001212817</v>
      </c>
      <c r="M3115" s="5">
        <v>41698.977215629871</v>
      </c>
      <c r="N3115" s="5">
        <v>11684.605182472778</v>
      </c>
      <c r="O3115" s="5">
        <v>20991.103410982985</v>
      </c>
      <c r="P3115" s="5">
        <v>34768.042801665702</v>
      </c>
      <c r="Q3115" s="5">
        <v>48756.323642664109</v>
      </c>
      <c r="R3115" s="5">
        <v>84289.422255274636</v>
      </c>
    </row>
    <row r="3116" spans="9:18">
      <c r="I3116" s="4">
        <v>3101</v>
      </c>
      <c r="J3116" s="5">
        <v>16733.020222212988</v>
      </c>
      <c r="K3116" s="5">
        <v>53937.689698015136</v>
      </c>
      <c r="L3116" s="5">
        <v>14146.191653372813</v>
      </c>
      <c r="M3116" s="5">
        <v>23913.435663027711</v>
      </c>
      <c r="N3116" s="5">
        <v>11788.341482962171</v>
      </c>
      <c r="O3116" s="5">
        <v>11282.178219986479</v>
      </c>
      <c r="P3116" s="5">
        <v>14316.965520592317</v>
      </c>
      <c r="Q3116" s="5">
        <v>59134.059519022907</v>
      </c>
      <c r="R3116" s="5">
        <v>302760.11878714536</v>
      </c>
    </row>
    <row r="3117" spans="9:18">
      <c r="I3117" s="4">
        <v>3102</v>
      </c>
      <c r="J3117" s="5">
        <v>12035.382213755307</v>
      </c>
      <c r="K3117" s="5">
        <v>14854.898507619706</v>
      </c>
      <c r="L3117" s="5">
        <v>24256.352541181568</v>
      </c>
      <c r="M3117" s="5">
        <v>20041.623430301417</v>
      </c>
      <c r="N3117" s="5">
        <v>11952.903761138405</v>
      </c>
      <c r="O3117" s="5">
        <v>16826.763259351828</v>
      </c>
      <c r="P3117" s="5">
        <v>35213.322626437533</v>
      </c>
      <c r="Q3117" s="5">
        <v>8880.8074399558282</v>
      </c>
      <c r="R3117" s="5">
        <v>114016.93673542379</v>
      </c>
    </row>
    <row r="3118" spans="9:18">
      <c r="I3118" s="4">
        <v>3103</v>
      </c>
      <c r="J3118" s="5">
        <v>16416.142496463777</v>
      </c>
      <c r="K3118" s="5">
        <v>21218.439146892688</v>
      </c>
      <c r="L3118" s="5">
        <v>34748.877779456467</v>
      </c>
      <c r="M3118" s="5">
        <v>31554.722481137964</v>
      </c>
      <c r="N3118" s="5">
        <v>48565.498233359976</v>
      </c>
      <c r="O3118" s="5">
        <v>25802.481365323994</v>
      </c>
      <c r="P3118" s="5">
        <v>9482.0186426688688</v>
      </c>
      <c r="Q3118" s="5">
        <v>37101.531383212743</v>
      </c>
      <c r="R3118" s="5">
        <v>19133.693426869788</v>
      </c>
    </row>
    <row r="3119" spans="9:18">
      <c r="I3119" s="4">
        <v>3104</v>
      </c>
      <c r="J3119" s="5">
        <v>22188.291830993156</v>
      </c>
      <c r="K3119" s="5">
        <v>13652.224205833634</v>
      </c>
      <c r="L3119" s="5">
        <v>18379.634651549037</v>
      </c>
      <c r="M3119" s="5">
        <v>13642.678686731051</v>
      </c>
      <c r="N3119" s="5">
        <v>37309.151967087455</v>
      </c>
      <c r="O3119" s="5">
        <v>41800.463215706819</v>
      </c>
      <c r="P3119" s="5">
        <v>44816.412248582856</v>
      </c>
      <c r="Q3119" s="5">
        <v>6386.5227360487288</v>
      </c>
      <c r="R3119" s="5">
        <v>7118.1729476780347</v>
      </c>
    </row>
    <row r="3120" spans="9:18">
      <c r="I3120" s="4">
        <v>3105</v>
      </c>
      <c r="J3120" s="5">
        <v>73074.062486361407</v>
      </c>
      <c r="K3120" s="5">
        <v>61827.107730316675</v>
      </c>
      <c r="L3120" s="5">
        <v>11827.803406885578</v>
      </c>
      <c r="M3120" s="5">
        <v>12426.949970383979</v>
      </c>
      <c r="N3120" s="5">
        <v>26565.664379767408</v>
      </c>
      <c r="O3120" s="5">
        <v>30656.031716467984</v>
      </c>
      <c r="P3120" s="5">
        <v>14327.191387816954</v>
      </c>
      <c r="Q3120" s="5">
        <v>31855.809428519857</v>
      </c>
      <c r="R3120" s="5">
        <v>23583.884732956092</v>
      </c>
    </row>
    <row r="3121" spans="9:18">
      <c r="I3121" s="4">
        <v>3106</v>
      </c>
      <c r="J3121" s="5">
        <v>13045.114546182727</v>
      </c>
      <c r="K3121" s="5">
        <v>15487.124352801369</v>
      </c>
      <c r="L3121" s="5">
        <v>15923.549351835489</v>
      </c>
      <c r="M3121" s="5">
        <v>33862.836621974391</v>
      </c>
      <c r="N3121" s="5">
        <v>24020.875410266352</v>
      </c>
      <c r="O3121" s="5">
        <v>5909.5347260996277</v>
      </c>
      <c r="P3121" s="5">
        <v>9826.8369575407578</v>
      </c>
      <c r="Q3121" s="5">
        <v>11928.872068442162</v>
      </c>
      <c r="R3121" s="5">
        <v>72640.340924600489</v>
      </c>
    </row>
    <row r="3122" spans="9:18">
      <c r="I3122" s="4">
        <v>3107</v>
      </c>
      <c r="J3122" s="5">
        <v>16733.020222212988</v>
      </c>
      <c r="K3122" s="5">
        <v>12026.500118162745</v>
      </c>
      <c r="L3122" s="5">
        <v>18379.634651549037</v>
      </c>
      <c r="M3122" s="5">
        <v>29041.83725675238</v>
      </c>
      <c r="N3122" s="5">
        <v>14335.478134989447</v>
      </c>
      <c r="O3122" s="5">
        <v>53028.643350899503</v>
      </c>
      <c r="P3122" s="5">
        <v>26541.896041444568</v>
      </c>
      <c r="Q3122" s="5">
        <v>42044.890065817184</v>
      </c>
      <c r="R3122" s="5">
        <v>51141.799458534304</v>
      </c>
    </row>
    <row r="3123" spans="9:18">
      <c r="I3123" s="4">
        <v>3108</v>
      </c>
      <c r="J3123" s="5">
        <v>45301.532027110363</v>
      </c>
      <c r="K3123" s="5">
        <v>56656.842992470461</v>
      </c>
      <c r="L3123" s="5">
        <v>15126.980926457318</v>
      </c>
      <c r="M3123" s="5">
        <v>29058.117767351498</v>
      </c>
      <c r="N3123" s="5">
        <v>32184.535272543482</v>
      </c>
      <c r="O3123" s="5">
        <v>42492.261063288854</v>
      </c>
      <c r="P3123" s="5">
        <v>83536.241167211992</v>
      </c>
      <c r="Q3123" s="5">
        <v>47365.380972950254</v>
      </c>
      <c r="R3123" s="5">
        <v>31715.273557891396</v>
      </c>
    </row>
    <row r="3124" spans="9:18">
      <c r="I3124" s="4">
        <v>3109</v>
      </c>
      <c r="J3124" s="5">
        <v>16416.142496463777</v>
      </c>
      <c r="K3124" s="5">
        <v>30552.499930043898</v>
      </c>
      <c r="L3124" s="5">
        <v>13037.115556745504</v>
      </c>
      <c r="M3124" s="5">
        <v>11860.862376247747</v>
      </c>
      <c r="N3124" s="5">
        <v>11684.605182472778</v>
      </c>
      <c r="O3124" s="5">
        <v>27503.656957929088</v>
      </c>
      <c r="P3124" s="5">
        <v>35569.894390728325</v>
      </c>
      <c r="Q3124" s="5">
        <v>71213.172792303565</v>
      </c>
      <c r="R3124" s="5">
        <v>181970.23111012415</v>
      </c>
    </row>
    <row r="3125" spans="9:18">
      <c r="I3125" s="4">
        <v>3110</v>
      </c>
      <c r="J3125" s="5">
        <v>7855.2948890116513</v>
      </c>
      <c r="K3125" s="5">
        <v>34058.671324159091</v>
      </c>
      <c r="L3125" s="5">
        <v>19359.475411188432</v>
      </c>
      <c r="M3125" s="5">
        <v>23908.621352410395</v>
      </c>
      <c r="N3125" s="5">
        <v>8104.6265149430556</v>
      </c>
      <c r="O3125" s="5">
        <v>36759.655306288936</v>
      </c>
      <c r="P3125" s="5">
        <v>17996.895987204196</v>
      </c>
      <c r="Q3125" s="5">
        <v>13214.632802255031</v>
      </c>
      <c r="R3125" s="5">
        <v>38898.713625068609</v>
      </c>
    </row>
    <row r="3126" spans="9:18">
      <c r="I3126" s="4">
        <v>3111</v>
      </c>
      <c r="J3126" s="5">
        <v>43272.831879770602</v>
      </c>
      <c r="K3126" s="5">
        <v>14136.873097602549</v>
      </c>
      <c r="L3126" s="5">
        <v>34748.877779456467</v>
      </c>
      <c r="M3126" s="5">
        <v>16510.442870615672</v>
      </c>
      <c r="N3126" s="5">
        <v>13745.376566850549</v>
      </c>
      <c r="O3126" s="5">
        <v>67717.30633712461</v>
      </c>
      <c r="P3126" s="5">
        <v>41657.50350099193</v>
      </c>
      <c r="Q3126" s="5">
        <v>37073.980790337926</v>
      </c>
      <c r="R3126" s="5">
        <v>76851.431017396084</v>
      </c>
    </row>
    <row r="3127" spans="9:18">
      <c r="I3127" s="4">
        <v>3112</v>
      </c>
      <c r="J3127" s="5">
        <v>15081.728672246438</v>
      </c>
      <c r="K3127" s="5">
        <v>15051.330276415061</v>
      </c>
      <c r="L3127" s="5">
        <v>19189.275558866306</v>
      </c>
      <c r="M3127" s="5">
        <v>18043.539897080744</v>
      </c>
      <c r="N3127" s="5">
        <v>21933.097106966918</v>
      </c>
      <c r="O3127" s="5">
        <v>25604.597681740845</v>
      </c>
      <c r="P3127" s="5">
        <v>13793.886507202402</v>
      </c>
      <c r="Q3127" s="5">
        <v>4631.7430487757983</v>
      </c>
      <c r="R3127" s="5">
        <v>86510.608303273053</v>
      </c>
    </row>
    <row r="3128" spans="9:18">
      <c r="I3128" s="4">
        <v>3113</v>
      </c>
      <c r="J3128" s="5">
        <v>9405.362381917912</v>
      </c>
      <c r="K3128" s="5">
        <v>9739.7813029644258</v>
      </c>
      <c r="L3128" s="5">
        <v>16014.071850041886</v>
      </c>
      <c r="M3128" s="5">
        <v>22815.60259636537</v>
      </c>
      <c r="N3128" s="5">
        <v>20718.434293991453</v>
      </c>
      <c r="O3128" s="5">
        <v>31172.963108652857</v>
      </c>
      <c r="P3128" s="5">
        <v>54292.749740228588</v>
      </c>
      <c r="Q3128" s="5">
        <v>31855.809428519857</v>
      </c>
      <c r="R3128" s="5">
        <v>84289.422255274636</v>
      </c>
    </row>
    <row r="3129" spans="9:18">
      <c r="I3129" s="4">
        <v>3114</v>
      </c>
      <c r="J3129" s="5">
        <v>13595.404057849493</v>
      </c>
      <c r="K3129" s="5">
        <v>14854.898507619706</v>
      </c>
      <c r="L3129" s="5">
        <v>17243.440968229323</v>
      </c>
      <c r="M3129" s="5">
        <v>21913.431401527439</v>
      </c>
      <c r="N3129" s="5">
        <v>59876.136849941562</v>
      </c>
      <c r="O3129" s="5">
        <v>16505.600261180331</v>
      </c>
      <c r="P3129" s="5">
        <v>3017.2887813579896</v>
      </c>
      <c r="Q3129" s="5">
        <v>13099.063525342741</v>
      </c>
      <c r="R3129" s="5">
        <v>76851.431017396084</v>
      </c>
    </row>
    <row r="3130" spans="9:18">
      <c r="I3130" s="4">
        <v>3115</v>
      </c>
      <c r="J3130" s="5">
        <v>45301.532027110363</v>
      </c>
      <c r="K3130" s="5">
        <v>15768.312122029349</v>
      </c>
      <c r="L3130" s="5">
        <v>15651.346103181355</v>
      </c>
      <c r="M3130" s="5">
        <v>6367.5407465007311</v>
      </c>
      <c r="N3130" s="5">
        <v>11788.341482962171</v>
      </c>
      <c r="O3130" s="5">
        <v>20930.098352661731</v>
      </c>
      <c r="P3130" s="5">
        <v>9482.0186426688688</v>
      </c>
      <c r="Q3130" s="5">
        <v>16591.881190929333</v>
      </c>
      <c r="R3130" s="5">
        <v>23583.884732956092</v>
      </c>
    </row>
    <row r="3131" spans="9:18">
      <c r="I3131" s="4">
        <v>3116</v>
      </c>
      <c r="J3131" s="5">
        <v>28085.9245102444</v>
      </c>
      <c r="K3131" s="5">
        <v>14017.262946034314</v>
      </c>
      <c r="L3131" s="5">
        <v>18215.751370765771</v>
      </c>
      <c r="M3131" s="5">
        <v>14217.48832834715</v>
      </c>
      <c r="N3131" s="5">
        <v>20718.434293991453</v>
      </c>
      <c r="O3131" s="5">
        <v>10738.305003664611</v>
      </c>
      <c r="P3131" s="5">
        <v>10532.667493814919</v>
      </c>
      <c r="Q3131" s="5">
        <v>37073.980790337926</v>
      </c>
      <c r="R3131" s="5">
        <v>41056.152565483346</v>
      </c>
    </row>
    <row r="3132" spans="9:18">
      <c r="I3132" s="4">
        <v>3117</v>
      </c>
      <c r="J3132" s="5">
        <v>22188.291830993156</v>
      </c>
      <c r="K3132" s="5">
        <v>16674.541027260992</v>
      </c>
      <c r="L3132" s="5">
        <v>22162.138529251199</v>
      </c>
      <c r="M3132" s="5">
        <v>12735.841453044006</v>
      </c>
      <c r="N3132" s="5">
        <v>4770.4216775830728</v>
      </c>
      <c r="O3132" s="5">
        <v>14371.728352806511</v>
      </c>
      <c r="P3132" s="5">
        <v>13452.921824087563</v>
      </c>
      <c r="Q3132" s="5">
        <v>8474.2603471579441</v>
      </c>
      <c r="R3132" s="5">
        <v>18720.450716365784</v>
      </c>
    </row>
    <row r="3133" spans="9:18">
      <c r="I3133" s="4">
        <v>3118</v>
      </c>
      <c r="J3133" s="5">
        <v>16156.372629961115</v>
      </c>
      <c r="K3133" s="5">
        <v>56656.842992470461</v>
      </c>
      <c r="L3133" s="5">
        <v>18602.881797624486</v>
      </c>
      <c r="M3133" s="5">
        <v>41698.977215629871</v>
      </c>
      <c r="N3133" s="5">
        <v>63974.903847153939</v>
      </c>
      <c r="O3133" s="5">
        <v>20991.103410982985</v>
      </c>
      <c r="P3133" s="5">
        <v>95486.196907583406</v>
      </c>
      <c r="Q3133" s="5">
        <v>29432.473148002948</v>
      </c>
      <c r="R3133" s="5">
        <v>14706.681111065362</v>
      </c>
    </row>
    <row r="3134" spans="9:18">
      <c r="I3134" s="4">
        <v>3119</v>
      </c>
      <c r="J3134" s="5">
        <v>28169.050633834027</v>
      </c>
      <c r="K3134" s="5">
        <v>21958.925144875713</v>
      </c>
      <c r="L3134" s="5">
        <v>22162.138529251199</v>
      </c>
      <c r="M3134" s="5">
        <v>14432.283063351901</v>
      </c>
      <c r="N3134" s="5">
        <v>17811.114014514766</v>
      </c>
      <c r="O3134" s="5">
        <v>27068.054847826614</v>
      </c>
      <c r="P3134" s="5">
        <v>18862.487147419793</v>
      </c>
      <c r="Q3134" s="5">
        <v>19541.409060825732</v>
      </c>
      <c r="R3134" s="5">
        <v>24722.972470599001</v>
      </c>
    </row>
    <row r="3135" spans="9:18">
      <c r="I3135" s="4">
        <v>3120</v>
      </c>
      <c r="J3135" s="5">
        <v>21888.821432026474</v>
      </c>
      <c r="K3135" s="5">
        <v>95171.967522309933</v>
      </c>
      <c r="L3135" s="5">
        <v>13023.361770761438</v>
      </c>
      <c r="M3135" s="5">
        <v>17542.15972125496</v>
      </c>
      <c r="N3135" s="5">
        <v>23283.854578052265</v>
      </c>
      <c r="O3135" s="5">
        <v>30656.031716467984</v>
      </c>
      <c r="P3135" s="5">
        <v>24349.301972630979</v>
      </c>
      <c r="Q3135" s="5">
        <v>73941.636731325911</v>
      </c>
      <c r="R3135" s="5">
        <v>14079.827908007112</v>
      </c>
    </row>
    <row r="3136" spans="9:18">
      <c r="I3136" s="4">
        <v>3121</v>
      </c>
      <c r="J3136" s="5">
        <v>14017.326487344162</v>
      </c>
      <c r="K3136" s="5">
        <v>11206.053243692098</v>
      </c>
      <c r="L3136" s="5">
        <v>13867.07093008449</v>
      </c>
      <c r="M3136" s="5">
        <v>23449.501569180404</v>
      </c>
      <c r="N3136" s="5">
        <v>17811.114014514766</v>
      </c>
      <c r="O3136" s="5">
        <v>94068.324736096256</v>
      </c>
      <c r="P3136" s="5">
        <v>10532.667493814919</v>
      </c>
      <c r="Q3136" s="5">
        <v>37277.391668005912</v>
      </c>
      <c r="R3136" s="5">
        <v>114016.93673542379</v>
      </c>
    </row>
    <row r="3137" spans="9:18">
      <c r="I3137" s="4">
        <v>3122</v>
      </c>
      <c r="J3137" s="5">
        <v>14741.240040396578</v>
      </c>
      <c r="K3137" s="5">
        <v>24728.095385476983</v>
      </c>
      <c r="L3137" s="5">
        <v>13867.07093008449</v>
      </c>
      <c r="M3137" s="5">
        <v>23454.775510296178</v>
      </c>
      <c r="N3137" s="5">
        <v>34295.124147811541</v>
      </c>
      <c r="O3137" s="5">
        <v>30608.431994348266</v>
      </c>
      <c r="P3137" s="5">
        <v>9811.9720599964548</v>
      </c>
      <c r="Q3137" s="5">
        <v>17493.456269945855</v>
      </c>
      <c r="R3137" s="5">
        <v>8046.7106309763258</v>
      </c>
    </row>
    <row r="3138" spans="9:18">
      <c r="I3138" s="4">
        <v>3123</v>
      </c>
      <c r="J3138" s="5">
        <v>14750.660273177687</v>
      </c>
      <c r="K3138" s="5">
        <v>34164.842952759042</v>
      </c>
      <c r="L3138" s="5">
        <v>11827.803406885578</v>
      </c>
      <c r="M3138" s="5">
        <v>37411.178129764201</v>
      </c>
      <c r="N3138" s="5">
        <v>29468.83360104046</v>
      </c>
      <c r="O3138" s="5">
        <v>14371.728352806511</v>
      </c>
      <c r="P3138" s="5">
        <v>9826.8369575407578</v>
      </c>
      <c r="Q3138" s="5">
        <v>56069.347629295014</v>
      </c>
      <c r="R3138" s="5">
        <v>46004.399892616471</v>
      </c>
    </row>
    <row r="3139" spans="9:18">
      <c r="I3139" s="4">
        <v>3124</v>
      </c>
      <c r="J3139" s="5">
        <v>16511.332839561353</v>
      </c>
      <c r="K3139" s="5">
        <v>7753.2116148734594</v>
      </c>
      <c r="L3139" s="5">
        <v>15359.132481533357</v>
      </c>
      <c r="M3139" s="5">
        <v>29834.240613550006</v>
      </c>
      <c r="N3139" s="5">
        <v>9989.086510768735</v>
      </c>
      <c r="O3139" s="5">
        <v>30656.031716467984</v>
      </c>
      <c r="P3139" s="5">
        <v>36724.352187786957</v>
      </c>
      <c r="Q3139" s="5">
        <v>47365.380972950254</v>
      </c>
      <c r="R3139" s="5">
        <v>33863.04333215439</v>
      </c>
    </row>
    <row r="3140" spans="9:18">
      <c r="I3140" s="4">
        <v>3125</v>
      </c>
      <c r="J3140" s="5">
        <v>12888.204629170894</v>
      </c>
      <c r="K3140" s="5">
        <v>16665.1498926479</v>
      </c>
      <c r="L3140" s="5">
        <v>23760.785349782636</v>
      </c>
      <c r="M3140" s="5">
        <v>14660.631931099009</v>
      </c>
      <c r="N3140" s="5">
        <v>39672.376281023731</v>
      </c>
      <c r="O3140" s="5">
        <v>25644.588869829797</v>
      </c>
      <c r="P3140" s="5">
        <v>22708.601480587709</v>
      </c>
      <c r="Q3140" s="5">
        <v>19315.033835554255</v>
      </c>
      <c r="R3140" s="5">
        <v>19133.693426869788</v>
      </c>
    </row>
    <row r="3141" spans="9:18">
      <c r="I3141" s="4">
        <v>3126</v>
      </c>
      <c r="J3141" s="5">
        <v>11036.461796239426</v>
      </c>
      <c r="K3141" s="5">
        <v>11857.447519815871</v>
      </c>
      <c r="L3141" s="5">
        <v>19224.583269019437</v>
      </c>
      <c r="M3141" s="5">
        <v>13065.820809359835</v>
      </c>
      <c r="N3141" s="5">
        <v>17891.96347244953</v>
      </c>
      <c r="O3141" s="5">
        <v>20827.029306810669</v>
      </c>
      <c r="P3141" s="5">
        <v>23769.190223735484</v>
      </c>
      <c r="Q3141" s="5">
        <v>7457.1844090365566</v>
      </c>
      <c r="R3141" s="5">
        <v>19133.693426869788</v>
      </c>
    </row>
    <row r="3142" spans="9:18">
      <c r="I3142" s="4">
        <v>3127</v>
      </c>
      <c r="J3142" s="5">
        <v>17679.321624063952</v>
      </c>
      <c r="K3142" s="5">
        <v>9739.7813029644258</v>
      </c>
      <c r="L3142" s="5">
        <v>17311.244744664215</v>
      </c>
      <c r="M3142" s="5">
        <v>17116.951435661951</v>
      </c>
      <c r="N3142" s="5">
        <v>11751.639947035985</v>
      </c>
      <c r="O3142" s="5">
        <v>16505.600261180331</v>
      </c>
      <c r="P3142" s="5">
        <v>12639.596794453437</v>
      </c>
      <c r="Q3142" s="5">
        <v>13865.641566869812</v>
      </c>
      <c r="R3142" s="5">
        <v>8130.5639219412278</v>
      </c>
    </row>
    <row r="3143" spans="9:18">
      <c r="I3143" s="4">
        <v>3128</v>
      </c>
      <c r="J3143" s="5">
        <v>18650.249281571734</v>
      </c>
      <c r="K3143" s="5">
        <v>9739.7813029644258</v>
      </c>
      <c r="L3143" s="5">
        <v>16106.634875163341</v>
      </c>
      <c r="M3143" s="5">
        <v>10111.451009425113</v>
      </c>
      <c r="N3143" s="5">
        <v>6130.3882288404347</v>
      </c>
      <c r="O3143" s="5">
        <v>25802.481365323994</v>
      </c>
      <c r="P3143" s="5">
        <v>3017.2887813579896</v>
      </c>
      <c r="Q3143" s="5">
        <v>92068.726035424203</v>
      </c>
      <c r="R3143" s="5">
        <v>7952.6989268572033</v>
      </c>
    </row>
    <row r="3144" spans="9:18">
      <c r="I3144" s="4">
        <v>3129</v>
      </c>
      <c r="J3144" s="5">
        <v>16166.107684907736</v>
      </c>
      <c r="K3144" s="5">
        <v>37822.375317881044</v>
      </c>
      <c r="L3144" s="5">
        <v>19189.275558866306</v>
      </c>
      <c r="M3144" s="5">
        <v>12426.949970383979</v>
      </c>
      <c r="N3144" s="5">
        <v>10882.757905166785</v>
      </c>
      <c r="O3144" s="5">
        <v>13613.378495715853</v>
      </c>
      <c r="P3144" s="5">
        <v>9826.8369575407578</v>
      </c>
      <c r="Q3144" s="5">
        <v>31019.493883163672</v>
      </c>
      <c r="R3144" s="5">
        <v>18720.450716365784</v>
      </c>
    </row>
    <row r="3145" spans="9:18">
      <c r="I3145" s="4">
        <v>3130</v>
      </c>
      <c r="J3145" s="5">
        <v>29760.443016608337</v>
      </c>
      <c r="K3145" s="5">
        <v>8223.1266007477425</v>
      </c>
      <c r="L3145" s="5">
        <v>16017.890956041876</v>
      </c>
      <c r="M3145" s="5">
        <v>13065.820809359835</v>
      </c>
      <c r="N3145" s="5">
        <v>59876.136849941562</v>
      </c>
      <c r="O3145" s="5">
        <v>94068.324736096256</v>
      </c>
      <c r="P3145" s="5">
        <v>21813.848941464526</v>
      </c>
      <c r="Q3145" s="5">
        <v>42044.890065817184</v>
      </c>
      <c r="R3145" s="5">
        <v>122304.95880137496</v>
      </c>
    </row>
    <row r="3146" spans="9:18">
      <c r="I3146" s="4">
        <v>3131</v>
      </c>
      <c r="J3146" s="5">
        <v>14017.326487344162</v>
      </c>
      <c r="K3146" s="5">
        <v>9769.3659785458403</v>
      </c>
      <c r="L3146" s="5">
        <v>15300.182042823812</v>
      </c>
      <c r="M3146" s="5">
        <v>19433.64679949253</v>
      </c>
      <c r="N3146" s="5">
        <v>39672.376281023731</v>
      </c>
      <c r="O3146" s="5">
        <v>3171.3006415671193</v>
      </c>
      <c r="P3146" s="5">
        <v>34768.042801665702</v>
      </c>
      <c r="Q3146" s="5">
        <v>17153.530968450712</v>
      </c>
      <c r="R3146" s="5">
        <v>8046.7106309763258</v>
      </c>
    </row>
    <row r="3147" spans="9:18">
      <c r="I3147" s="4">
        <v>3132</v>
      </c>
      <c r="J3147" s="5">
        <v>73074.062486361407</v>
      </c>
      <c r="K3147" s="5">
        <v>10931.803935361211</v>
      </c>
      <c r="L3147" s="5">
        <v>21725.131459372977</v>
      </c>
      <c r="M3147" s="5">
        <v>18043.539897080744</v>
      </c>
      <c r="N3147" s="5">
        <v>8555.1229659096207</v>
      </c>
      <c r="O3147" s="5">
        <v>3171.3006415671193</v>
      </c>
      <c r="P3147" s="5">
        <v>17643.087208586294</v>
      </c>
      <c r="Q3147" s="5">
        <v>31019.493883163672</v>
      </c>
      <c r="R3147" s="5">
        <v>38898.713625068609</v>
      </c>
    </row>
    <row r="3148" spans="9:18">
      <c r="I3148" s="4">
        <v>3133</v>
      </c>
      <c r="J3148" s="5">
        <v>22370.105711697011</v>
      </c>
      <c r="K3148" s="5">
        <v>35488.449387009874</v>
      </c>
      <c r="L3148" s="5">
        <v>19078.910217042379</v>
      </c>
      <c r="M3148" s="5">
        <v>19433.64679949253</v>
      </c>
      <c r="N3148" s="5">
        <v>15251.140047572881</v>
      </c>
      <c r="O3148" s="5">
        <v>10738.305003664611</v>
      </c>
      <c r="P3148" s="5">
        <v>10966.822219855034</v>
      </c>
      <c r="Q3148" s="5">
        <v>92068.726035424203</v>
      </c>
      <c r="R3148" s="5">
        <v>72640.340924600489</v>
      </c>
    </row>
    <row r="3149" spans="9:18">
      <c r="I3149" s="4">
        <v>3134</v>
      </c>
      <c r="J3149" s="5">
        <v>14680.308400328413</v>
      </c>
      <c r="K3149" s="5">
        <v>21187.174639714212</v>
      </c>
      <c r="L3149" s="5">
        <v>16955.349467865559</v>
      </c>
      <c r="M3149" s="5">
        <v>41698.977215629871</v>
      </c>
      <c r="N3149" s="5">
        <v>26115.05281128412</v>
      </c>
      <c r="O3149" s="5">
        <v>94068.324736096256</v>
      </c>
      <c r="P3149" s="5">
        <v>41657.50350099193</v>
      </c>
      <c r="Q3149" s="5">
        <v>20987.925664394581</v>
      </c>
      <c r="R3149" s="5">
        <v>55012.315589742022</v>
      </c>
    </row>
    <row r="3150" spans="9:18">
      <c r="I3150" s="4">
        <v>3135</v>
      </c>
      <c r="J3150" s="5">
        <v>14710.037865351254</v>
      </c>
      <c r="K3150" s="5">
        <v>14878.52734402675</v>
      </c>
      <c r="L3150" s="5">
        <v>14691.846656953887</v>
      </c>
      <c r="M3150" s="5">
        <v>19433.64679949253</v>
      </c>
      <c r="N3150" s="5">
        <v>12297.015342318469</v>
      </c>
      <c r="O3150" s="5">
        <v>16524.769946939996</v>
      </c>
      <c r="P3150" s="5">
        <v>5735.6883097179207</v>
      </c>
      <c r="Q3150" s="5">
        <v>37277.391668005912</v>
      </c>
      <c r="R3150" s="5">
        <v>20236.767651156802</v>
      </c>
    </row>
    <row r="3151" spans="9:18">
      <c r="I3151" s="4">
        <v>3136</v>
      </c>
      <c r="J3151" s="5">
        <v>11854.381651026555</v>
      </c>
      <c r="K3151" s="5">
        <v>15487.124352801369</v>
      </c>
      <c r="L3151" s="5">
        <v>14649.721476864312</v>
      </c>
      <c r="M3151" s="5">
        <v>25580.243606220469</v>
      </c>
      <c r="N3151" s="5">
        <v>8104.6265149430556</v>
      </c>
      <c r="O3151" s="5">
        <v>27195.510785031525</v>
      </c>
      <c r="P3151" s="5">
        <v>9482.0186426688688</v>
      </c>
      <c r="Q3151" s="5">
        <v>11173.074396969254</v>
      </c>
      <c r="R3151" s="5">
        <v>84289.422255274636</v>
      </c>
    </row>
    <row r="3152" spans="9:18">
      <c r="I3152" s="4">
        <v>3137</v>
      </c>
      <c r="J3152" s="5">
        <v>14741.240040396578</v>
      </c>
      <c r="K3152" s="5">
        <v>16273.14570113692</v>
      </c>
      <c r="L3152" s="5">
        <v>17845.207337527903</v>
      </c>
      <c r="M3152" s="5">
        <v>10142.860128720422</v>
      </c>
      <c r="N3152" s="5">
        <v>14240.123545764454</v>
      </c>
      <c r="O3152" s="5">
        <v>32474.063027682765</v>
      </c>
      <c r="P3152" s="5">
        <v>54100.778483493887</v>
      </c>
      <c r="Q3152" s="5">
        <v>17234.335939857254</v>
      </c>
      <c r="R3152" s="5">
        <v>16039.216896723072</v>
      </c>
    </row>
    <row r="3153" spans="9:18">
      <c r="I3153" s="4">
        <v>3138</v>
      </c>
      <c r="J3153" s="5">
        <v>21150.169973104224</v>
      </c>
      <c r="K3153" s="5">
        <v>13331.01856102917</v>
      </c>
      <c r="L3153" s="5">
        <v>13622.976145621742</v>
      </c>
      <c r="M3153" s="5">
        <v>19890.009981657669</v>
      </c>
      <c r="N3153" s="5">
        <v>17891.96347244953</v>
      </c>
      <c r="O3153" s="5">
        <v>49114.195066822271</v>
      </c>
      <c r="P3153" s="5">
        <v>3017.2887813579896</v>
      </c>
      <c r="Q3153" s="5">
        <v>13865.641566869812</v>
      </c>
      <c r="R3153" s="5">
        <v>7879.038918914337</v>
      </c>
    </row>
    <row r="3154" spans="9:18">
      <c r="I3154" s="4">
        <v>3139</v>
      </c>
      <c r="J3154" s="5">
        <v>15417.870921574262</v>
      </c>
      <c r="K3154" s="5">
        <v>14854.898507619706</v>
      </c>
      <c r="L3154" s="5">
        <v>14364.472927446199</v>
      </c>
      <c r="M3154" s="5">
        <v>12987.517521908694</v>
      </c>
      <c r="N3154" s="5">
        <v>25424.029865101274</v>
      </c>
      <c r="O3154" s="5">
        <v>6199.3195463515376</v>
      </c>
      <c r="P3154" s="5">
        <v>9047.5556949992188</v>
      </c>
      <c r="Q3154" s="5">
        <v>68168.482468129529</v>
      </c>
      <c r="R3154" s="5">
        <v>18230.645544621442</v>
      </c>
    </row>
    <row r="3155" spans="9:18">
      <c r="I3155" s="4">
        <v>3140</v>
      </c>
      <c r="J3155" s="5">
        <v>14960.076233580705</v>
      </c>
      <c r="K3155" s="5">
        <v>12423.491400404893</v>
      </c>
      <c r="L3155" s="5">
        <v>16017.890956041876</v>
      </c>
      <c r="M3155" s="5">
        <v>33862.836621974391</v>
      </c>
      <c r="N3155" s="5">
        <v>51261.622558090799</v>
      </c>
      <c r="O3155" s="5">
        <v>67717.30633712461</v>
      </c>
      <c r="P3155" s="5">
        <v>3831.1492650071077</v>
      </c>
      <c r="Q3155" s="5">
        <v>29432.473148002948</v>
      </c>
      <c r="R3155" s="5">
        <v>3433.6677391851467</v>
      </c>
    </row>
    <row r="3156" spans="9:18">
      <c r="I3156" s="4">
        <v>3141</v>
      </c>
      <c r="J3156" s="5">
        <v>33627.941293959229</v>
      </c>
      <c r="K3156" s="5">
        <v>20887.307279900142</v>
      </c>
      <c r="L3156" s="5">
        <v>27144.958215276103</v>
      </c>
      <c r="M3156" s="5">
        <v>14432.283063351901</v>
      </c>
      <c r="N3156" s="5">
        <v>20558.672182394013</v>
      </c>
      <c r="O3156" s="5">
        <v>10676.618215263648</v>
      </c>
      <c r="P3156" s="5">
        <v>16650.229067545235</v>
      </c>
      <c r="Q3156" s="5">
        <v>9796.0979856104404</v>
      </c>
      <c r="R3156" s="5">
        <v>84289.422255274636</v>
      </c>
    </row>
    <row r="3157" spans="9:18">
      <c r="I3157" s="4">
        <v>3142</v>
      </c>
      <c r="J3157" s="5">
        <v>21150.169973104224</v>
      </c>
      <c r="K3157" s="5">
        <v>15051.330276415061</v>
      </c>
      <c r="L3157" s="5">
        <v>16071.478531535273</v>
      </c>
      <c r="M3157" s="5">
        <v>30785.663999045999</v>
      </c>
      <c r="N3157" s="5">
        <v>51261.622558090799</v>
      </c>
      <c r="O3157" s="5">
        <v>41800.463215706819</v>
      </c>
      <c r="P3157" s="5">
        <v>12992.105410393709</v>
      </c>
      <c r="Q3157" s="5">
        <v>27018.509959127641</v>
      </c>
      <c r="R3157" s="5">
        <v>29295.938844292672</v>
      </c>
    </row>
    <row r="3158" spans="9:18">
      <c r="I3158" s="4">
        <v>3143</v>
      </c>
      <c r="J3158" s="5">
        <v>15554.996700302558</v>
      </c>
      <c r="K3158" s="5">
        <v>43843.85059185313</v>
      </c>
      <c r="L3158" s="5">
        <v>17482.478480142941</v>
      </c>
      <c r="M3158" s="5">
        <v>21833.004790208965</v>
      </c>
      <c r="N3158" s="5">
        <v>20583.564383988036</v>
      </c>
      <c r="O3158" s="5">
        <v>24258.192244316608</v>
      </c>
      <c r="P3158" s="5">
        <v>10966.822219855034</v>
      </c>
      <c r="Q3158" s="5">
        <v>31019.493883163672</v>
      </c>
      <c r="R3158" s="5">
        <v>2071.5141323269809</v>
      </c>
    </row>
    <row r="3159" spans="9:18">
      <c r="I3159" s="4">
        <v>3144</v>
      </c>
      <c r="J3159" s="5">
        <v>27392.038553726634</v>
      </c>
      <c r="K3159" s="5">
        <v>32294.121255311245</v>
      </c>
      <c r="L3159" s="5">
        <v>16616.161224349555</v>
      </c>
      <c r="M3159" s="5">
        <v>18177.175180585615</v>
      </c>
      <c r="N3159" s="5">
        <v>15130.853682762778</v>
      </c>
      <c r="O3159" s="5">
        <v>13966.178986479143</v>
      </c>
      <c r="P3159" s="5">
        <v>13793.886507202402</v>
      </c>
      <c r="Q3159" s="5">
        <v>59964.86015574776</v>
      </c>
      <c r="R3159" s="5">
        <v>93933.045103013996</v>
      </c>
    </row>
    <row r="3160" spans="9:18">
      <c r="I3160" s="4">
        <v>3145</v>
      </c>
      <c r="J3160" s="5">
        <v>11036.461796239426</v>
      </c>
      <c r="K3160" s="5">
        <v>15051.330276415061</v>
      </c>
      <c r="L3160" s="5">
        <v>20698.842353987733</v>
      </c>
      <c r="M3160" s="5">
        <v>23515.935489506261</v>
      </c>
      <c r="N3160" s="5">
        <v>24769.339976495565</v>
      </c>
      <c r="O3160" s="5">
        <v>31172.963108652857</v>
      </c>
      <c r="P3160" s="5">
        <v>20403.656304140692</v>
      </c>
      <c r="Q3160" s="5">
        <v>71213.172792303565</v>
      </c>
      <c r="R3160" s="5">
        <v>54594.567438884274</v>
      </c>
    </row>
    <row r="3161" spans="9:18">
      <c r="I3161" s="4">
        <v>3146</v>
      </c>
      <c r="J3161" s="5">
        <v>18650.249281571734</v>
      </c>
      <c r="K3161" s="5">
        <v>21187.174639714212</v>
      </c>
      <c r="L3161" s="5">
        <v>16071.260291253868</v>
      </c>
      <c r="M3161" s="5">
        <v>19097.39635881727</v>
      </c>
      <c r="N3161" s="5">
        <v>11604.12831603515</v>
      </c>
      <c r="O3161" s="5">
        <v>66253.993323243907</v>
      </c>
      <c r="P3161" s="5">
        <v>27820.721938889761</v>
      </c>
      <c r="Q3161" s="5">
        <v>37073.980790337926</v>
      </c>
      <c r="R3161" s="5">
        <v>7952.6989268572033</v>
      </c>
    </row>
    <row r="3162" spans="9:18">
      <c r="I3162" s="4">
        <v>3147</v>
      </c>
      <c r="J3162" s="5">
        <v>22188.291830993156</v>
      </c>
      <c r="K3162" s="5">
        <v>16934.093371663999</v>
      </c>
      <c r="L3162" s="5">
        <v>13037.115556745504</v>
      </c>
      <c r="M3162" s="5">
        <v>25580.243606220469</v>
      </c>
      <c r="N3162" s="5">
        <v>17811.114014514766</v>
      </c>
      <c r="O3162" s="5">
        <v>15124.35050053727</v>
      </c>
      <c r="P3162" s="5">
        <v>5735.6883097179207</v>
      </c>
      <c r="Q3162" s="5">
        <v>8832.660767995616</v>
      </c>
      <c r="R3162" s="5">
        <v>33863.04333215439</v>
      </c>
    </row>
    <row r="3163" spans="9:18">
      <c r="I3163" s="4">
        <v>3148</v>
      </c>
      <c r="J3163" s="5">
        <v>13447.638004246244</v>
      </c>
      <c r="K3163" s="5">
        <v>11558.357574452555</v>
      </c>
      <c r="L3163" s="5">
        <v>14364.472927446199</v>
      </c>
      <c r="M3163" s="5">
        <v>20185.026038758231</v>
      </c>
      <c r="N3163" s="5">
        <v>28426.778914975595</v>
      </c>
      <c r="O3163" s="5">
        <v>33720.545907536376</v>
      </c>
      <c r="P3163" s="5">
        <v>44816.412248582856</v>
      </c>
      <c r="Q3163" s="5">
        <v>96632.959478514502</v>
      </c>
      <c r="R3163" s="5">
        <v>86510.608303273053</v>
      </c>
    </row>
    <row r="3164" spans="9:18">
      <c r="I3164" s="4">
        <v>3149</v>
      </c>
      <c r="J3164" s="5">
        <v>29760.443016608337</v>
      </c>
      <c r="K3164" s="5">
        <v>23934.551191616061</v>
      </c>
      <c r="L3164" s="5">
        <v>17482.478480142941</v>
      </c>
      <c r="M3164" s="5">
        <v>12619.198742021435</v>
      </c>
      <c r="N3164" s="5">
        <v>26152.705108198839</v>
      </c>
      <c r="O3164" s="5">
        <v>15124.35050053727</v>
      </c>
      <c r="P3164" s="5">
        <v>9826.8369575407578</v>
      </c>
      <c r="Q3164" s="5">
        <v>52421.574537857021</v>
      </c>
      <c r="R3164" s="5">
        <v>38898.713625068609</v>
      </c>
    </row>
    <row r="3165" spans="9:18">
      <c r="I3165" s="4">
        <v>3150</v>
      </c>
      <c r="J3165" s="5">
        <v>21717.214093683677</v>
      </c>
      <c r="K3165" s="5">
        <v>13520.836427679104</v>
      </c>
      <c r="L3165" s="5">
        <v>18475.258050488967</v>
      </c>
      <c r="M3165" s="5">
        <v>19042.78605337895</v>
      </c>
      <c r="N3165" s="5">
        <v>63974.903847153939</v>
      </c>
      <c r="O3165" s="5">
        <v>20991.103410982985</v>
      </c>
      <c r="P3165" s="5">
        <v>16650.229067545235</v>
      </c>
      <c r="Q3165" s="5">
        <v>6386.5227360487288</v>
      </c>
      <c r="R3165" s="5">
        <v>81423.874800517297</v>
      </c>
    </row>
    <row r="3166" spans="9:18">
      <c r="I3166" s="4">
        <v>3151</v>
      </c>
      <c r="J3166" s="5">
        <v>7855.2948890116513</v>
      </c>
      <c r="K3166" s="5">
        <v>21187.174639714212</v>
      </c>
      <c r="L3166" s="5">
        <v>25389.332759288587</v>
      </c>
      <c r="M3166" s="5">
        <v>41698.977215629871</v>
      </c>
      <c r="N3166" s="5">
        <v>25424.029865101274</v>
      </c>
      <c r="O3166" s="5">
        <v>19430.912633256889</v>
      </c>
      <c r="P3166" s="5">
        <v>45161.732159568586</v>
      </c>
      <c r="Q3166" s="5">
        <v>116445.46783345108</v>
      </c>
      <c r="R3166" s="5">
        <v>7118.1729476780347</v>
      </c>
    </row>
    <row r="3167" spans="9:18">
      <c r="I3167" s="4">
        <v>3152</v>
      </c>
      <c r="J3167" s="5">
        <v>26634.853073396614</v>
      </c>
      <c r="K3167" s="5">
        <v>11206.053243692098</v>
      </c>
      <c r="L3167" s="5">
        <v>17243.440968229323</v>
      </c>
      <c r="M3167" s="5">
        <v>23908.621352410395</v>
      </c>
      <c r="N3167" s="5">
        <v>21933.097106966918</v>
      </c>
      <c r="O3167" s="5">
        <v>40581.847217937895</v>
      </c>
      <c r="P3167" s="5">
        <v>14327.191387816954</v>
      </c>
      <c r="Q3167" s="5">
        <v>9796.0979856104404</v>
      </c>
      <c r="R3167" s="5">
        <v>54594.567438884274</v>
      </c>
    </row>
    <row r="3168" spans="9:18">
      <c r="I3168" s="4">
        <v>3153</v>
      </c>
      <c r="J3168" s="5">
        <v>20002.201347927807</v>
      </c>
      <c r="K3168" s="5">
        <v>16605.655749562578</v>
      </c>
      <c r="L3168" s="5">
        <v>14610.165745300763</v>
      </c>
      <c r="M3168" s="5">
        <v>30830.81083227017</v>
      </c>
      <c r="N3168" s="5">
        <v>4770.4216775830728</v>
      </c>
      <c r="O3168" s="5">
        <v>40581.847217937895</v>
      </c>
      <c r="P3168" s="5">
        <v>10532.667493814919</v>
      </c>
      <c r="Q3168" s="5">
        <v>4631.7430487757983</v>
      </c>
      <c r="R3168" s="5">
        <v>5865.9802599669383</v>
      </c>
    </row>
    <row r="3169" spans="9:18">
      <c r="I3169" s="4">
        <v>3154</v>
      </c>
      <c r="J3169" s="5">
        <v>28085.9245102444</v>
      </c>
      <c r="K3169" s="5">
        <v>8223.1266007477425</v>
      </c>
      <c r="L3169" s="5">
        <v>14364.472927446199</v>
      </c>
      <c r="M3169" s="5">
        <v>7334.8610818348589</v>
      </c>
      <c r="N3169" s="5">
        <v>45581.602064432409</v>
      </c>
      <c r="O3169" s="5">
        <v>77417.02098927302</v>
      </c>
      <c r="P3169" s="5">
        <v>83536.241167211992</v>
      </c>
      <c r="Q3169" s="5">
        <v>11173.074396969254</v>
      </c>
      <c r="R3169" s="5">
        <v>13258.538726001538</v>
      </c>
    </row>
    <row r="3170" spans="9:18">
      <c r="I3170" s="4">
        <v>3155</v>
      </c>
      <c r="J3170" s="5">
        <v>14076.209333698853</v>
      </c>
      <c r="K3170" s="5">
        <v>11857.447519815871</v>
      </c>
      <c r="L3170" s="5">
        <v>15060.431658965737</v>
      </c>
      <c r="M3170" s="5">
        <v>29834.240613550006</v>
      </c>
      <c r="N3170" s="5">
        <v>23583.581287126868</v>
      </c>
      <c r="O3170" s="5">
        <v>20721.57544042755</v>
      </c>
      <c r="P3170" s="5">
        <v>14316.965520592317</v>
      </c>
      <c r="Q3170" s="5">
        <v>28078.365156847896</v>
      </c>
      <c r="R3170" s="5">
        <v>23583.884732956092</v>
      </c>
    </row>
    <row r="3171" spans="9:18">
      <c r="I3171" s="4">
        <v>3156</v>
      </c>
      <c r="J3171" s="5">
        <v>16416.142496463777</v>
      </c>
      <c r="K3171" s="5">
        <v>15428.770955406064</v>
      </c>
      <c r="L3171" s="5">
        <v>13417.453622029931</v>
      </c>
      <c r="M3171" s="5">
        <v>19795.661011456152</v>
      </c>
      <c r="N3171" s="5">
        <v>15786.177386596903</v>
      </c>
      <c r="O3171" s="5">
        <v>42492.261063288854</v>
      </c>
      <c r="P3171" s="5">
        <v>9633.1652908310007</v>
      </c>
      <c r="Q3171" s="5">
        <v>37802.358878968138</v>
      </c>
      <c r="R3171" s="5">
        <v>13258.538726001538</v>
      </c>
    </row>
    <row r="3172" spans="9:18">
      <c r="I3172" s="4">
        <v>3157</v>
      </c>
      <c r="J3172" s="5">
        <v>14017.326487344162</v>
      </c>
      <c r="K3172" s="5">
        <v>21187.174639714212</v>
      </c>
      <c r="L3172" s="5">
        <v>15764.107424863063</v>
      </c>
      <c r="M3172" s="5">
        <v>14217.48832834715</v>
      </c>
      <c r="N3172" s="5">
        <v>46248.895746171031</v>
      </c>
      <c r="O3172" s="5">
        <v>16572.483389649329</v>
      </c>
      <c r="P3172" s="5">
        <v>13452.921824087563</v>
      </c>
      <c r="Q3172" s="5">
        <v>9652.8114206999071</v>
      </c>
      <c r="R3172" s="5">
        <v>93933.045103013996</v>
      </c>
    </row>
    <row r="3173" spans="9:18">
      <c r="I3173" s="4">
        <v>3158</v>
      </c>
      <c r="J3173" s="5">
        <v>28169.050633834027</v>
      </c>
      <c r="K3173" s="5">
        <v>17903.387243834499</v>
      </c>
      <c r="L3173" s="5">
        <v>17243.440968229323</v>
      </c>
      <c r="M3173" s="5">
        <v>19795.661011456152</v>
      </c>
      <c r="N3173" s="5">
        <v>24020.875410266352</v>
      </c>
      <c r="O3173" s="5">
        <v>16524.769946939996</v>
      </c>
      <c r="P3173" s="5">
        <v>13452.921824087563</v>
      </c>
      <c r="Q3173" s="5">
        <v>31902.904306425251</v>
      </c>
      <c r="R3173" s="5">
        <v>5865.9802599669383</v>
      </c>
    </row>
    <row r="3174" spans="9:18">
      <c r="I3174" s="4">
        <v>3159</v>
      </c>
      <c r="J3174" s="5">
        <v>15554.996700302558</v>
      </c>
      <c r="K3174" s="5">
        <v>16873.752266014431</v>
      </c>
      <c r="L3174" s="5">
        <v>27144.958215276103</v>
      </c>
      <c r="M3174" s="5">
        <v>18177.175180585615</v>
      </c>
      <c r="N3174" s="5">
        <v>15130.853682762778</v>
      </c>
      <c r="O3174" s="5">
        <v>18637.945795127704</v>
      </c>
      <c r="P3174" s="5">
        <v>14773.185437294762</v>
      </c>
      <c r="Q3174" s="5">
        <v>56069.347629295014</v>
      </c>
      <c r="R3174" s="5">
        <v>50287.76786557267</v>
      </c>
    </row>
    <row r="3175" spans="9:18">
      <c r="I3175" s="4">
        <v>3160</v>
      </c>
      <c r="J3175" s="5">
        <v>27392.038553726634</v>
      </c>
      <c r="K3175" s="5">
        <v>10931.803935361211</v>
      </c>
      <c r="L3175" s="5">
        <v>15664.99858445921</v>
      </c>
      <c r="M3175" s="5">
        <v>18816.787977140237</v>
      </c>
      <c r="N3175" s="5">
        <v>23583.581287126868</v>
      </c>
      <c r="O3175" s="5">
        <v>4231.3144655921506</v>
      </c>
      <c r="P3175" s="5">
        <v>27373.102585108634</v>
      </c>
      <c r="Q3175" s="5">
        <v>16591.881190929333</v>
      </c>
      <c r="R3175" s="5">
        <v>7118.1729476780347</v>
      </c>
    </row>
    <row r="3176" spans="9:18">
      <c r="I3176" s="4">
        <v>3161</v>
      </c>
      <c r="J3176" s="5">
        <v>19048.674633640545</v>
      </c>
      <c r="K3176" s="5">
        <v>16605.655749562578</v>
      </c>
      <c r="L3176" s="5">
        <v>18810.091753970282</v>
      </c>
      <c r="M3176" s="5">
        <v>16881.579299055</v>
      </c>
      <c r="N3176" s="5">
        <v>42744.618431291936</v>
      </c>
      <c r="O3176" s="5">
        <v>33720.545907536376</v>
      </c>
      <c r="P3176" s="5">
        <v>55152.110177667731</v>
      </c>
      <c r="Q3176" s="5">
        <v>4924.9171270300558</v>
      </c>
      <c r="R3176" s="5">
        <v>26783.439354489365</v>
      </c>
    </row>
    <row r="3177" spans="9:18">
      <c r="I3177" s="4">
        <v>3162</v>
      </c>
      <c r="J3177" s="5">
        <v>12056.41843703942</v>
      </c>
      <c r="K3177" s="5">
        <v>18821.113178054162</v>
      </c>
      <c r="L3177" s="5">
        <v>17311.244744664215</v>
      </c>
      <c r="M3177" s="5">
        <v>20788.503422877813</v>
      </c>
      <c r="N3177" s="5">
        <v>23998.040874392525</v>
      </c>
      <c r="O3177" s="5">
        <v>9956.4031238965053</v>
      </c>
      <c r="P3177" s="5">
        <v>39054.462981000084</v>
      </c>
      <c r="Q3177" s="5">
        <v>3272.4685014937832</v>
      </c>
      <c r="R3177" s="5">
        <v>51141.799458534304</v>
      </c>
    </row>
    <row r="3178" spans="9:18">
      <c r="I3178" s="4">
        <v>3163</v>
      </c>
      <c r="J3178" s="5">
        <v>9368.8270679249108</v>
      </c>
      <c r="K3178" s="5">
        <v>12777.667398488715</v>
      </c>
      <c r="L3178" s="5">
        <v>18602.881797624486</v>
      </c>
      <c r="M3178" s="5">
        <v>12426.949970383979</v>
      </c>
      <c r="N3178" s="5">
        <v>37309.151967087455</v>
      </c>
      <c r="O3178" s="5">
        <v>26565.882515615398</v>
      </c>
      <c r="P3178" s="5">
        <v>29283.825979394511</v>
      </c>
      <c r="Q3178" s="5">
        <v>28567.61306643406</v>
      </c>
      <c r="R3178" s="5">
        <v>123773.40402252052</v>
      </c>
    </row>
    <row r="3179" spans="9:18">
      <c r="I3179" s="4">
        <v>3164</v>
      </c>
      <c r="J3179" s="5">
        <v>26634.853073396614</v>
      </c>
      <c r="K3179" s="5">
        <v>12026.500118162745</v>
      </c>
      <c r="L3179" s="5">
        <v>13023.361770761438</v>
      </c>
      <c r="M3179" s="5">
        <v>21332.072353846772</v>
      </c>
      <c r="N3179" s="5">
        <v>24853.247795632611</v>
      </c>
      <c r="O3179" s="5">
        <v>20827.029306810669</v>
      </c>
      <c r="P3179" s="5">
        <v>12992.105410393709</v>
      </c>
      <c r="Q3179" s="5">
        <v>31855.809428519857</v>
      </c>
      <c r="R3179" s="5">
        <v>6360.7905155660001</v>
      </c>
    </row>
    <row r="3180" spans="9:18">
      <c r="I3180" s="4">
        <v>3165</v>
      </c>
      <c r="J3180" s="5">
        <v>14538.277247583976</v>
      </c>
      <c r="K3180" s="5">
        <v>22732.797143159998</v>
      </c>
      <c r="L3180" s="5">
        <v>15923.549351835489</v>
      </c>
      <c r="M3180" s="5">
        <v>14217.48832834715</v>
      </c>
      <c r="N3180" s="5">
        <v>48565.498233359976</v>
      </c>
      <c r="O3180" s="5">
        <v>28431.436490368542</v>
      </c>
      <c r="P3180" s="5">
        <v>27452.975716953504</v>
      </c>
      <c r="Q3180" s="5">
        <v>13865.641566869812</v>
      </c>
      <c r="R3180" s="5">
        <v>33290.909836056817</v>
      </c>
    </row>
    <row r="3181" spans="9:18">
      <c r="I3181" s="4">
        <v>3166</v>
      </c>
      <c r="J3181" s="5">
        <v>49463.324094345015</v>
      </c>
      <c r="K3181" s="5">
        <v>17903.387243834499</v>
      </c>
      <c r="L3181" s="5">
        <v>14364.472927446199</v>
      </c>
      <c r="M3181" s="5">
        <v>23515.935489506261</v>
      </c>
      <c r="N3181" s="5">
        <v>37309.151967087455</v>
      </c>
      <c r="O3181" s="5">
        <v>25604.597681740845</v>
      </c>
      <c r="P3181" s="5">
        <v>18862.487147419793</v>
      </c>
      <c r="Q3181" s="5">
        <v>17234.335939857254</v>
      </c>
      <c r="R3181" s="5">
        <v>27349.63499959607</v>
      </c>
    </row>
    <row r="3182" spans="9:18">
      <c r="I3182" s="4">
        <v>3167</v>
      </c>
      <c r="J3182" s="5">
        <v>13595.404057849493</v>
      </c>
      <c r="K3182" s="5">
        <v>6949.5708823216592</v>
      </c>
      <c r="L3182" s="5">
        <v>18602.881797624486</v>
      </c>
      <c r="M3182" s="5">
        <v>21913.431401527439</v>
      </c>
      <c r="N3182" s="5">
        <v>21909.120225822895</v>
      </c>
      <c r="O3182" s="5">
        <v>66253.993323243907</v>
      </c>
      <c r="P3182" s="5">
        <v>22708.601480587709</v>
      </c>
      <c r="Q3182" s="5">
        <v>15663.43865741136</v>
      </c>
      <c r="R3182" s="5">
        <v>18720.450716365784</v>
      </c>
    </row>
    <row r="3183" spans="9:18">
      <c r="I3183" s="4">
        <v>3168</v>
      </c>
      <c r="J3183" s="5">
        <v>16544.73779470181</v>
      </c>
      <c r="K3183" s="5">
        <v>16132.555399908759</v>
      </c>
      <c r="L3183" s="5">
        <v>16071.260291253868</v>
      </c>
      <c r="M3183" s="5">
        <v>18879.640760542785</v>
      </c>
      <c r="N3183" s="5">
        <v>14240.123545764454</v>
      </c>
      <c r="O3183" s="5">
        <v>40581.847217937895</v>
      </c>
      <c r="P3183" s="5">
        <v>83536.241167211992</v>
      </c>
      <c r="Q3183" s="5">
        <v>100789.83462564547</v>
      </c>
      <c r="R3183" s="5">
        <v>89167.415757270224</v>
      </c>
    </row>
    <row r="3184" spans="9:18">
      <c r="I3184" s="4">
        <v>3169</v>
      </c>
      <c r="J3184" s="5">
        <v>28085.9245102444</v>
      </c>
      <c r="K3184" s="5">
        <v>23934.551191616061</v>
      </c>
      <c r="L3184" s="5">
        <v>27289.607394458035</v>
      </c>
      <c r="M3184" s="5">
        <v>16881.579299055</v>
      </c>
      <c r="N3184" s="5">
        <v>11604.12831603515</v>
      </c>
      <c r="O3184" s="5">
        <v>4231.3144655921506</v>
      </c>
      <c r="P3184" s="5">
        <v>46514.467673254068</v>
      </c>
      <c r="Q3184" s="5">
        <v>48866.209623168346</v>
      </c>
      <c r="R3184" s="5">
        <v>33290.909836056817</v>
      </c>
    </row>
    <row r="3185" spans="9:18">
      <c r="I3185" s="4">
        <v>3170</v>
      </c>
      <c r="J3185" s="5">
        <v>14710.037865351254</v>
      </c>
      <c r="K3185" s="5">
        <v>10931.803935361211</v>
      </c>
      <c r="L3185" s="5">
        <v>17683.765335572589</v>
      </c>
      <c r="M3185" s="5">
        <v>19433.64679949253</v>
      </c>
      <c r="N3185" s="5">
        <v>42744.618431291936</v>
      </c>
      <c r="O3185" s="5">
        <v>35286.662852302201</v>
      </c>
      <c r="P3185" s="5">
        <v>5836.7810663002319</v>
      </c>
      <c r="Q3185" s="5">
        <v>12451.066014448154</v>
      </c>
      <c r="R3185" s="5">
        <v>7201.7586694681067</v>
      </c>
    </row>
    <row r="3186" spans="9:18">
      <c r="I3186" s="4">
        <v>3171</v>
      </c>
      <c r="J3186" s="5">
        <v>23517.429992060665</v>
      </c>
      <c r="K3186" s="5">
        <v>16952.949313901812</v>
      </c>
      <c r="L3186" s="5">
        <v>14691.846656953887</v>
      </c>
      <c r="M3186" s="5">
        <v>11529.920007560097</v>
      </c>
      <c r="N3186" s="5">
        <v>19225.139878706803</v>
      </c>
      <c r="O3186" s="5">
        <v>10270.120415297655</v>
      </c>
      <c r="P3186" s="5">
        <v>36724.352187786957</v>
      </c>
      <c r="Q3186" s="5">
        <v>28567.61306643406</v>
      </c>
      <c r="R3186" s="5">
        <v>24831.679362998926</v>
      </c>
    </row>
    <row r="3187" spans="9:18">
      <c r="I3187" s="4">
        <v>3172</v>
      </c>
      <c r="J3187" s="5">
        <v>20002.201347927807</v>
      </c>
      <c r="K3187" s="5">
        <v>23327.217259521742</v>
      </c>
      <c r="L3187" s="5">
        <v>17683.765335572589</v>
      </c>
      <c r="M3187" s="5">
        <v>18177.175180585615</v>
      </c>
      <c r="N3187" s="5">
        <v>12523.573732460784</v>
      </c>
      <c r="O3187" s="5">
        <v>10746.295275180995</v>
      </c>
      <c r="P3187" s="5">
        <v>5836.7810663002319</v>
      </c>
      <c r="Q3187" s="5">
        <v>17493.456269945855</v>
      </c>
      <c r="R3187" s="5">
        <v>14051.647494499957</v>
      </c>
    </row>
    <row r="3188" spans="9:18">
      <c r="I3188" s="4">
        <v>3173</v>
      </c>
      <c r="J3188" s="5">
        <v>16416.142496463777</v>
      </c>
      <c r="K3188" s="5">
        <v>34164.842952759042</v>
      </c>
      <c r="L3188" s="5">
        <v>14146.191653372813</v>
      </c>
      <c r="M3188" s="5">
        <v>12987.517521908694</v>
      </c>
      <c r="N3188" s="5">
        <v>28426.778914975595</v>
      </c>
      <c r="O3188" s="5">
        <v>41653.890350944224</v>
      </c>
      <c r="P3188" s="5">
        <v>14773.185437294762</v>
      </c>
      <c r="Q3188" s="5">
        <v>16591.881190929333</v>
      </c>
      <c r="R3188" s="5">
        <v>2180.6148629084787</v>
      </c>
    </row>
    <row r="3189" spans="9:18">
      <c r="I3189" s="4">
        <v>3174</v>
      </c>
      <c r="J3189" s="5">
        <v>14960.076233580705</v>
      </c>
      <c r="K3189" s="5">
        <v>18086.448513145526</v>
      </c>
      <c r="L3189" s="5">
        <v>15487.970507365942</v>
      </c>
      <c r="M3189" s="5">
        <v>15346.383801976139</v>
      </c>
      <c r="N3189" s="5">
        <v>36962.805083900916</v>
      </c>
      <c r="O3189" s="5">
        <v>27503.656957929088</v>
      </c>
      <c r="P3189" s="5">
        <v>63015.124693769802</v>
      </c>
      <c r="Q3189" s="5">
        <v>79566.621912742485</v>
      </c>
      <c r="R3189" s="5">
        <v>44707.053087992797</v>
      </c>
    </row>
    <row r="3190" spans="9:18">
      <c r="I3190" s="4">
        <v>3175</v>
      </c>
      <c r="J3190" s="5">
        <v>21717.214093683677</v>
      </c>
      <c r="K3190" s="5">
        <v>29672.680843304515</v>
      </c>
      <c r="L3190" s="5">
        <v>21725.131459372977</v>
      </c>
      <c r="M3190" s="5">
        <v>25580.243606220469</v>
      </c>
      <c r="N3190" s="5">
        <v>14335.478134989447</v>
      </c>
      <c r="O3190" s="5">
        <v>27068.054847826614</v>
      </c>
      <c r="P3190" s="5">
        <v>9811.9720599964548</v>
      </c>
      <c r="Q3190" s="5">
        <v>16591.881190929333</v>
      </c>
      <c r="R3190" s="5">
        <v>12194.45251033065</v>
      </c>
    </row>
    <row r="3191" spans="9:18">
      <c r="I3191" s="4">
        <v>3176</v>
      </c>
      <c r="J3191" s="5">
        <v>11936.262457073821</v>
      </c>
      <c r="K3191" s="5">
        <v>13520.836427679104</v>
      </c>
      <c r="L3191" s="5">
        <v>13622.976145621742</v>
      </c>
      <c r="M3191" s="5">
        <v>15202.972920708273</v>
      </c>
      <c r="N3191" s="5">
        <v>14240.123545764454</v>
      </c>
      <c r="O3191" s="5">
        <v>15936.062371781712</v>
      </c>
      <c r="P3191" s="5">
        <v>10733.318076105543</v>
      </c>
      <c r="Q3191" s="5">
        <v>22483.395143121877</v>
      </c>
      <c r="R3191" s="5">
        <v>8130.5639219412278</v>
      </c>
    </row>
    <row r="3192" spans="9:18">
      <c r="I3192" s="4">
        <v>3177</v>
      </c>
      <c r="J3192" s="5">
        <v>16156.372629961115</v>
      </c>
      <c r="K3192" s="5">
        <v>11857.447519815871</v>
      </c>
      <c r="L3192" s="5">
        <v>17243.440968229323</v>
      </c>
      <c r="M3192" s="5">
        <v>21833.004790208965</v>
      </c>
      <c r="N3192" s="5">
        <v>14240.123545764454</v>
      </c>
      <c r="O3192" s="5">
        <v>40942.522561879181</v>
      </c>
      <c r="P3192" s="5">
        <v>33500.490132682797</v>
      </c>
      <c r="Q3192" s="5">
        <v>13099.063525342741</v>
      </c>
      <c r="R3192" s="5">
        <v>55106.806585409526</v>
      </c>
    </row>
    <row r="3193" spans="9:18">
      <c r="I3193" s="4">
        <v>3178</v>
      </c>
      <c r="J3193" s="5">
        <v>16511.332839561353</v>
      </c>
      <c r="K3193" s="5">
        <v>37822.375317881044</v>
      </c>
      <c r="L3193" s="5">
        <v>14042.41908879921</v>
      </c>
      <c r="M3193" s="5">
        <v>17116.951435661951</v>
      </c>
      <c r="N3193" s="5">
        <v>9989.086510768735</v>
      </c>
      <c r="O3193" s="5">
        <v>5909.5347260996277</v>
      </c>
      <c r="P3193" s="5">
        <v>38024.168395914428</v>
      </c>
      <c r="Q3193" s="5">
        <v>22483.395143121877</v>
      </c>
      <c r="R3193" s="5">
        <v>20236.767651156802</v>
      </c>
    </row>
    <row r="3194" spans="9:18">
      <c r="I3194" s="4">
        <v>3179</v>
      </c>
      <c r="J3194" s="5">
        <v>11843.28062342474</v>
      </c>
      <c r="K3194" s="5">
        <v>18086.448513145526</v>
      </c>
      <c r="L3194" s="5">
        <v>23561.450544884348</v>
      </c>
      <c r="M3194" s="5">
        <v>36301.422888051464</v>
      </c>
      <c r="N3194" s="5">
        <v>48565.498233359976</v>
      </c>
      <c r="O3194" s="5">
        <v>14371.728352806511</v>
      </c>
      <c r="P3194" s="5">
        <v>9482.0186426688688</v>
      </c>
      <c r="Q3194" s="5">
        <v>28567.61306643406</v>
      </c>
      <c r="R3194" s="5">
        <v>96845.299789249824</v>
      </c>
    </row>
    <row r="3195" spans="9:18">
      <c r="I3195" s="4">
        <v>3180</v>
      </c>
      <c r="J3195" s="5">
        <v>28590.354879265724</v>
      </c>
      <c r="K3195" s="5">
        <v>23543.914024953676</v>
      </c>
      <c r="L3195" s="5">
        <v>17683.765335572589</v>
      </c>
      <c r="M3195" s="5">
        <v>7334.8610818348589</v>
      </c>
      <c r="N3195" s="5">
        <v>23283.854578052265</v>
      </c>
      <c r="O3195" s="5">
        <v>24422.445067017139</v>
      </c>
      <c r="P3195" s="5">
        <v>38771.994792132391</v>
      </c>
      <c r="Q3195" s="5">
        <v>37101.531383212743</v>
      </c>
      <c r="R3195" s="5">
        <v>39727.513802035661</v>
      </c>
    </row>
    <row r="3196" spans="9:18">
      <c r="I3196" s="4">
        <v>3181</v>
      </c>
      <c r="J3196" s="5">
        <v>12701.339251949787</v>
      </c>
      <c r="K3196" s="5">
        <v>15698.764831033119</v>
      </c>
      <c r="L3196" s="5">
        <v>16017.890956041876</v>
      </c>
      <c r="M3196" s="5">
        <v>18043.539897080744</v>
      </c>
      <c r="N3196" s="5">
        <v>11751.639947035985</v>
      </c>
      <c r="O3196" s="5">
        <v>77417.02098927302</v>
      </c>
      <c r="P3196" s="5">
        <v>106091.28270624072</v>
      </c>
      <c r="Q3196" s="5">
        <v>13214.632802255031</v>
      </c>
      <c r="R3196" s="5">
        <v>23583.884732956092</v>
      </c>
    </row>
    <row r="3197" spans="9:18">
      <c r="I3197" s="4">
        <v>3182</v>
      </c>
      <c r="J3197" s="5">
        <v>73074.062486361407</v>
      </c>
      <c r="K3197" s="5">
        <v>32073.547537933715</v>
      </c>
      <c r="L3197" s="5">
        <v>14146.191653372813</v>
      </c>
      <c r="M3197" s="5">
        <v>24981.974172352908</v>
      </c>
      <c r="N3197" s="5">
        <v>28426.778914975595</v>
      </c>
      <c r="O3197" s="5">
        <v>18637.945795127704</v>
      </c>
      <c r="P3197" s="5">
        <v>5836.7810663002319</v>
      </c>
      <c r="Q3197" s="5">
        <v>21421.044775857536</v>
      </c>
      <c r="R3197" s="5">
        <v>7879.038918914337</v>
      </c>
    </row>
    <row r="3198" spans="9:18">
      <c r="I3198" s="4">
        <v>3183</v>
      </c>
      <c r="J3198" s="5">
        <v>16544.73779470181</v>
      </c>
      <c r="K3198" s="5">
        <v>32073.547537933715</v>
      </c>
      <c r="L3198" s="5">
        <v>17311.244744664215</v>
      </c>
      <c r="M3198" s="5">
        <v>16001.653036457456</v>
      </c>
      <c r="N3198" s="5">
        <v>21931.347680292267</v>
      </c>
      <c r="O3198" s="5">
        <v>59207.798737851255</v>
      </c>
      <c r="P3198" s="5">
        <v>48123.003747643132</v>
      </c>
      <c r="Q3198" s="5">
        <v>28797.29222718185</v>
      </c>
      <c r="R3198" s="5">
        <v>12116.34255245842</v>
      </c>
    </row>
    <row r="3199" spans="9:18">
      <c r="I3199" s="4">
        <v>3184</v>
      </c>
      <c r="J3199" s="5">
        <v>28085.9245102444</v>
      </c>
      <c r="K3199" s="5">
        <v>61827.107730316675</v>
      </c>
      <c r="L3199" s="5">
        <v>14691.846656953887</v>
      </c>
      <c r="M3199" s="5">
        <v>13139.022167648376</v>
      </c>
      <c r="N3199" s="5">
        <v>27841.916587595573</v>
      </c>
      <c r="O3199" s="5">
        <v>11282.178219986479</v>
      </c>
      <c r="P3199" s="5">
        <v>13793.886507202402</v>
      </c>
      <c r="Q3199" s="5">
        <v>19315.033835554255</v>
      </c>
      <c r="R3199" s="5">
        <v>7394.6358885760465</v>
      </c>
    </row>
    <row r="3200" spans="9:18">
      <c r="I3200" s="4">
        <v>3185</v>
      </c>
      <c r="J3200" s="5">
        <v>73074.062486361407</v>
      </c>
      <c r="K3200" s="5">
        <v>15428.770955406064</v>
      </c>
      <c r="L3200" s="5">
        <v>17128.574519497746</v>
      </c>
      <c r="M3200" s="5">
        <v>18177.175180585615</v>
      </c>
      <c r="N3200" s="5">
        <v>11604.12831603515</v>
      </c>
      <c r="O3200" s="5">
        <v>30876.675913171162</v>
      </c>
      <c r="P3200" s="5">
        <v>9633.1652908310007</v>
      </c>
      <c r="Q3200" s="5">
        <v>11173.074396969254</v>
      </c>
      <c r="R3200" s="5">
        <v>123773.40402252052</v>
      </c>
    </row>
    <row r="3201" spans="9:18">
      <c r="I3201" s="4">
        <v>3186</v>
      </c>
      <c r="J3201" s="5">
        <v>43272.831879770602</v>
      </c>
      <c r="K3201" s="5">
        <v>31910.762633549082</v>
      </c>
      <c r="L3201" s="5">
        <v>25389.332759288587</v>
      </c>
      <c r="M3201" s="5">
        <v>29834.240613550006</v>
      </c>
      <c r="N3201" s="5">
        <v>12297.015342318469</v>
      </c>
      <c r="O3201" s="5">
        <v>9320.7026593487881</v>
      </c>
      <c r="P3201" s="5">
        <v>34768.042801665702</v>
      </c>
      <c r="Q3201" s="5">
        <v>2356.8990887111336</v>
      </c>
      <c r="R3201" s="5">
        <v>65420.116221752483</v>
      </c>
    </row>
    <row r="3202" spans="9:18">
      <c r="I3202" s="4">
        <v>3187</v>
      </c>
      <c r="J3202" s="5">
        <v>31559.699247539775</v>
      </c>
      <c r="K3202" s="5">
        <v>95171.967522309933</v>
      </c>
      <c r="L3202" s="5">
        <v>18215.751370765771</v>
      </c>
      <c r="M3202" s="5">
        <v>11680.747299075838</v>
      </c>
      <c r="N3202" s="5">
        <v>11751.639947035985</v>
      </c>
      <c r="O3202" s="5">
        <v>27195.510785031525</v>
      </c>
      <c r="P3202" s="5">
        <v>16574.429708560569</v>
      </c>
      <c r="Q3202" s="5">
        <v>30495.121067047665</v>
      </c>
      <c r="R3202" s="5">
        <v>20303.08745527079</v>
      </c>
    </row>
    <row r="3203" spans="9:18">
      <c r="I3203" s="4">
        <v>3188</v>
      </c>
      <c r="J3203" s="5">
        <v>16166.107684907736</v>
      </c>
      <c r="K3203" s="5">
        <v>16674.541027260992</v>
      </c>
      <c r="L3203" s="5">
        <v>22319.409576580376</v>
      </c>
      <c r="M3203" s="5">
        <v>21332.072353846772</v>
      </c>
      <c r="N3203" s="5">
        <v>28426.778914975595</v>
      </c>
      <c r="O3203" s="5">
        <v>27068.054847826614</v>
      </c>
      <c r="P3203" s="5">
        <v>14327.191387816954</v>
      </c>
      <c r="Q3203" s="5">
        <v>11928.872068442162</v>
      </c>
      <c r="R3203" s="5">
        <v>76851.431017396084</v>
      </c>
    </row>
    <row r="3204" spans="9:18">
      <c r="I3204" s="4">
        <v>3189</v>
      </c>
      <c r="J3204" s="5">
        <v>14710.037865351254</v>
      </c>
      <c r="K3204" s="5">
        <v>17128.860847126922</v>
      </c>
      <c r="L3204" s="5">
        <v>21954.536591034263</v>
      </c>
      <c r="M3204" s="5">
        <v>17370.588707072598</v>
      </c>
      <c r="N3204" s="5">
        <v>29468.83360104046</v>
      </c>
      <c r="O3204" s="5">
        <v>24247.516962783076</v>
      </c>
      <c r="P3204" s="5">
        <v>35213.322626437533</v>
      </c>
      <c r="Q3204" s="5">
        <v>10151.908492905288</v>
      </c>
      <c r="R3204" s="5">
        <v>5865.9802599669383</v>
      </c>
    </row>
    <row r="3205" spans="9:18">
      <c r="I3205" s="4">
        <v>3190</v>
      </c>
      <c r="J3205" s="5">
        <v>15064.079707240266</v>
      </c>
      <c r="K3205" s="5">
        <v>56656.842992470461</v>
      </c>
      <c r="L3205" s="5">
        <v>14175.160754078657</v>
      </c>
      <c r="M3205" s="5">
        <v>12934.591863415189</v>
      </c>
      <c r="N3205" s="5">
        <v>24314.043643333731</v>
      </c>
      <c r="O3205" s="5">
        <v>8121.6248378263163</v>
      </c>
      <c r="P3205" s="5">
        <v>20403.656304140692</v>
      </c>
      <c r="Q3205" s="5">
        <v>54060.5331097772</v>
      </c>
      <c r="R3205" s="5">
        <v>6360.7905155660001</v>
      </c>
    </row>
    <row r="3206" spans="9:18">
      <c r="I3206" s="4">
        <v>3191</v>
      </c>
      <c r="J3206" s="5">
        <v>15648.665245032147</v>
      </c>
      <c r="K3206" s="5">
        <v>56656.842992470461</v>
      </c>
      <c r="L3206" s="5">
        <v>14796.875457021113</v>
      </c>
      <c r="M3206" s="5">
        <v>16881.579299055</v>
      </c>
      <c r="N3206" s="5">
        <v>40377.252444397986</v>
      </c>
      <c r="O3206" s="5">
        <v>35286.662852302201</v>
      </c>
      <c r="P3206" s="5">
        <v>32155.527541400057</v>
      </c>
      <c r="Q3206" s="5">
        <v>21421.044775857536</v>
      </c>
      <c r="R3206" s="5">
        <v>216919.53009911609</v>
      </c>
    </row>
    <row r="3207" spans="9:18">
      <c r="I3207" s="4">
        <v>3192</v>
      </c>
      <c r="J3207" s="5">
        <v>12452.764985867625</v>
      </c>
      <c r="K3207" s="5">
        <v>16952.949313901812</v>
      </c>
      <c r="L3207" s="5">
        <v>17482.478480142941</v>
      </c>
      <c r="M3207" s="5">
        <v>12619.198742021435</v>
      </c>
      <c r="N3207" s="5">
        <v>4770.4216775830728</v>
      </c>
      <c r="O3207" s="5">
        <v>27068.054847826614</v>
      </c>
      <c r="P3207" s="5">
        <v>13452.921824087563</v>
      </c>
      <c r="Q3207" s="5">
        <v>31618.396253255491</v>
      </c>
      <c r="R3207" s="5">
        <v>181970.23111012415</v>
      </c>
    </row>
    <row r="3208" spans="9:18">
      <c r="I3208" s="4">
        <v>3193</v>
      </c>
      <c r="J3208" s="5">
        <v>22812.564910649318</v>
      </c>
      <c r="K3208" s="5">
        <v>15782.544184844044</v>
      </c>
      <c r="L3208" s="5">
        <v>19359.475411188432</v>
      </c>
      <c r="M3208" s="5">
        <v>20788.503422877813</v>
      </c>
      <c r="N3208" s="5">
        <v>20292.069765667391</v>
      </c>
      <c r="O3208" s="5">
        <v>21930.527973988665</v>
      </c>
      <c r="P3208" s="5">
        <v>9047.5556949992188</v>
      </c>
      <c r="Q3208" s="5">
        <v>8880.8074399558282</v>
      </c>
      <c r="R3208" s="5">
        <v>7394.6358885760465</v>
      </c>
    </row>
    <row r="3209" spans="9:18">
      <c r="I3209" s="4">
        <v>3194</v>
      </c>
      <c r="J3209" s="5">
        <v>23517.429992060665</v>
      </c>
      <c r="K3209" s="5">
        <v>15698.764831033119</v>
      </c>
      <c r="L3209" s="5">
        <v>17482.478480142941</v>
      </c>
      <c r="M3209" s="5">
        <v>10111.451009425113</v>
      </c>
      <c r="N3209" s="5">
        <v>23998.040874392525</v>
      </c>
      <c r="O3209" s="5">
        <v>27195.510785031525</v>
      </c>
      <c r="P3209" s="5">
        <v>17996.895987204196</v>
      </c>
      <c r="Q3209" s="5">
        <v>29432.473148002948</v>
      </c>
      <c r="R3209" s="5">
        <v>24831.679362998926</v>
      </c>
    </row>
    <row r="3210" spans="9:18">
      <c r="I3210" s="4">
        <v>3195</v>
      </c>
      <c r="J3210" s="5">
        <v>15554.996700302558</v>
      </c>
      <c r="K3210" s="5">
        <v>61827.107730316675</v>
      </c>
      <c r="L3210" s="5">
        <v>34748.877779456467</v>
      </c>
      <c r="M3210" s="5">
        <v>15202.972920708273</v>
      </c>
      <c r="N3210" s="5">
        <v>26152.705108198839</v>
      </c>
      <c r="O3210" s="5">
        <v>27068.054847826614</v>
      </c>
      <c r="P3210" s="5">
        <v>33715.790977629549</v>
      </c>
      <c r="Q3210" s="5">
        <v>27789.973552634947</v>
      </c>
      <c r="R3210" s="5">
        <v>7879.038918914337</v>
      </c>
    </row>
    <row r="3211" spans="9:18">
      <c r="I3211" s="4">
        <v>3196</v>
      </c>
      <c r="J3211" s="5">
        <v>12701.339251949787</v>
      </c>
      <c r="K3211" s="5">
        <v>9739.7813029644258</v>
      </c>
      <c r="L3211" s="5">
        <v>14264.23790876064</v>
      </c>
      <c r="M3211" s="5">
        <v>14660.631931099009</v>
      </c>
      <c r="N3211" s="5">
        <v>15130.853682762778</v>
      </c>
      <c r="O3211" s="5">
        <v>30876.675913171162</v>
      </c>
      <c r="P3211" s="5">
        <v>17737.38315098183</v>
      </c>
      <c r="Q3211" s="5">
        <v>148345.62878828164</v>
      </c>
      <c r="R3211" s="5">
        <v>39263.770877572199</v>
      </c>
    </row>
    <row r="3212" spans="9:18">
      <c r="I3212" s="4">
        <v>3197</v>
      </c>
      <c r="J3212" s="5">
        <v>13841.207384998772</v>
      </c>
      <c r="K3212" s="5">
        <v>35488.449387009874</v>
      </c>
      <c r="L3212" s="5">
        <v>15664.99858445921</v>
      </c>
      <c r="M3212" s="5">
        <v>13011.820191946215</v>
      </c>
      <c r="N3212" s="5">
        <v>46248.895746171031</v>
      </c>
      <c r="O3212" s="5">
        <v>9320.7026593487881</v>
      </c>
      <c r="P3212" s="5">
        <v>17643.087208586294</v>
      </c>
      <c r="Q3212" s="5">
        <v>71213.172792303565</v>
      </c>
      <c r="R3212" s="5">
        <v>8130.5639219412278</v>
      </c>
    </row>
    <row r="3213" spans="9:18">
      <c r="I3213" s="4">
        <v>3198</v>
      </c>
      <c r="J3213" s="5">
        <v>14680.308400328413</v>
      </c>
      <c r="K3213" s="5">
        <v>95171.967522309933</v>
      </c>
      <c r="L3213" s="5">
        <v>18602.881797624486</v>
      </c>
      <c r="M3213" s="5">
        <v>16500.222621933419</v>
      </c>
      <c r="N3213" s="5">
        <v>11751.639947035985</v>
      </c>
      <c r="O3213" s="5">
        <v>24247.516962783076</v>
      </c>
      <c r="P3213" s="5">
        <v>17737.38315098183</v>
      </c>
      <c r="Q3213" s="5">
        <v>9645.8788061228515</v>
      </c>
      <c r="R3213" s="5">
        <v>23583.884732956092</v>
      </c>
    </row>
    <row r="3214" spans="9:18">
      <c r="I3214" s="4">
        <v>3199</v>
      </c>
      <c r="J3214" s="5">
        <v>16156.372629961115</v>
      </c>
      <c r="K3214" s="5">
        <v>11149.572204897504</v>
      </c>
      <c r="L3214" s="5">
        <v>17128.574519497746</v>
      </c>
      <c r="M3214" s="5">
        <v>23449.501569180404</v>
      </c>
      <c r="N3214" s="5">
        <v>12592.300437162297</v>
      </c>
      <c r="O3214" s="5">
        <v>9320.7026593487881</v>
      </c>
      <c r="P3214" s="5">
        <v>46514.467673254068</v>
      </c>
      <c r="Q3214" s="5">
        <v>9645.8788061228515</v>
      </c>
      <c r="R3214" s="5">
        <v>72640.340924600489</v>
      </c>
    </row>
    <row r="3215" spans="9:18">
      <c r="I3215" s="4">
        <v>3200</v>
      </c>
      <c r="J3215" s="5">
        <v>29760.443016608337</v>
      </c>
      <c r="K3215" s="5">
        <v>21187.174639714212</v>
      </c>
      <c r="L3215" s="5">
        <v>15922.087958863045</v>
      </c>
      <c r="M3215" s="5">
        <v>20550.782384061673</v>
      </c>
      <c r="N3215" s="5">
        <v>12523.573732460784</v>
      </c>
      <c r="O3215" s="5">
        <v>10369.402667058452</v>
      </c>
      <c r="P3215" s="5">
        <v>21039.927746191301</v>
      </c>
      <c r="Q3215" s="5">
        <v>19315.033835554255</v>
      </c>
      <c r="R3215" s="5">
        <v>17687.533637716911</v>
      </c>
    </row>
    <row r="3216" spans="9:18">
      <c r="I3216" s="4">
        <v>3201</v>
      </c>
      <c r="J3216" s="5">
        <v>16305.770155972396</v>
      </c>
      <c r="K3216" s="5">
        <v>22732.797143159998</v>
      </c>
      <c r="L3216" s="5">
        <v>22319.409576580376</v>
      </c>
      <c r="M3216" s="5">
        <v>6367.5407465007311</v>
      </c>
      <c r="N3216" s="5">
        <v>24020.875410266352</v>
      </c>
      <c r="O3216" s="5">
        <v>28431.436490368542</v>
      </c>
      <c r="P3216" s="5">
        <v>34814.458119125498</v>
      </c>
      <c r="Q3216" s="5">
        <v>9138.5169630896526</v>
      </c>
      <c r="R3216" s="5">
        <v>7952.6989268572033</v>
      </c>
    </row>
    <row r="3217" spans="9:18">
      <c r="I3217" s="4">
        <v>3202</v>
      </c>
      <c r="J3217" s="5">
        <v>16145.071869702888</v>
      </c>
      <c r="K3217" s="5">
        <v>23327.217259521742</v>
      </c>
      <c r="L3217" s="5">
        <v>15832.5469007027</v>
      </c>
      <c r="M3217" s="5">
        <v>41698.977215629871</v>
      </c>
      <c r="N3217" s="5">
        <v>16581.915858379376</v>
      </c>
      <c r="O3217" s="5">
        <v>77417.02098927302</v>
      </c>
      <c r="P3217" s="5">
        <v>40377.463755170742</v>
      </c>
      <c r="Q3217" s="5">
        <v>31855.809428519857</v>
      </c>
      <c r="R3217" s="5">
        <v>59414.886464347241</v>
      </c>
    </row>
    <row r="3218" spans="9:18">
      <c r="I3218" s="4">
        <v>3203</v>
      </c>
      <c r="J3218" s="5">
        <v>29760.443016608337</v>
      </c>
      <c r="K3218" s="5">
        <v>7753.2116148734594</v>
      </c>
      <c r="L3218" s="5">
        <v>14811.370758813007</v>
      </c>
      <c r="M3218" s="5">
        <v>19795.661011456152</v>
      </c>
      <c r="N3218" s="5">
        <v>17214.078970533748</v>
      </c>
      <c r="O3218" s="5">
        <v>94068.324736096256</v>
      </c>
      <c r="P3218" s="5">
        <v>74840.036182179319</v>
      </c>
      <c r="Q3218" s="5">
        <v>96632.959478514502</v>
      </c>
      <c r="R3218" s="5">
        <v>62674.060343500474</v>
      </c>
    </row>
    <row r="3219" spans="9:18">
      <c r="I3219" s="4">
        <v>3204</v>
      </c>
      <c r="J3219" s="5">
        <v>17679.321624063952</v>
      </c>
      <c r="K3219" s="5">
        <v>14497.035717129334</v>
      </c>
      <c r="L3219" s="5">
        <v>20698.842353987733</v>
      </c>
      <c r="M3219" s="5">
        <v>9623.0342442006167</v>
      </c>
      <c r="N3219" s="5">
        <v>34295.124147811541</v>
      </c>
      <c r="O3219" s="5">
        <v>16524.769946939996</v>
      </c>
      <c r="P3219" s="5">
        <v>10966.822219855034</v>
      </c>
      <c r="Q3219" s="5">
        <v>31019.493883163672</v>
      </c>
      <c r="R3219" s="5">
        <v>2071.5141323269809</v>
      </c>
    </row>
    <row r="3220" spans="9:18">
      <c r="I3220" s="4">
        <v>3205</v>
      </c>
      <c r="J3220" s="5">
        <v>14538.277247583976</v>
      </c>
      <c r="K3220" s="5">
        <v>16081.362509465702</v>
      </c>
      <c r="L3220" s="5">
        <v>25007.552172398639</v>
      </c>
      <c r="M3220" s="5">
        <v>17542.15972125496</v>
      </c>
      <c r="N3220" s="5">
        <v>13745.376566850549</v>
      </c>
      <c r="O3220" s="5">
        <v>24247.516962783076</v>
      </c>
      <c r="P3220" s="5">
        <v>41657.50350099193</v>
      </c>
      <c r="Q3220" s="5">
        <v>6386.5227360487288</v>
      </c>
      <c r="R3220" s="5">
        <v>182942.88598316166</v>
      </c>
    </row>
    <row r="3221" spans="9:18">
      <c r="I3221" s="4">
        <v>3206</v>
      </c>
      <c r="J3221" s="5">
        <v>14538.277247583976</v>
      </c>
      <c r="K3221" s="5">
        <v>22732.797143159998</v>
      </c>
      <c r="L3221" s="5">
        <v>14042.41908879921</v>
      </c>
      <c r="M3221" s="5">
        <v>20550.782384061673</v>
      </c>
      <c r="N3221" s="5">
        <v>27841.916587595573</v>
      </c>
      <c r="O3221" s="5">
        <v>19492.655596593511</v>
      </c>
      <c r="P3221" s="5">
        <v>49519.098753410741</v>
      </c>
      <c r="Q3221" s="5">
        <v>16803.875627203233</v>
      </c>
      <c r="R3221" s="5">
        <v>8105.1944146993656</v>
      </c>
    </row>
    <row r="3222" spans="9:18">
      <c r="I3222" s="4">
        <v>3207</v>
      </c>
      <c r="J3222" s="5">
        <v>28590.354879265724</v>
      </c>
      <c r="K3222" s="5">
        <v>22732.797143159998</v>
      </c>
      <c r="L3222" s="5">
        <v>17683.765335572589</v>
      </c>
      <c r="M3222" s="5">
        <v>16842.379179328669</v>
      </c>
      <c r="N3222" s="5">
        <v>18410.937863650517</v>
      </c>
      <c r="O3222" s="5">
        <v>53504.725169095313</v>
      </c>
      <c r="P3222" s="5">
        <v>54292.749740228588</v>
      </c>
      <c r="Q3222" s="5">
        <v>35525.432376048877</v>
      </c>
      <c r="R3222" s="5">
        <v>34970.397641695177</v>
      </c>
    </row>
    <row r="3223" spans="9:18">
      <c r="I3223" s="4">
        <v>3208</v>
      </c>
      <c r="J3223" s="5">
        <v>11843.28062342474</v>
      </c>
      <c r="K3223" s="5">
        <v>23327.217259521742</v>
      </c>
      <c r="L3223" s="5">
        <v>14691.846656953887</v>
      </c>
      <c r="M3223" s="5">
        <v>17542.15972125496</v>
      </c>
      <c r="N3223" s="5">
        <v>13511.694619545402</v>
      </c>
      <c r="O3223" s="5">
        <v>9320.7026593487881</v>
      </c>
      <c r="P3223" s="5">
        <v>16574.429708560569</v>
      </c>
      <c r="Q3223" s="5">
        <v>9796.0979856104404</v>
      </c>
      <c r="R3223" s="5">
        <v>122304.95880137496</v>
      </c>
    </row>
    <row r="3224" spans="9:18">
      <c r="I3224" s="4">
        <v>3209</v>
      </c>
      <c r="J3224" s="5">
        <v>31559.699247539775</v>
      </c>
      <c r="K3224" s="5">
        <v>26110.948843472826</v>
      </c>
      <c r="L3224" s="5">
        <v>18475.258050488967</v>
      </c>
      <c r="M3224" s="5">
        <v>21913.431401527439</v>
      </c>
      <c r="N3224" s="5">
        <v>29468.83360104046</v>
      </c>
      <c r="O3224" s="5">
        <v>40581.847217937895</v>
      </c>
      <c r="P3224" s="5">
        <v>10532.667493814919</v>
      </c>
      <c r="Q3224" s="5">
        <v>3909.239690544402</v>
      </c>
      <c r="R3224" s="5">
        <v>81423.874800517297</v>
      </c>
    </row>
    <row r="3225" spans="9:18">
      <c r="I3225" s="4">
        <v>3210</v>
      </c>
      <c r="J3225" s="5">
        <v>12056.41843703942</v>
      </c>
      <c r="K3225" s="5">
        <v>16665.1498926479</v>
      </c>
      <c r="L3225" s="5">
        <v>16017.890956041876</v>
      </c>
      <c r="M3225" s="5">
        <v>14217.48832834715</v>
      </c>
      <c r="N3225" s="5">
        <v>39406.658185292261</v>
      </c>
      <c r="O3225" s="5">
        <v>27508.313315384185</v>
      </c>
      <c r="P3225" s="5">
        <v>9633.1652908310007</v>
      </c>
      <c r="Q3225" s="5">
        <v>8880.8074399558282</v>
      </c>
      <c r="R3225" s="5">
        <v>7952.6989268572033</v>
      </c>
    </row>
    <row r="3226" spans="9:18">
      <c r="I3226" s="4">
        <v>3211</v>
      </c>
      <c r="J3226" s="5">
        <v>14344.692898101612</v>
      </c>
      <c r="K3226" s="5">
        <v>13652.224205833634</v>
      </c>
      <c r="L3226" s="5">
        <v>14691.846656953887</v>
      </c>
      <c r="M3226" s="5">
        <v>6367.5407465007311</v>
      </c>
      <c r="N3226" s="5">
        <v>25424.029865101274</v>
      </c>
      <c r="O3226" s="5">
        <v>27062.73412298776</v>
      </c>
      <c r="P3226" s="5">
        <v>3017.2887813579896</v>
      </c>
      <c r="Q3226" s="5">
        <v>31902.904306425251</v>
      </c>
      <c r="R3226" s="5">
        <v>29295.938844292672</v>
      </c>
    </row>
    <row r="3227" spans="9:18">
      <c r="I3227" s="4">
        <v>3212</v>
      </c>
      <c r="J3227" s="5">
        <v>13447.638004246244</v>
      </c>
      <c r="K3227" s="5">
        <v>16081.362509465702</v>
      </c>
      <c r="L3227" s="5">
        <v>18215.751370765771</v>
      </c>
      <c r="M3227" s="5">
        <v>21913.431401527439</v>
      </c>
      <c r="N3227" s="5">
        <v>16418.492928415813</v>
      </c>
      <c r="O3227" s="5">
        <v>59207.798737851255</v>
      </c>
      <c r="P3227" s="5">
        <v>35569.894390728325</v>
      </c>
      <c r="Q3227" s="5">
        <v>19541.409060825732</v>
      </c>
      <c r="R3227" s="5">
        <v>10885.018205103002</v>
      </c>
    </row>
    <row r="3228" spans="9:18">
      <c r="I3228" s="4">
        <v>3213</v>
      </c>
      <c r="J3228" s="5">
        <v>8580.4413740966302</v>
      </c>
      <c r="K3228" s="5">
        <v>14021.934268028277</v>
      </c>
      <c r="L3228" s="5">
        <v>15651.346103181355</v>
      </c>
      <c r="M3228" s="5">
        <v>12735.841453044006</v>
      </c>
      <c r="N3228" s="5">
        <v>14240.123545764454</v>
      </c>
      <c r="O3228" s="5">
        <v>27068.054847826614</v>
      </c>
      <c r="P3228" s="5">
        <v>12992.105410393709</v>
      </c>
      <c r="Q3228" s="5">
        <v>6386.5227360487288</v>
      </c>
      <c r="R3228" s="5">
        <v>10885.018205103002</v>
      </c>
    </row>
    <row r="3229" spans="9:18">
      <c r="I3229" s="4">
        <v>3214</v>
      </c>
      <c r="J3229" s="5">
        <v>14749.343145806102</v>
      </c>
      <c r="K3229" s="5">
        <v>17128.860847126922</v>
      </c>
      <c r="L3229" s="5">
        <v>13867.07093008449</v>
      </c>
      <c r="M3229" s="5">
        <v>37411.178129764201</v>
      </c>
      <c r="N3229" s="5">
        <v>21617.945168312468</v>
      </c>
      <c r="O3229" s="5">
        <v>20827.029306810669</v>
      </c>
      <c r="P3229" s="5">
        <v>8877.9712092977989</v>
      </c>
      <c r="Q3229" s="5">
        <v>19315.033835554255</v>
      </c>
      <c r="R3229" s="5">
        <v>3989.7956692889929</v>
      </c>
    </row>
    <row r="3230" spans="9:18">
      <c r="I3230" s="4">
        <v>3215</v>
      </c>
      <c r="J3230" s="5">
        <v>7855.2948890116513</v>
      </c>
      <c r="K3230" s="5">
        <v>11558.357574452555</v>
      </c>
      <c r="L3230" s="5">
        <v>16955.349467865559</v>
      </c>
      <c r="M3230" s="5">
        <v>16842.379179328669</v>
      </c>
      <c r="N3230" s="5">
        <v>48565.498233359976</v>
      </c>
      <c r="O3230" s="5">
        <v>16462.170789592048</v>
      </c>
      <c r="P3230" s="5">
        <v>23769.190223735484</v>
      </c>
      <c r="Q3230" s="5">
        <v>48866.209623168346</v>
      </c>
      <c r="R3230" s="5">
        <v>7394.6358885760465</v>
      </c>
    </row>
    <row r="3231" spans="9:18">
      <c r="I3231" s="4">
        <v>3216</v>
      </c>
      <c r="J3231" s="5">
        <v>28085.9245102444</v>
      </c>
      <c r="K3231" s="5">
        <v>14854.898507619706</v>
      </c>
      <c r="L3231" s="5">
        <v>17693.864646288712</v>
      </c>
      <c r="M3231" s="5">
        <v>21712.71007234112</v>
      </c>
      <c r="N3231" s="5">
        <v>11684.605182472778</v>
      </c>
      <c r="O3231" s="5">
        <v>10738.305003664611</v>
      </c>
      <c r="P3231" s="5">
        <v>28537.545734403488</v>
      </c>
      <c r="Q3231" s="5">
        <v>68168.482468129529</v>
      </c>
      <c r="R3231" s="5">
        <v>114016.93673542379</v>
      </c>
    </row>
    <row r="3232" spans="9:18">
      <c r="I3232" s="4">
        <v>3217</v>
      </c>
      <c r="J3232" s="5">
        <v>28085.9245102444</v>
      </c>
      <c r="K3232" s="5">
        <v>32294.121255311245</v>
      </c>
      <c r="L3232" s="5">
        <v>15922.087958863045</v>
      </c>
      <c r="M3232" s="5">
        <v>32497.510405113037</v>
      </c>
      <c r="N3232" s="5">
        <v>20583.564383988036</v>
      </c>
      <c r="O3232" s="5">
        <v>51330.340277512776</v>
      </c>
      <c r="P3232" s="5">
        <v>21039.927746191301</v>
      </c>
      <c r="Q3232" s="5">
        <v>17153.530968450712</v>
      </c>
      <c r="R3232" s="5">
        <v>90296.353221228885</v>
      </c>
    </row>
    <row r="3233" spans="9:18">
      <c r="I3233" s="4">
        <v>3218</v>
      </c>
      <c r="J3233" s="5">
        <v>19121.054099180623</v>
      </c>
      <c r="K3233" s="5">
        <v>13520.836427679104</v>
      </c>
      <c r="L3233" s="5">
        <v>19224.583269019437</v>
      </c>
      <c r="M3233" s="5">
        <v>23913.435663027711</v>
      </c>
      <c r="N3233" s="5">
        <v>15658.063692994532</v>
      </c>
      <c r="O3233" s="5">
        <v>35286.662852302201</v>
      </c>
      <c r="P3233" s="5">
        <v>17737.38315098183</v>
      </c>
      <c r="Q3233" s="5">
        <v>3909.239690544402</v>
      </c>
      <c r="R3233" s="5">
        <v>26783.439354489365</v>
      </c>
    </row>
    <row r="3234" spans="9:18">
      <c r="I3234" s="4">
        <v>3219</v>
      </c>
      <c r="J3234" s="5">
        <v>8580.4413740966302</v>
      </c>
      <c r="K3234" s="5">
        <v>19467.955014411935</v>
      </c>
      <c r="L3234" s="5">
        <v>14796.875457021113</v>
      </c>
      <c r="M3234" s="5">
        <v>33862.836621974391</v>
      </c>
      <c r="N3234" s="5">
        <v>20292.069765667391</v>
      </c>
      <c r="O3234" s="5">
        <v>6199.3195463515376</v>
      </c>
      <c r="P3234" s="5">
        <v>27820.721938889761</v>
      </c>
      <c r="Q3234" s="5">
        <v>37101.531383212743</v>
      </c>
      <c r="R3234" s="5">
        <v>23583.884732956092</v>
      </c>
    </row>
    <row r="3235" spans="9:18">
      <c r="I3235" s="4">
        <v>3220</v>
      </c>
      <c r="J3235" s="5">
        <v>15648.665245032147</v>
      </c>
      <c r="K3235" s="5">
        <v>15391.837334808681</v>
      </c>
      <c r="L3235" s="5">
        <v>19078.910217042379</v>
      </c>
      <c r="M3235" s="5">
        <v>16510.442870615672</v>
      </c>
      <c r="N3235" s="5">
        <v>11788.341482962171</v>
      </c>
      <c r="O3235" s="5">
        <v>31172.963108652857</v>
      </c>
      <c r="P3235" s="5">
        <v>32167.874670939738</v>
      </c>
      <c r="Q3235" s="5">
        <v>6386.5227360487288</v>
      </c>
      <c r="R3235" s="5">
        <v>17687.533637716911</v>
      </c>
    </row>
    <row r="3236" spans="9:18">
      <c r="I3236" s="4">
        <v>3221</v>
      </c>
      <c r="J3236" s="5">
        <v>14017.326487344162</v>
      </c>
      <c r="K3236" s="5">
        <v>16934.093371663999</v>
      </c>
      <c r="L3236" s="5">
        <v>22412.045018675239</v>
      </c>
      <c r="M3236" s="5">
        <v>21913.431401527439</v>
      </c>
      <c r="N3236" s="5">
        <v>15658.063692994532</v>
      </c>
      <c r="O3236" s="5">
        <v>30608.431994348266</v>
      </c>
      <c r="P3236" s="5">
        <v>8877.9712092977989</v>
      </c>
      <c r="Q3236" s="5">
        <v>20883.852062640355</v>
      </c>
      <c r="R3236" s="5">
        <v>38898.713625068609</v>
      </c>
    </row>
    <row r="3237" spans="9:18">
      <c r="I3237" s="4">
        <v>3222</v>
      </c>
      <c r="J3237" s="5">
        <v>14017.326487344162</v>
      </c>
      <c r="K3237" s="5">
        <v>17128.860847126922</v>
      </c>
      <c r="L3237" s="5">
        <v>23561.450544884348</v>
      </c>
      <c r="M3237" s="5">
        <v>14432.283063351901</v>
      </c>
      <c r="N3237" s="5">
        <v>46248.895746171031</v>
      </c>
      <c r="O3237" s="5">
        <v>49114.195066822271</v>
      </c>
      <c r="P3237" s="5">
        <v>14773.185437294762</v>
      </c>
      <c r="Q3237" s="5">
        <v>16803.875627203233</v>
      </c>
      <c r="R3237" s="5">
        <v>24722.972470599001</v>
      </c>
    </row>
    <row r="3238" spans="9:18">
      <c r="I3238" s="4">
        <v>3223</v>
      </c>
      <c r="J3238" s="5">
        <v>23517.429992060665</v>
      </c>
      <c r="K3238" s="5">
        <v>29672.680843304515</v>
      </c>
      <c r="L3238" s="5">
        <v>16293.265064857471</v>
      </c>
      <c r="M3238" s="5">
        <v>31554.722481137964</v>
      </c>
      <c r="N3238" s="5">
        <v>23746.795665493762</v>
      </c>
      <c r="O3238" s="5">
        <v>30608.431994348266</v>
      </c>
      <c r="P3238" s="5">
        <v>54292.749740228588</v>
      </c>
      <c r="Q3238" s="5">
        <v>8880.8074399558282</v>
      </c>
      <c r="R3238" s="5">
        <v>17687.533637716911</v>
      </c>
    </row>
    <row r="3239" spans="9:18">
      <c r="I3239" s="4">
        <v>3224</v>
      </c>
      <c r="J3239" s="5">
        <v>16305.770155972396</v>
      </c>
      <c r="K3239" s="5">
        <v>56656.842992470461</v>
      </c>
      <c r="L3239" s="5">
        <v>23561.450544884348</v>
      </c>
      <c r="M3239" s="5">
        <v>23515.935489506261</v>
      </c>
      <c r="N3239" s="5">
        <v>26115.05281128412</v>
      </c>
      <c r="O3239" s="5">
        <v>21930.527973988665</v>
      </c>
      <c r="P3239" s="5">
        <v>23769.190223735484</v>
      </c>
      <c r="Q3239" s="5">
        <v>20987.925664394581</v>
      </c>
      <c r="R3239" s="5">
        <v>19133.693426869788</v>
      </c>
    </row>
    <row r="3240" spans="9:18">
      <c r="I3240" s="4">
        <v>3225</v>
      </c>
      <c r="J3240" s="5">
        <v>14420.293087375476</v>
      </c>
      <c r="K3240" s="5">
        <v>15129.619337591721</v>
      </c>
      <c r="L3240" s="5">
        <v>15664.99858445921</v>
      </c>
      <c r="M3240" s="5">
        <v>32497.510405113037</v>
      </c>
      <c r="N3240" s="5">
        <v>11788.341482962171</v>
      </c>
      <c r="O3240" s="5">
        <v>26565.882515615398</v>
      </c>
      <c r="P3240" s="5">
        <v>17996.895987204196</v>
      </c>
      <c r="Q3240" s="5">
        <v>53055.59182561023</v>
      </c>
      <c r="R3240" s="5">
        <v>55106.806585409526</v>
      </c>
    </row>
    <row r="3241" spans="9:18">
      <c r="I3241" s="4">
        <v>3226</v>
      </c>
      <c r="J3241" s="5">
        <v>28085.9245102444</v>
      </c>
      <c r="K3241" s="5">
        <v>53937.689698015136</v>
      </c>
      <c r="L3241" s="5">
        <v>18634.523182776735</v>
      </c>
      <c r="M3241" s="5">
        <v>21332.072353846772</v>
      </c>
      <c r="N3241" s="5">
        <v>15658.063692994532</v>
      </c>
      <c r="O3241" s="5">
        <v>51330.340277512776</v>
      </c>
      <c r="P3241" s="5">
        <v>9811.9720599964548</v>
      </c>
      <c r="Q3241" s="5">
        <v>21421.044775857536</v>
      </c>
      <c r="R3241" s="5">
        <v>30571.564004538617</v>
      </c>
    </row>
    <row r="3242" spans="9:18">
      <c r="I3242" s="4">
        <v>3227</v>
      </c>
      <c r="J3242" s="5">
        <v>16156.372629961115</v>
      </c>
      <c r="K3242" s="5">
        <v>13331.01856102917</v>
      </c>
      <c r="L3242" s="5">
        <v>15759.954187048656</v>
      </c>
      <c r="M3242" s="5">
        <v>26477.996319655329</v>
      </c>
      <c r="N3242" s="5">
        <v>13745.376566850549</v>
      </c>
      <c r="O3242" s="5">
        <v>41800.463215706819</v>
      </c>
      <c r="P3242" s="5">
        <v>32155.527541400057</v>
      </c>
      <c r="Q3242" s="5">
        <v>21421.044775857536</v>
      </c>
      <c r="R3242" s="5">
        <v>7394.6358885760465</v>
      </c>
    </row>
    <row r="3243" spans="9:18">
      <c r="I3243" s="4">
        <v>3228</v>
      </c>
      <c r="J3243" s="5">
        <v>14960.076233580705</v>
      </c>
      <c r="K3243" s="5">
        <v>18218.584572172625</v>
      </c>
      <c r="L3243" s="5">
        <v>16577.562442697115</v>
      </c>
      <c r="M3243" s="5">
        <v>21833.004790208965</v>
      </c>
      <c r="N3243" s="5">
        <v>29468.83360104046</v>
      </c>
      <c r="O3243" s="5">
        <v>53007.660727727191</v>
      </c>
      <c r="P3243" s="5">
        <v>24349.301972630979</v>
      </c>
      <c r="Q3243" s="5">
        <v>6386.5227360487288</v>
      </c>
      <c r="R3243" s="5">
        <v>7201.7586694681067</v>
      </c>
    </row>
    <row r="3244" spans="9:18">
      <c r="I3244" s="4">
        <v>3229</v>
      </c>
      <c r="J3244" s="5">
        <v>11843.28062342474</v>
      </c>
      <c r="K3244" s="5">
        <v>13652.224205833634</v>
      </c>
      <c r="L3244" s="5">
        <v>19078.910217042379</v>
      </c>
      <c r="M3244" s="5">
        <v>15202.972920708273</v>
      </c>
      <c r="N3244" s="5">
        <v>10882.757905166785</v>
      </c>
      <c r="O3244" s="5">
        <v>26268.613803794757</v>
      </c>
      <c r="P3244" s="5">
        <v>24349.301972630979</v>
      </c>
      <c r="Q3244" s="5">
        <v>9645.8788061228515</v>
      </c>
      <c r="R3244" s="5">
        <v>10885.018205103002</v>
      </c>
    </row>
    <row r="3245" spans="9:18">
      <c r="I3245" s="4">
        <v>3230</v>
      </c>
      <c r="J3245" s="5">
        <v>15786.811016780619</v>
      </c>
      <c r="K3245" s="5">
        <v>56656.842992470461</v>
      </c>
      <c r="L3245" s="5">
        <v>19359.475411188432</v>
      </c>
      <c r="M3245" s="5">
        <v>33862.836621974391</v>
      </c>
      <c r="N3245" s="5">
        <v>16581.915858379376</v>
      </c>
      <c r="O3245" s="5">
        <v>9956.4031238965053</v>
      </c>
      <c r="P3245" s="5">
        <v>44816.412248582856</v>
      </c>
      <c r="Q3245" s="5">
        <v>12253.299944531094</v>
      </c>
      <c r="R3245" s="5">
        <v>9913.4206865238284</v>
      </c>
    </row>
    <row r="3246" spans="9:18">
      <c r="I3246" s="4">
        <v>3231</v>
      </c>
      <c r="J3246" s="5">
        <v>15417.870921574262</v>
      </c>
      <c r="K3246" s="5">
        <v>23543.914024953676</v>
      </c>
      <c r="L3246" s="5">
        <v>15060.431658965737</v>
      </c>
      <c r="M3246" s="5">
        <v>10142.860128720422</v>
      </c>
      <c r="N3246" s="5">
        <v>13909.728487455486</v>
      </c>
      <c r="O3246" s="5">
        <v>13519.384207850644</v>
      </c>
      <c r="P3246" s="5">
        <v>9826.8369575407578</v>
      </c>
      <c r="Q3246" s="5">
        <v>52545.991451361173</v>
      </c>
      <c r="R3246" s="5">
        <v>23583.884732956092</v>
      </c>
    </row>
    <row r="3247" spans="9:18">
      <c r="I3247" s="4">
        <v>3232</v>
      </c>
      <c r="J3247" s="5">
        <v>14960.076233580705</v>
      </c>
      <c r="K3247" s="5">
        <v>14854.898507619706</v>
      </c>
      <c r="L3247" s="5">
        <v>14264.23790876064</v>
      </c>
      <c r="M3247" s="5">
        <v>12934.591863415189</v>
      </c>
      <c r="N3247" s="5">
        <v>19125.360074567652</v>
      </c>
      <c r="O3247" s="5">
        <v>41800.463215706819</v>
      </c>
      <c r="P3247" s="5">
        <v>9811.9720599964548</v>
      </c>
      <c r="Q3247" s="5">
        <v>22895.455950885695</v>
      </c>
      <c r="R3247" s="5">
        <v>5865.9802599669383</v>
      </c>
    </row>
    <row r="3248" spans="9:18">
      <c r="I3248" s="4">
        <v>3233</v>
      </c>
      <c r="J3248" s="5">
        <v>15064.079707240266</v>
      </c>
      <c r="K3248" s="5">
        <v>15347.101709242541</v>
      </c>
      <c r="L3248" s="5">
        <v>15300.182042823812</v>
      </c>
      <c r="M3248" s="5">
        <v>23454.775510296178</v>
      </c>
      <c r="N3248" s="5">
        <v>24020.875410266352</v>
      </c>
      <c r="O3248" s="5">
        <v>66253.993323243907</v>
      </c>
      <c r="P3248" s="5">
        <v>55119.366528283317</v>
      </c>
      <c r="Q3248" s="5">
        <v>31974.553851773013</v>
      </c>
      <c r="R3248" s="5">
        <v>17304.847214362417</v>
      </c>
    </row>
    <row r="3249" spans="9:18">
      <c r="I3249" s="4">
        <v>3234</v>
      </c>
      <c r="J3249" s="5">
        <v>16710.807721801892</v>
      </c>
      <c r="K3249" s="5">
        <v>14351.415257675473</v>
      </c>
      <c r="L3249" s="5">
        <v>14264.23790876064</v>
      </c>
      <c r="M3249" s="5">
        <v>18177.175180585615</v>
      </c>
      <c r="N3249" s="5">
        <v>15804.474686449519</v>
      </c>
      <c r="O3249" s="5">
        <v>25644.588869829797</v>
      </c>
      <c r="P3249" s="5">
        <v>48123.003747643132</v>
      </c>
      <c r="Q3249" s="5">
        <v>29432.473148002948</v>
      </c>
      <c r="R3249" s="5">
        <v>55012.315589742022</v>
      </c>
    </row>
    <row r="3250" spans="9:18">
      <c r="I3250" s="4">
        <v>3235</v>
      </c>
      <c r="J3250" s="5">
        <v>11036.461796239426</v>
      </c>
      <c r="K3250" s="5">
        <v>7753.2116148734594</v>
      </c>
      <c r="L3250" s="5">
        <v>16451.333928028147</v>
      </c>
      <c r="M3250" s="5">
        <v>19890.009981657669</v>
      </c>
      <c r="N3250" s="5">
        <v>15251.140047572881</v>
      </c>
      <c r="O3250" s="5">
        <v>24258.192244316608</v>
      </c>
      <c r="P3250" s="5">
        <v>24349.301972630979</v>
      </c>
      <c r="Q3250" s="5">
        <v>52421.574537857021</v>
      </c>
      <c r="R3250" s="5">
        <v>51141.799458534304</v>
      </c>
    </row>
    <row r="3251" spans="9:18">
      <c r="I3251" s="4">
        <v>3236</v>
      </c>
      <c r="J3251" s="5">
        <v>15130.594750069789</v>
      </c>
      <c r="K3251" s="5">
        <v>95171.967522309933</v>
      </c>
      <c r="L3251" s="5">
        <v>14344.859750762502</v>
      </c>
      <c r="M3251" s="5">
        <v>20185.026038758231</v>
      </c>
      <c r="N3251" s="5">
        <v>14335.478134989447</v>
      </c>
      <c r="O3251" s="5">
        <v>16462.170789592048</v>
      </c>
      <c r="P3251" s="5">
        <v>33500.490132682797</v>
      </c>
      <c r="Q3251" s="5">
        <v>37101.531383212743</v>
      </c>
      <c r="R3251" s="5">
        <v>14079.827908007112</v>
      </c>
    </row>
    <row r="3252" spans="9:18">
      <c r="I3252" s="4">
        <v>3237</v>
      </c>
      <c r="J3252" s="5">
        <v>33627.941293959229</v>
      </c>
      <c r="K3252" s="5">
        <v>32073.547537933715</v>
      </c>
      <c r="L3252" s="5">
        <v>14811.370758813007</v>
      </c>
      <c r="M3252" s="5">
        <v>33862.836621974391</v>
      </c>
      <c r="N3252" s="5">
        <v>15786.177386596903</v>
      </c>
      <c r="O3252" s="5">
        <v>27084.483614751469</v>
      </c>
      <c r="P3252" s="5">
        <v>8662.4232458952465</v>
      </c>
      <c r="Q3252" s="5">
        <v>22145.301831504508</v>
      </c>
      <c r="R3252" s="5">
        <v>20236.767651156802</v>
      </c>
    </row>
    <row r="3253" spans="9:18">
      <c r="I3253" s="4">
        <v>3238</v>
      </c>
      <c r="J3253" s="5">
        <v>31053.540961463306</v>
      </c>
      <c r="K3253" s="5">
        <v>23327.217259521742</v>
      </c>
      <c r="L3253" s="5">
        <v>27144.958215276103</v>
      </c>
      <c r="M3253" s="5">
        <v>18043.539897080744</v>
      </c>
      <c r="N3253" s="5">
        <v>21617.945168312468</v>
      </c>
      <c r="O3253" s="5">
        <v>30656.031716467984</v>
      </c>
      <c r="P3253" s="5">
        <v>21933.779100635442</v>
      </c>
      <c r="Q3253" s="5">
        <v>27789.973552634947</v>
      </c>
      <c r="R3253" s="5">
        <v>1535.701520095213</v>
      </c>
    </row>
    <row r="3254" spans="9:18">
      <c r="I3254" s="4">
        <v>3239</v>
      </c>
      <c r="J3254" s="5">
        <v>12056.41843703942</v>
      </c>
      <c r="K3254" s="5">
        <v>35488.449387009874</v>
      </c>
      <c r="L3254" s="5">
        <v>16071.478531535273</v>
      </c>
      <c r="M3254" s="5">
        <v>17349.963215818931</v>
      </c>
      <c r="N3254" s="5">
        <v>29468.83360104046</v>
      </c>
      <c r="O3254" s="5">
        <v>27503.656957929088</v>
      </c>
      <c r="P3254" s="5">
        <v>14327.191387816954</v>
      </c>
      <c r="Q3254" s="5">
        <v>31974.553851773013</v>
      </c>
      <c r="R3254" s="5">
        <v>3989.7956692889929</v>
      </c>
    </row>
    <row r="3255" spans="9:18">
      <c r="I3255" s="4">
        <v>3240</v>
      </c>
      <c r="J3255" s="5">
        <v>15130.594750069789</v>
      </c>
      <c r="K3255" s="5">
        <v>18821.113178054162</v>
      </c>
      <c r="L3255" s="5">
        <v>17683.765335572589</v>
      </c>
      <c r="M3255" s="5">
        <v>23067.94260629595</v>
      </c>
      <c r="N3255" s="5">
        <v>22511.351424689696</v>
      </c>
      <c r="O3255" s="5">
        <v>25604.597681740845</v>
      </c>
      <c r="P3255" s="5">
        <v>9482.0186426688688</v>
      </c>
      <c r="Q3255" s="5">
        <v>17234.335939857254</v>
      </c>
      <c r="R3255" s="5">
        <v>76851.431017396084</v>
      </c>
    </row>
    <row r="3256" spans="9:18">
      <c r="I3256" s="4">
        <v>3241</v>
      </c>
      <c r="J3256" s="5">
        <v>11843.28062342474</v>
      </c>
      <c r="K3256" s="5">
        <v>21527.93129974293</v>
      </c>
      <c r="L3256" s="5">
        <v>15126.980926457318</v>
      </c>
      <c r="M3256" s="5">
        <v>12934.591863415189</v>
      </c>
      <c r="N3256" s="5">
        <v>20718.434293991453</v>
      </c>
      <c r="O3256" s="5">
        <v>40942.522561879181</v>
      </c>
      <c r="P3256" s="5">
        <v>20403.656304140692</v>
      </c>
      <c r="Q3256" s="5">
        <v>64585.328088516922</v>
      </c>
      <c r="R3256" s="5">
        <v>41056.152565483346</v>
      </c>
    </row>
    <row r="3257" spans="9:18">
      <c r="I3257" s="4">
        <v>3242</v>
      </c>
      <c r="J3257" s="5">
        <v>14344.692898101612</v>
      </c>
      <c r="K3257" s="5">
        <v>14017.262946034314</v>
      </c>
      <c r="L3257" s="5">
        <v>14811.370758813007</v>
      </c>
      <c r="M3257" s="5">
        <v>23515.935489506261</v>
      </c>
      <c r="N3257" s="5">
        <v>27833.630848857778</v>
      </c>
      <c r="O3257" s="5">
        <v>33720.545907536376</v>
      </c>
      <c r="P3257" s="5">
        <v>10180.109839011631</v>
      </c>
      <c r="Q3257" s="5">
        <v>64585.328088516922</v>
      </c>
      <c r="R3257" s="5">
        <v>34970.397641695177</v>
      </c>
    </row>
    <row r="3258" spans="9:18">
      <c r="I3258" s="4">
        <v>3243</v>
      </c>
      <c r="J3258" s="5">
        <v>14420.293087375476</v>
      </c>
      <c r="K3258" s="5">
        <v>14878.52734402675</v>
      </c>
      <c r="L3258" s="5">
        <v>18634.523182776735</v>
      </c>
      <c r="M3258" s="5">
        <v>22961.931350882205</v>
      </c>
      <c r="N3258" s="5">
        <v>21009.255892677338</v>
      </c>
      <c r="O3258" s="5">
        <v>30608.431994348266</v>
      </c>
      <c r="P3258" s="5">
        <v>41657.50350099193</v>
      </c>
      <c r="Q3258" s="5">
        <v>6386.5227360487288</v>
      </c>
      <c r="R3258" s="5">
        <v>8720.6503563381029</v>
      </c>
    </row>
    <row r="3259" spans="9:18">
      <c r="I3259" s="4">
        <v>3244</v>
      </c>
      <c r="J3259" s="5">
        <v>28590.354879265724</v>
      </c>
      <c r="K3259" s="5">
        <v>13520.836427679104</v>
      </c>
      <c r="L3259" s="5">
        <v>24256.352541181568</v>
      </c>
      <c r="M3259" s="5">
        <v>26477.996319655329</v>
      </c>
      <c r="N3259" s="5">
        <v>22010.718648995869</v>
      </c>
      <c r="O3259" s="5">
        <v>4231.3144655921506</v>
      </c>
      <c r="P3259" s="5">
        <v>17643.087208586294</v>
      </c>
      <c r="Q3259" s="5">
        <v>22895.455950885695</v>
      </c>
      <c r="R3259" s="5">
        <v>24722.972470599001</v>
      </c>
    </row>
    <row r="3260" spans="9:18">
      <c r="I3260" s="4">
        <v>3245</v>
      </c>
      <c r="J3260" s="5">
        <v>8580.4413740966302</v>
      </c>
      <c r="K3260" s="5">
        <v>95171.967522309933</v>
      </c>
      <c r="L3260" s="5">
        <v>18215.751370765771</v>
      </c>
      <c r="M3260" s="5">
        <v>12934.591863415189</v>
      </c>
      <c r="N3260" s="5">
        <v>15130.853682762778</v>
      </c>
      <c r="O3260" s="5">
        <v>3171.3006415671193</v>
      </c>
      <c r="P3260" s="5">
        <v>14376.883105731285</v>
      </c>
      <c r="Q3260" s="5">
        <v>4631.7430487757983</v>
      </c>
      <c r="R3260" s="5">
        <v>6681.1887184356683</v>
      </c>
    </row>
    <row r="3261" spans="9:18">
      <c r="I3261" s="4">
        <v>3246</v>
      </c>
      <c r="J3261" s="5">
        <v>17592.832480262863</v>
      </c>
      <c r="K3261" s="5">
        <v>15782.544184844044</v>
      </c>
      <c r="L3261" s="5">
        <v>10752.183901283248</v>
      </c>
      <c r="M3261" s="5">
        <v>26477.996319655329</v>
      </c>
      <c r="N3261" s="5">
        <v>19125.360074567652</v>
      </c>
      <c r="O3261" s="5">
        <v>21930.527973988665</v>
      </c>
      <c r="P3261" s="5">
        <v>10180.109839011631</v>
      </c>
      <c r="Q3261" s="5">
        <v>8832.660767995616</v>
      </c>
      <c r="R3261" s="5">
        <v>18349.337771428582</v>
      </c>
    </row>
    <row r="3262" spans="9:18">
      <c r="I3262" s="4">
        <v>3247</v>
      </c>
      <c r="J3262" s="5">
        <v>16544.73779470181</v>
      </c>
      <c r="K3262" s="5">
        <v>14587.813833513306</v>
      </c>
      <c r="L3262" s="5">
        <v>16472.138192556791</v>
      </c>
      <c r="M3262" s="5">
        <v>10142.860128720422</v>
      </c>
      <c r="N3262" s="5">
        <v>9563.1256545330361</v>
      </c>
      <c r="O3262" s="5">
        <v>45451.954570113048</v>
      </c>
      <c r="P3262" s="5">
        <v>39054.462981000084</v>
      </c>
      <c r="Q3262" s="5">
        <v>19315.033835554255</v>
      </c>
      <c r="R3262" s="5">
        <v>13258.538726001538</v>
      </c>
    </row>
    <row r="3263" spans="9:18">
      <c r="I3263" s="4">
        <v>3248</v>
      </c>
      <c r="J3263" s="5">
        <v>23517.429992060665</v>
      </c>
      <c r="K3263" s="5">
        <v>16934.093371663999</v>
      </c>
      <c r="L3263" s="5">
        <v>15161.007794371622</v>
      </c>
      <c r="M3263" s="5">
        <v>15346.383801976139</v>
      </c>
      <c r="N3263" s="5">
        <v>9563.1256545330361</v>
      </c>
      <c r="O3263" s="5">
        <v>83458.030763693328</v>
      </c>
      <c r="P3263" s="5">
        <v>8662.4232458952465</v>
      </c>
      <c r="Q3263" s="5">
        <v>148345.62878828164</v>
      </c>
      <c r="R3263" s="5">
        <v>54594.567438884274</v>
      </c>
    </row>
    <row r="3264" spans="9:18">
      <c r="I3264" s="4">
        <v>3249</v>
      </c>
      <c r="J3264" s="5">
        <v>15352.465904292809</v>
      </c>
      <c r="K3264" s="5">
        <v>11403.533194020869</v>
      </c>
      <c r="L3264" s="5">
        <v>13622.976145621742</v>
      </c>
      <c r="M3264" s="5">
        <v>15202.972920708273</v>
      </c>
      <c r="N3264" s="5">
        <v>26115.05281128412</v>
      </c>
      <c r="O3264" s="5">
        <v>20721.57544042755</v>
      </c>
      <c r="P3264" s="5">
        <v>16072.735485912413</v>
      </c>
      <c r="Q3264" s="5">
        <v>4631.7430487757983</v>
      </c>
      <c r="R3264" s="5">
        <v>6360.7905155660001</v>
      </c>
    </row>
    <row r="3265" spans="9:18">
      <c r="I3265" s="4">
        <v>3250</v>
      </c>
      <c r="J3265" s="5">
        <v>14538.277247583976</v>
      </c>
      <c r="K3265" s="5">
        <v>16952.949313901812</v>
      </c>
      <c r="L3265" s="5">
        <v>22018.381599979773</v>
      </c>
      <c r="M3265" s="5">
        <v>21712.71007234112</v>
      </c>
      <c r="N3265" s="5">
        <v>26565.664379767408</v>
      </c>
      <c r="O3265" s="5">
        <v>30876.675913171162</v>
      </c>
      <c r="P3265" s="5">
        <v>8877.9712092977989</v>
      </c>
      <c r="Q3265" s="5">
        <v>2356.8990887111336</v>
      </c>
      <c r="R3265" s="5">
        <v>96845.299789249824</v>
      </c>
    </row>
    <row r="3266" spans="9:18">
      <c r="I3266" s="4">
        <v>3251</v>
      </c>
      <c r="J3266" s="5">
        <v>45301.532027110363</v>
      </c>
      <c r="K3266" s="5">
        <v>29672.680843304515</v>
      </c>
      <c r="L3266" s="5">
        <v>15487.970507365942</v>
      </c>
      <c r="M3266" s="5">
        <v>12619.198742021435</v>
      </c>
      <c r="N3266" s="5">
        <v>15804.474686449519</v>
      </c>
      <c r="O3266" s="5">
        <v>9956.4031238965053</v>
      </c>
      <c r="P3266" s="5">
        <v>20391.123772341358</v>
      </c>
      <c r="Q3266" s="5">
        <v>31618.396253255491</v>
      </c>
      <c r="R3266" s="5">
        <v>8105.1944146993656</v>
      </c>
    </row>
    <row r="3267" spans="9:18">
      <c r="I3267" s="4">
        <v>3252</v>
      </c>
      <c r="J3267" s="5">
        <v>16305.770155972396</v>
      </c>
      <c r="K3267" s="5">
        <v>13559.080695844099</v>
      </c>
      <c r="L3267" s="5">
        <v>14649.721476864312</v>
      </c>
      <c r="M3267" s="5">
        <v>21072.983263501868</v>
      </c>
      <c r="N3267" s="5">
        <v>35826.921212852278</v>
      </c>
      <c r="O3267" s="5">
        <v>27503.656957929088</v>
      </c>
      <c r="P3267" s="5">
        <v>8069.5385577067918</v>
      </c>
      <c r="Q3267" s="5">
        <v>31618.396253255491</v>
      </c>
      <c r="R3267" s="5">
        <v>16039.216896723072</v>
      </c>
    </row>
    <row r="3268" spans="9:18">
      <c r="I3268" s="4">
        <v>3253</v>
      </c>
      <c r="J3268" s="5">
        <v>26634.853073396614</v>
      </c>
      <c r="K3268" s="5">
        <v>15487.124352801369</v>
      </c>
      <c r="L3268" s="5">
        <v>23561.450544884348</v>
      </c>
      <c r="M3268" s="5">
        <v>33862.836621974391</v>
      </c>
      <c r="N3268" s="5">
        <v>17214.078970533748</v>
      </c>
      <c r="O3268" s="5">
        <v>11282.178219986479</v>
      </c>
      <c r="P3268" s="5">
        <v>8069.5385577067918</v>
      </c>
      <c r="Q3268" s="5">
        <v>43417.41805414496</v>
      </c>
      <c r="R3268" s="5">
        <v>8130.5639219412278</v>
      </c>
    </row>
    <row r="3269" spans="9:18">
      <c r="I3269" s="4">
        <v>3254</v>
      </c>
      <c r="J3269" s="5">
        <v>28590.354879265724</v>
      </c>
      <c r="K3269" s="5">
        <v>26110.948843472826</v>
      </c>
      <c r="L3269" s="5">
        <v>13622.976145621742</v>
      </c>
      <c r="M3269" s="5">
        <v>21272.00214469912</v>
      </c>
      <c r="N3269" s="5">
        <v>9209.4418830788036</v>
      </c>
      <c r="O3269" s="5">
        <v>53028.643350899503</v>
      </c>
      <c r="P3269" s="5">
        <v>20391.123772341358</v>
      </c>
      <c r="Q3269" s="5">
        <v>11928.872068442162</v>
      </c>
      <c r="R3269" s="5">
        <v>182942.88598316166</v>
      </c>
    </row>
    <row r="3270" spans="9:18">
      <c r="I3270" s="4">
        <v>3255</v>
      </c>
      <c r="J3270" s="5">
        <v>17005.744061105343</v>
      </c>
      <c r="K3270" s="5">
        <v>34058.671324159091</v>
      </c>
      <c r="L3270" s="5">
        <v>24256.352541181568</v>
      </c>
      <c r="M3270" s="5">
        <v>21712.71007234112</v>
      </c>
      <c r="N3270" s="5">
        <v>45581.602064432409</v>
      </c>
      <c r="O3270" s="5">
        <v>21930.527973988665</v>
      </c>
      <c r="P3270" s="5">
        <v>35213.322626437533</v>
      </c>
      <c r="Q3270" s="5">
        <v>64585.328088516922</v>
      </c>
      <c r="R3270" s="5">
        <v>72561.496699005787</v>
      </c>
    </row>
    <row r="3271" spans="9:18">
      <c r="I3271" s="4">
        <v>3256</v>
      </c>
      <c r="J3271" s="5">
        <v>16733.020222212988</v>
      </c>
      <c r="K3271" s="5">
        <v>14497.035717129334</v>
      </c>
      <c r="L3271" s="5">
        <v>14146.191653372813</v>
      </c>
      <c r="M3271" s="5">
        <v>14660.631931099009</v>
      </c>
      <c r="N3271" s="5">
        <v>23998.040874392525</v>
      </c>
      <c r="O3271" s="5">
        <v>30608.431994348266</v>
      </c>
      <c r="P3271" s="5">
        <v>9826.8369575407578</v>
      </c>
      <c r="Q3271" s="5">
        <v>28567.61306643406</v>
      </c>
      <c r="R3271" s="5">
        <v>39727.513802035661</v>
      </c>
    </row>
    <row r="3272" spans="9:18">
      <c r="I3272" s="4">
        <v>3257</v>
      </c>
      <c r="J3272" s="5">
        <v>28085.9245102444</v>
      </c>
      <c r="K3272" s="5">
        <v>21958.925144875713</v>
      </c>
      <c r="L3272" s="5">
        <v>15161.007794371622</v>
      </c>
      <c r="M3272" s="5">
        <v>21913.431401527439</v>
      </c>
      <c r="N3272" s="5">
        <v>12297.015342318469</v>
      </c>
      <c r="O3272" s="5">
        <v>25644.588869829797</v>
      </c>
      <c r="P3272" s="5">
        <v>44816.412248582856</v>
      </c>
      <c r="Q3272" s="5">
        <v>12253.299944531094</v>
      </c>
      <c r="R3272" s="5">
        <v>27349.63499959607</v>
      </c>
    </row>
    <row r="3273" spans="9:18">
      <c r="I3273" s="4">
        <v>3258</v>
      </c>
      <c r="J3273" s="5">
        <v>11843.28062342474</v>
      </c>
      <c r="K3273" s="5">
        <v>37822.375317881044</v>
      </c>
      <c r="L3273" s="5">
        <v>13417.453622029931</v>
      </c>
      <c r="M3273" s="5">
        <v>7334.8610818348589</v>
      </c>
      <c r="N3273" s="5">
        <v>48565.498233359976</v>
      </c>
      <c r="O3273" s="5">
        <v>25604.597681740845</v>
      </c>
      <c r="P3273" s="5">
        <v>23769.190223735484</v>
      </c>
      <c r="Q3273" s="5">
        <v>9645.8788061228515</v>
      </c>
      <c r="R3273" s="5">
        <v>7952.6989268572033</v>
      </c>
    </row>
    <row r="3274" spans="9:18">
      <c r="I3274" s="4">
        <v>3259</v>
      </c>
      <c r="J3274" s="5">
        <v>17005.744061105343</v>
      </c>
      <c r="K3274" s="5">
        <v>14095.75230105142</v>
      </c>
      <c r="L3274" s="5">
        <v>10896.494237357269</v>
      </c>
      <c r="M3274" s="5">
        <v>23454.775510296178</v>
      </c>
      <c r="N3274" s="5">
        <v>22735.120948269971</v>
      </c>
      <c r="O3274" s="5">
        <v>35286.662852302201</v>
      </c>
      <c r="P3274" s="5">
        <v>63015.124693769802</v>
      </c>
      <c r="Q3274" s="5">
        <v>35525.432376048877</v>
      </c>
      <c r="R3274" s="5">
        <v>55106.806585409526</v>
      </c>
    </row>
    <row r="3275" spans="9:18">
      <c r="I3275" s="4">
        <v>3260</v>
      </c>
      <c r="J3275" s="5">
        <v>13841.207384998772</v>
      </c>
      <c r="K3275" s="5">
        <v>26110.948843472826</v>
      </c>
      <c r="L3275" s="5">
        <v>14796.875457021113</v>
      </c>
      <c r="M3275" s="5">
        <v>20185.026038758231</v>
      </c>
      <c r="N3275" s="5">
        <v>14921.795973817481</v>
      </c>
      <c r="O3275" s="5">
        <v>27084.483614751469</v>
      </c>
      <c r="P3275" s="5">
        <v>44646.134934589521</v>
      </c>
      <c r="Q3275" s="5">
        <v>70295.978314632754</v>
      </c>
      <c r="R3275" s="5">
        <v>12116.34255245842</v>
      </c>
    </row>
    <row r="3276" spans="9:18">
      <c r="I3276" s="4">
        <v>3261</v>
      </c>
      <c r="J3276" s="5">
        <v>16145.071869702888</v>
      </c>
      <c r="K3276" s="5">
        <v>14017.262946034314</v>
      </c>
      <c r="L3276" s="5">
        <v>23760.785349782636</v>
      </c>
      <c r="M3276" s="5">
        <v>32751.734100446065</v>
      </c>
      <c r="N3276" s="5">
        <v>11635.644856128632</v>
      </c>
      <c r="O3276" s="5">
        <v>13117.417685535194</v>
      </c>
      <c r="P3276" s="5">
        <v>9965.8330787532959</v>
      </c>
      <c r="Q3276" s="5">
        <v>9652.8114206999071</v>
      </c>
      <c r="R3276" s="5">
        <v>16039.216896723072</v>
      </c>
    </row>
    <row r="3277" spans="9:18">
      <c r="I3277" s="4">
        <v>3262</v>
      </c>
      <c r="J3277" s="5">
        <v>28085.9245102444</v>
      </c>
      <c r="K3277" s="5">
        <v>16934.093371663999</v>
      </c>
      <c r="L3277" s="5">
        <v>14316.474075738101</v>
      </c>
      <c r="M3277" s="5">
        <v>16510.442870615672</v>
      </c>
      <c r="N3277" s="5">
        <v>17811.114014514766</v>
      </c>
      <c r="O3277" s="5">
        <v>21930.527973988665</v>
      </c>
      <c r="P3277" s="5">
        <v>32155.527541400057</v>
      </c>
      <c r="Q3277" s="5">
        <v>16803.875627203233</v>
      </c>
      <c r="R3277" s="5">
        <v>7201.7586694681067</v>
      </c>
    </row>
    <row r="3278" spans="9:18">
      <c r="I3278" s="4">
        <v>3263</v>
      </c>
      <c r="J3278" s="5">
        <v>16145.071869702888</v>
      </c>
      <c r="K3278" s="5">
        <v>13559.080695844099</v>
      </c>
      <c r="L3278" s="5">
        <v>14364.472927446199</v>
      </c>
      <c r="M3278" s="5">
        <v>18816.787977140237</v>
      </c>
      <c r="N3278" s="5">
        <v>10882.757905166785</v>
      </c>
      <c r="O3278" s="5">
        <v>83458.030763693328</v>
      </c>
      <c r="P3278" s="5">
        <v>46514.467673254068</v>
      </c>
      <c r="Q3278" s="5">
        <v>27018.509959127641</v>
      </c>
      <c r="R3278" s="5">
        <v>84289.422255274636</v>
      </c>
    </row>
    <row r="3279" spans="9:18">
      <c r="I3279" s="4">
        <v>3264</v>
      </c>
      <c r="J3279" s="5">
        <v>21717.214093683677</v>
      </c>
      <c r="K3279" s="5">
        <v>14021.934268028277</v>
      </c>
      <c r="L3279" s="5">
        <v>24256.352541181568</v>
      </c>
      <c r="M3279" s="5">
        <v>13139.022167648376</v>
      </c>
      <c r="N3279" s="5">
        <v>24020.875410266352</v>
      </c>
      <c r="O3279" s="5">
        <v>8024.6340027919978</v>
      </c>
      <c r="P3279" s="5">
        <v>55119.366528283317</v>
      </c>
      <c r="Q3279" s="5">
        <v>18097.768262249352</v>
      </c>
      <c r="R3279" s="5">
        <v>20303.08745527079</v>
      </c>
    </row>
    <row r="3280" spans="9:18">
      <c r="I3280" s="4">
        <v>3265</v>
      </c>
      <c r="J3280" s="5">
        <v>14594.990625703947</v>
      </c>
      <c r="K3280" s="5">
        <v>11403.533194020869</v>
      </c>
      <c r="L3280" s="5">
        <v>15126.980926457318</v>
      </c>
      <c r="M3280" s="5">
        <v>18043.539897080744</v>
      </c>
      <c r="N3280" s="5">
        <v>19125.360074567652</v>
      </c>
      <c r="O3280" s="5">
        <v>13840.304699955392</v>
      </c>
      <c r="P3280" s="5">
        <v>20391.123772341358</v>
      </c>
      <c r="Q3280" s="5">
        <v>15623.622662102793</v>
      </c>
      <c r="R3280" s="5">
        <v>8105.1944146993656</v>
      </c>
    </row>
    <row r="3281" spans="9:18">
      <c r="I3281" s="4">
        <v>3266</v>
      </c>
      <c r="J3281" s="5">
        <v>19121.054099180623</v>
      </c>
      <c r="K3281" s="5">
        <v>23327.217259521742</v>
      </c>
      <c r="L3281" s="5">
        <v>13358.459356674217</v>
      </c>
      <c r="M3281" s="5">
        <v>24981.974172352908</v>
      </c>
      <c r="N3281" s="5">
        <v>26565.664379767408</v>
      </c>
      <c r="O3281" s="5">
        <v>9869.5889207969612</v>
      </c>
      <c r="P3281" s="5">
        <v>27708.613526855763</v>
      </c>
      <c r="Q3281" s="5">
        <v>48866.209623168346</v>
      </c>
      <c r="R3281" s="5">
        <v>35232.418639121184</v>
      </c>
    </row>
    <row r="3282" spans="9:18">
      <c r="I3282" s="4">
        <v>3267</v>
      </c>
      <c r="J3282" s="5">
        <v>14741.240040396578</v>
      </c>
      <c r="K3282" s="5">
        <v>53937.689698015136</v>
      </c>
      <c r="L3282" s="5">
        <v>13622.976145621742</v>
      </c>
      <c r="M3282" s="5">
        <v>12735.841453044006</v>
      </c>
      <c r="N3282" s="5">
        <v>23998.040874392525</v>
      </c>
      <c r="O3282" s="5">
        <v>26565.882515615398</v>
      </c>
      <c r="P3282" s="5">
        <v>27373.102585108634</v>
      </c>
      <c r="Q3282" s="5">
        <v>73941.636731325911</v>
      </c>
      <c r="R3282" s="5">
        <v>41056.152565483346</v>
      </c>
    </row>
    <row r="3283" spans="9:18">
      <c r="I3283" s="4">
        <v>3268</v>
      </c>
      <c r="J3283" s="5">
        <v>16156.372629961115</v>
      </c>
      <c r="K3283" s="5">
        <v>16132.555399908759</v>
      </c>
      <c r="L3283" s="5">
        <v>15471.738323660695</v>
      </c>
      <c r="M3283" s="5">
        <v>16500.222621933419</v>
      </c>
      <c r="N3283" s="5">
        <v>17891.96347244953</v>
      </c>
      <c r="O3283" s="5">
        <v>13840.304699955392</v>
      </c>
      <c r="P3283" s="5">
        <v>9482.0186426688688</v>
      </c>
      <c r="Q3283" s="5">
        <v>53055.59182561023</v>
      </c>
      <c r="R3283" s="5">
        <v>9913.4206865238284</v>
      </c>
    </row>
    <row r="3284" spans="9:18">
      <c r="I3284" s="4">
        <v>3269</v>
      </c>
      <c r="J3284" s="5">
        <v>14420.293087375476</v>
      </c>
      <c r="K3284" s="5">
        <v>8124.7965732661823</v>
      </c>
      <c r="L3284" s="5">
        <v>22018.381599979773</v>
      </c>
      <c r="M3284" s="5">
        <v>21913.431401527439</v>
      </c>
      <c r="N3284" s="5">
        <v>15658.063692994532</v>
      </c>
      <c r="O3284" s="5">
        <v>27062.73412298776</v>
      </c>
      <c r="P3284" s="5">
        <v>16574.429708560569</v>
      </c>
      <c r="Q3284" s="5">
        <v>116445.46783345108</v>
      </c>
      <c r="R3284" s="5">
        <v>261393.32711858812</v>
      </c>
    </row>
    <row r="3285" spans="9:18">
      <c r="I3285" s="4">
        <v>3270</v>
      </c>
      <c r="J3285" s="5">
        <v>16511.332839561353</v>
      </c>
      <c r="K3285" s="5">
        <v>16199.334613834633</v>
      </c>
      <c r="L3285" s="5">
        <v>15487.970507365942</v>
      </c>
      <c r="M3285" s="5">
        <v>19890.009981657669</v>
      </c>
      <c r="N3285" s="5">
        <v>21931.347680292267</v>
      </c>
      <c r="O3285" s="5">
        <v>42492.261063288854</v>
      </c>
      <c r="P3285" s="5">
        <v>6275.8915673055426</v>
      </c>
      <c r="Q3285" s="5">
        <v>8502.450657922871</v>
      </c>
      <c r="R3285" s="5">
        <v>51358.6267760993</v>
      </c>
    </row>
    <row r="3286" spans="9:18">
      <c r="I3286" s="4">
        <v>3271</v>
      </c>
      <c r="J3286" s="5">
        <v>16710.807721801892</v>
      </c>
      <c r="K3286" s="5">
        <v>18218.584572172625</v>
      </c>
      <c r="L3286" s="5">
        <v>15651.346103181355</v>
      </c>
      <c r="M3286" s="5">
        <v>31554.722481137964</v>
      </c>
      <c r="N3286" s="5">
        <v>59876.136849941562</v>
      </c>
      <c r="O3286" s="5">
        <v>45451.954570113048</v>
      </c>
      <c r="P3286" s="5">
        <v>16574.429708560569</v>
      </c>
      <c r="Q3286" s="5">
        <v>19541.409060825732</v>
      </c>
      <c r="R3286" s="5">
        <v>14079.827908007112</v>
      </c>
    </row>
    <row r="3287" spans="9:18">
      <c r="I3287" s="4">
        <v>3272</v>
      </c>
      <c r="J3287" s="5">
        <v>15130.594750069789</v>
      </c>
      <c r="K3287" s="5">
        <v>31910.762633549082</v>
      </c>
      <c r="L3287" s="5">
        <v>22018.381599979773</v>
      </c>
      <c r="M3287" s="5">
        <v>13616.35938654862</v>
      </c>
      <c r="N3287" s="5">
        <v>20292.069765667391</v>
      </c>
      <c r="O3287" s="5">
        <v>53028.643350899503</v>
      </c>
      <c r="P3287" s="5">
        <v>36724.352187786957</v>
      </c>
      <c r="Q3287" s="5">
        <v>31974.553851773013</v>
      </c>
      <c r="R3287" s="5">
        <v>35232.418639121184</v>
      </c>
    </row>
    <row r="3288" spans="9:18">
      <c r="I3288" s="4">
        <v>3273</v>
      </c>
      <c r="J3288" s="5">
        <v>16305.770155972396</v>
      </c>
      <c r="K3288" s="5">
        <v>15428.770955406064</v>
      </c>
      <c r="L3288" s="5">
        <v>20698.842353987733</v>
      </c>
      <c r="M3288" s="5">
        <v>12987.517521908694</v>
      </c>
      <c r="N3288" s="5">
        <v>20718.434293991453</v>
      </c>
      <c r="O3288" s="5">
        <v>20930.098352661731</v>
      </c>
      <c r="P3288" s="5">
        <v>21039.927746191301</v>
      </c>
      <c r="Q3288" s="5">
        <v>9645.8788061228515</v>
      </c>
      <c r="R3288" s="5">
        <v>41056.152565483346</v>
      </c>
    </row>
    <row r="3289" spans="9:18">
      <c r="I3289" s="4">
        <v>3274</v>
      </c>
      <c r="J3289" s="5">
        <v>15873.12561080002</v>
      </c>
      <c r="K3289" s="5">
        <v>43843.85059185313</v>
      </c>
      <c r="L3289" s="5">
        <v>15922.087958863045</v>
      </c>
      <c r="M3289" s="5">
        <v>21712.71007234112</v>
      </c>
      <c r="N3289" s="5">
        <v>17811.114014514766</v>
      </c>
      <c r="O3289" s="5">
        <v>66253.993323243907</v>
      </c>
      <c r="P3289" s="5">
        <v>26126.807131356076</v>
      </c>
      <c r="Q3289" s="5">
        <v>9796.0979856104404</v>
      </c>
      <c r="R3289" s="5">
        <v>90296.353221228885</v>
      </c>
    </row>
    <row r="3290" spans="9:18">
      <c r="I3290" s="4">
        <v>3275</v>
      </c>
      <c r="J3290" s="5">
        <v>13918.242013140338</v>
      </c>
      <c r="K3290" s="5">
        <v>15782.544184844044</v>
      </c>
      <c r="L3290" s="5">
        <v>15060.431658965737</v>
      </c>
      <c r="M3290" s="5">
        <v>10451.914120098167</v>
      </c>
      <c r="N3290" s="5">
        <v>19225.139878706803</v>
      </c>
      <c r="O3290" s="5">
        <v>24247.516962783076</v>
      </c>
      <c r="P3290" s="5">
        <v>9826.8369575407578</v>
      </c>
      <c r="Q3290" s="5">
        <v>17153.530968450712</v>
      </c>
      <c r="R3290" s="5">
        <v>38898.713625068609</v>
      </c>
    </row>
    <row r="3291" spans="9:18">
      <c r="I3291" s="4">
        <v>3276</v>
      </c>
      <c r="J3291" s="5">
        <v>9405.362381917912</v>
      </c>
      <c r="K3291" s="5">
        <v>23543.914024953676</v>
      </c>
      <c r="L3291" s="5">
        <v>14610.165745300763</v>
      </c>
      <c r="M3291" s="5">
        <v>41698.977215629871</v>
      </c>
      <c r="N3291" s="5">
        <v>18367.429489032103</v>
      </c>
      <c r="O3291" s="5">
        <v>32474.063027682765</v>
      </c>
      <c r="P3291" s="5">
        <v>3930.0915591834291</v>
      </c>
      <c r="Q3291" s="5">
        <v>14064.158297039334</v>
      </c>
      <c r="R3291" s="5">
        <v>6360.7905155660001</v>
      </c>
    </row>
    <row r="3292" spans="9:18">
      <c r="I3292" s="4">
        <v>3277</v>
      </c>
      <c r="J3292" s="5">
        <v>33627.941293959229</v>
      </c>
      <c r="K3292" s="5">
        <v>16132.555399908759</v>
      </c>
      <c r="L3292" s="5">
        <v>15161.007794371622</v>
      </c>
      <c r="M3292" s="5">
        <v>22815.60259636537</v>
      </c>
      <c r="N3292" s="5">
        <v>23008.246229813707</v>
      </c>
      <c r="O3292" s="5">
        <v>42492.261063288854</v>
      </c>
      <c r="P3292" s="5">
        <v>35213.322626437533</v>
      </c>
      <c r="Q3292" s="5">
        <v>31855.809428519857</v>
      </c>
      <c r="R3292" s="5">
        <v>17304.847214362417</v>
      </c>
    </row>
    <row r="3293" spans="9:18">
      <c r="I3293" s="4">
        <v>3278</v>
      </c>
      <c r="J3293" s="5">
        <v>15130.594750069789</v>
      </c>
      <c r="K3293" s="5">
        <v>32294.121255311245</v>
      </c>
      <c r="L3293" s="5">
        <v>15300.182042823812</v>
      </c>
      <c r="M3293" s="5">
        <v>15586.009710351766</v>
      </c>
      <c r="N3293" s="5">
        <v>10882.757905166785</v>
      </c>
      <c r="O3293" s="5">
        <v>28431.436490368542</v>
      </c>
      <c r="P3293" s="5">
        <v>34814.458119125498</v>
      </c>
      <c r="Q3293" s="5">
        <v>30266.563414010914</v>
      </c>
      <c r="R3293" s="5">
        <v>13258.538726001538</v>
      </c>
    </row>
    <row r="3294" spans="9:18">
      <c r="I3294" s="4">
        <v>3279</v>
      </c>
      <c r="J3294" s="5">
        <v>31053.540961463306</v>
      </c>
      <c r="K3294" s="5">
        <v>15391.837334808681</v>
      </c>
      <c r="L3294" s="5">
        <v>19078.910217042379</v>
      </c>
      <c r="M3294" s="5">
        <v>17349.963215818931</v>
      </c>
      <c r="N3294" s="5">
        <v>59876.136849941562</v>
      </c>
      <c r="O3294" s="5">
        <v>13117.417685535194</v>
      </c>
      <c r="P3294" s="5">
        <v>34768.042801665702</v>
      </c>
      <c r="Q3294" s="5">
        <v>4631.7430487757983</v>
      </c>
      <c r="R3294" s="5">
        <v>72640.340924600489</v>
      </c>
    </row>
    <row r="3295" spans="9:18">
      <c r="I3295" s="4">
        <v>3280</v>
      </c>
      <c r="J3295" s="5">
        <v>21150.169973104224</v>
      </c>
      <c r="K3295" s="5">
        <v>16665.1498926479</v>
      </c>
      <c r="L3295" s="5">
        <v>18215.751370765771</v>
      </c>
      <c r="M3295" s="5">
        <v>17370.588707072598</v>
      </c>
      <c r="N3295" s="5">
        <v>42744.618431291936</v>
      </c>
      <c r="O3295" s="5">
        <v>28431.436490368542</v>
      </c>
      <c r="P3295" s="5">
        <v>13793.886507202402</v>
      </c>
      <c r="Q3295" s="5">
        <v>129470.11441833655</v>
      </c>
      <c r="R3295" s="5">
        <v>33863.04333215439</v>
      </c>
    </row>
    <row r="3296" spans="9:18">
      <c r="I3296" s="4">
        <v>3281</v>
      </c>
      <c r="J3296" s="5">
        <v>13391.049101507895</v>
      </c>
      <c r="K3296" s="5">
        <v>13559.080695844099</v>
      </c>
      <c r="L3296" s="5">
        <v>15764.107424863063</v>
      </c>
      <c r="M3296" s="5">
        <v>41698.977215629871</v>
      </c>
      <c r="N3296" s="5">
        <v>11635.644856128632</v>
      </c>
      <c r="O3296" s="5">
        <v>20827.029306810669</v>
      </c>
      <c r="P3296" s="5">
        <v>21813.848941464526</v>
      </c>
      <c r="Q3296" s="5">
        <v>116445.46783345108</v>
      </c>
      <c r="R3296" s="5">
        <v>39788.288251916689</v>
      </c>
    </row>
    <row r="3297" spans="9:18">
      <c r="I3297" s="4">
        <v>3282</v>
      </c>
      <c r="J3297" s="5">
        <v>15081.728672246438</v>
      </c>
      <c r="K3297" s="5">
        <v>12026.500118162745</v>
      </c>
      <c r="L3297" s="5">
        <v>19224.583269019437</v>
      </c>
      <c r="M3297" s="5">
        <v>19890.009981657669</v>
      </c>
      <c r="N3297" s="5">
        <v>14240.123545764454</v>
      </c>
      <c r="O3297" s="5">
        <v>27062.73412298776</v>
      </c>
      <c r="P3297" s="5">
        <v>25258.981945036445</v>
      </c>
      <c r="Q3297" s="5">
        <v>48866.209623168346</v>
      </c>
      <c r="R3297" s="5">
        <v>89167.415757270224</v>
      </c>
    </row>
    <row r="3298" spans="9:18">
      <c r="I3298" s="4">
        <v>3283</v>
      </c>
      <c r="J3298" s="5">
        <v>15554.996700302558</v>
      </c>
      <c r="K3298" s="5">
        <v>16605.655749562578</v>
      </c>
      <c r="L3298" s="5">
        <v>16014.071850041886</v>
      </c>
      <c r="M3298" s="5">
        <v>22815.60259636537</v>
      </c>
      <c r="N3298" s="5">
        <v>21009.255892677338</v>
      </c>
      <c r="O3298" s="5">
        <v>13117.417685535194</v>
      </c>
      <c r="P3298" s="5">
        <v>5836.7810663002319</v>
      </c>
      <c r="Q3298" s="5">
        <v>14064.158297039334</v>
      </c>
      <c r="R3298" s="5">
        <v>72561.496699005787</v>
      </c>
    </row>
    <row r="3299" spans="9:18">
      <c r="I3299" s="4">
        <v>3284</v>
      </c>
      <c r="J3299" s="5">
        <v>14594.990625703947</v>
      </c>
      <c r="K3299" s="5">
        <v>14878.52734402675</v>
      </c>
      <c r="L3299" s="5">
        <v>11827.803406885578</v>
      </c>
      <c r="M3299" s="5">
        <v>13616.35938654862</v>
      </c>
      <c r="N3299" s="5">
        <v>11952.903761138405</v>
      </c>
      <c r="O3299" s="5">
        <v>8024.6340027919978</v>
      </c>
      <c r="P3299" s="5">
        <v>17737.38315098183</v>
      </c>
      <c r="Q3299" s="5">
        <v>3272.4685014937832</v>
      </c>
      <c r="R3299" s="5">
        <v>72640.340924600489</v>
      </c>
    </row>
    <row r="3300" spans="9:18">
      <c r="I3300" s="4">
        <v>3285</v>
      </c>
      <c r="J3300" s="5">
        <v>15554.996700302558</v>
      </c>
      <c r="K3300" s="5">
        <v>13559.080695844099</v>
      </c>
      <c r="L3300" s="5">
        <v>16071.478531535273</v>
      </c>
      <c r="M3300" s="5">
        <v>36301.422888051464</v>
      </c>
      <c r="N3300" s="5">
        <v>12523.573732460784</v>
      </c>
      <c r="O3300" s="5">
        <v>10369.402667058452</v>
      </c>
      <c r="P3300" s="5">
        <v>95486.196907583406</v>
      </c>
      <c r="Q3300" s="5">
        <v>52421.574537857021</v>
      </c>
      <c r="R3300" s="5">
        <v>20236.767651156802</v>
      </c>
    </row>
    <row r="3301" spans="9:18">
      <c r="I3301" s="4">
        <v>3286</v>
      </c>
      <c r="J3301" s="5">
        <v>20768.286261788198</v>
      </c>
      <c r="K3301" s="5">
        <v>12026.500118162745</v>
      </c>
      <c r="L3301" s="5">
        <v>17693.864646288712</v>
      </c>
      <c r="M3301" s="5">
        <v>13642.678686731051</v>
      </c>
      <c r="N3301" s="5">
        <v>12592.300437162297</v>
      </c>
      <c r="O3301" s="5">
        <v>20489.622805425737</v>
      </c>
      <c r="P3301" s="5">
        <v>5735.6883097179207</v>
      </c>
      <c r="Q3301" s="5">
        <v>8502.450657922871</v>
      </c>
      <c r="R3301" s="5">
        <v>23583.884732956092</v>
      </c>
    </row>
    <row r="3302" spans="9:18">
      <c r="I3302" s="4">
        <v>3287</v>
      </c>
      <c r="J3302" s="5">
        <v>15623.733864199699</v>
      </c>
      <c r="K3302" s="5">
        <v>29672.680843304515</v>
      </c>
      <c r="L3302" s="5">
        <v>13023.361770761438</v>
      </c>
      <c r="M3302" s="5">
        <v>20229.919588372999</v>
      </c>
      <c r="N3302" s="5">
        <v>12297.015342318469</v>
      </c>
      <c r="O3302" s="5">
        <v>10369.402667058452</v>
      </c>
      <c r="P3302" s="5">
        <v>34814.458119125498</v>
      </c>
      <c r="Q3302" s="5">
        <v>9645.8788061228515</v>
      </c>
      <c r="R3302" s="5">
        <v>8105.1944146993656</v>
      </c>
    </row>
    <row r="3303" spans="9:18">
      <c r="I3303" s="4">
        <v>3288</v>
      </c>
      <c r="J3303" s="5">
        <v>20002.201347927807</v>
      </c>
      <c r="K3303" s="5">
        <v>16674.541027260992</v>
      </c>
      <c r="L3303" s="5">
        <v>15487.970507365942</v>
      </c>
      <c r="M3303" s="5">
        <v>18043.539897080744</v>
      </c>
      <c r="N3303" s="5">
        <v>18367.429489032103</v>
      </c>
      <c r="O3303" s="5">
        <v>13519.384207850644</v>
      </c>
      <c r="P3303" s="5">
        <v>27708.613526855763</v>
      </c>
      <c r="Q3303" s="5">
        <v>22145.301831504508</v>
      </c>
      <c r="R3303" s="5">
        <v>39263.770877572199</v>
      </c>
    </row>
    <row r="3304" spans="9:18">
      <c r="I3304" s="4">
        <v>3289</v>
      </c>
      <c r="J3304" s="5">
        <v>14420.293087375476</v>
      </c>
      <c r="K3304" s="5">
        <v>43843.85059185313</v>
      </c>
      <c r="L3304" s="5">
        <v>15487.970507365942</v>
      </c>
      <c r="M3304" s="5">
        <v>21072.983263501868</v>
      </c>
      <c r="N3304" s="5">
        <v>22868.569282757788</v>
      </c>
      <c r="O3304" s="5">
        <v>4231.3144655921506</v>
      </c>
      <c r="P3304" s="5">
        <v>54292.749740228588</v>
      </c>
      <c r="Q3304" s="5">
        <v>59964.86015574776</v>
      </c>
      <c r="R3304" s="5">
        <v>90296.353221228885</v>
      </c>
    </row>
    <row r="3305" spans="9:18">
      <c r="I3305" s="4">
        <v>3290</v>
      </c>
      <c r="J3305" s="5">
        <v>11116.191595722205</v>
      </c>
      <c r="K3305" s="5">
        <v>14497.035717129334</v>
      </c>
      <c r="L3305" s="5">
        <v>17311.244744664215</v>
      </c>
      <c r="M3305" s="5">
        <v>31554.722481137964</v>
      </c>
      <c r="N3305" s="5">
        <v>23283.854578052265</v>
      </c>
      <c r="O3305" s="5">
        <v>16524.769946939996</v>
      </c>
      <c r="P3305" s="5">
        <v>9826.8369575407578</v>
      </c>
      <c r="Q3305" s="5">
        <v>129470.11441833655</v>
      </c>
      <c r="R3305" s="5">
        <v>55012.315589742022</v>
      </c>
    </row>
    <row r="3306" spans="9:18">
      <c r="I3306" s="4">
        <v>3291</v>
      </c>
      <c r="J3306" s="5">
        <v>14344.692898101612</v>
      </c>
      <c r="K3306" s="5">
        <v>37822.375317881044</v>
      </c>
      <c r="L3306" s="5">
        <v>14344.859750762502</v>
      </c>
      <c r="M3306" s="5">
        <v>13065.820809359835</v>
      </c>
      <c r="N3306" s="5">
        <v>15658.063692994532</v>
      </c>
      <c r="O3306" s="5">
        <v>31172.963108652857</v>
      </c>
      <c r="P3306" s="5">
        <v>9482.0186426688688</v>
      </c>
      <c r="Q3306" s="5">
        <v>27789.973552634947</v>
      </c>
      <c r="R3306" s="5">
        <v>50287.76786557267</v>
      </c>
    </row>
    <row r="3307" spans="9:18">
      <c r="I3307" s="4">
        <v>3292</v>
      </c>
      <c r="J3307" s="5">
        <v>13391.049101507895</v>
      </c>
      <c r="K3307" s="5">
        <v>14878.52734402675</v>
      </c>
      <c r="L3307" s="5">
        <v>15832.5469007027</v>
      </c>
      <c r="M3307" s="5">
        <v>33862.836621974391</v>
      </c>
      <c r="N3307" s="5">
        <v>11635.644856128632</v>
      </c>
      <c r="O3307" s="5">
        <v>24369.28567093279</v>
      </c>
      <c r="P3307" s="5">
        <v>74840.036182179319</v>
      </c>
      <c r="Q3307" s="5">
        <v>4924.9171270300558</v>
      </c>
      <c r="R3307" s="5">
        <v>38898.713625068609</v>
      </c>
    </row>
    <row r="3308" spans="9:18">
      <c r="I3308" s="4">
        <v>3293</v>
      </c>
      <c r="J3308" s="5">
        <v>11116.191595722205</v>
      </c>
      <c r="K3308" s="5">
        <v>23934.551191616061</v>
      </c>
      <c r="L3308" s="5">
        <v>14610.165745300763</v>
      </c>
      <c r="M3308" s="5">
        <v>30830.81083227017</v>
      </c>
      <c r="N3308" s="5">
        <v>21009.255892677338</v>
      </c>
      <c r="O3308" s="5">
        <v>21930.527973988665</v>
      </c>
      <c r="P3308" s="5">
        <v>49519.098753410741</v>
      </c>
      <c r="Q3308" s="5">
        <v>37802.358878968138</v>
      </c>
      <c r="R3308" s="5">
        <v>3433.6677391851467</v>
      </c>
    </row>
    <row r="3309" spans="9:18">
      <c r="I3309" s="4">
        <v>3294</v>
      </c>
      <c r="J3309" s="5">
        <v>16544.73779470181</v>
      </c>
      <c r="K3309" s="5">
        <v>21958.925144875713</v>
      </c>
      <c r="L3309" s="5">
        <v>16616.161224349555</v>
      </c>
      <c r="M3309" s="5">
        <v>17349.963215818931</v>
      </c>
      <c r="N3309" s="5">
        <v>9209.4418830788036</v>
      </c>
      <c r="O3309" s="5">
        <v>21930.527973988665</v>
      </c>
      <c r="P3309" s="5">
        <v>10966.822219855034</v>
      </c>
      <c r="Q3309" s="5">
        <v>25156.033327562815</v>
      </c>
      <c r="R3309" s="5">
        <v>6681.1887184356683</v>
      </c>
    </row>
    <row r="3310" spans="9:18">
      <c r="I3310" s="4">
        <v>3295</v>
      </c>
      <c r="J3310" s="5">
        <v>17005.744061105343</v>
      </c>
      <c r="K3310" s="5">
        <v>16132.555399908759</v>
      </c>
      <c r="L3310" s="5">
        <v>16777.996633299583</v>
      </c>
      <c r="M3310" s="5">
        <v>20185.026038758231</v>
      </c>
      <c r="N3310" s="5">
        <v>21009.255892677338</v>
      </c>
      <c r="O3310" s="5">
        <v>9708.4497800977806</v>
      </c>
      <c r="P3310" s="5">
        <v>27452.975716953504</v>
      </c>
      <c r="Q3310" s="5">
        <v>31618.396253255491</v>
      </c>
      <c r="R3310" s="5">
        <v>29295.938844292672</v>
      </c>
    </row>
    <row r="3311" spans="9:18">
      <c r="I3311" s="4">
        <v>3296</v>
      </c>
      <c r="J3311" s="5">
        <v>14344.692898101612</v>
      </c>
      <c r="K3311" s="5">
        <v>13719.930466819731</v>
      </c>
      <c r="L3311" s="5">
        <v>14811.370758813007</v>
      </c>
      <c r="M3311" s="5">
        <v>20041.623430301417</v>
      </c>
      <c r="N3311" s="5">
        <v>28426.778914975595</v>
      </c>
      <c r="O3311" s="5">
        <v>10270.120415297655</v>
      </c>
      <c r="P3311" s="5">
        <v>83536.241167211992</v>
      </c>
      <c r="Q3311" s="5">
        <v>54060.5331097772</v>
      </c>
      <c r="R3311" s="5">
        <v>39788.288251916689</v>
      </c>
    </row>
    <row r="3312" spans="9:18">
      <c r="I3312" s="4">
        <v>3297</v>
      </c>
      <c r="J3312" s="5">
        <v>11036.461796239426</v>
      </c>
      <c r="K3312" s="5">
        <v>16605.655749562578</v>
      </c>
      <c r="L3312" s="5">
        <v>15225.811035017256</v>
      </c>
      <c r="M3312" s="5">
        <v>29058.117767351498</v>
      </c>
      <c r="N3312" s="5">
        <v>12523.573732460784</v>
      </c>
      <c r="O3312" s="5">
        <v>15936.062371781712</v>
      </c>
      <c r="P3312" s="5">
        <v>55119.366528283317</v>
      </c>
      <c r="Q3312" s="5">
        <v>15623.622662102793</v>
      </c>
      <c r="R3312" s="5">
        <v>7952.6989268572033</v>
      </c>
    </row>
    <row r="3313" spans="9:18">
      <c r="I3313" s="4">
        <v>3298</v>
      </c>
      <c r="J3313" s="5">
        <v>14420.293087375476</v>
      </c>
      <c r="K3313" s="5">
        <v>14587.813833513306</v>
      </c>
      <c r="L3313" s="5">
        <v>17311.244744664215</v>
      </c>
      <c r="M3313" s="5">
        <v>14660.631931099009</v>
      </c>
      <c r="N3313" s="5">
        <v>21931.347680292267</v>
      </c>
      <c r="O3313" s="5">
        <v>4231.3144655921506</v>
      </c>
      <c r="P3313" s="5">
        <v>9047.5556949992188</v>
      </c>
      <c r="Q3313" s="5">
        <v>70295.978314632754</v>
      </c>
      <c r="R3313" s="5">
        <v>8720.6503563381029</v>
      </c>
    </row>
    <row r="3314" spans="9:18">
      <c r="I3314" s="4">
        <v>3299</v>
      </c>
      <c r="J3314" s="5">
        <v>16459.003095225507</v>
      </c>
      <c r="K3314" s="5">
        <v>16665.1498926479</v>
      </c>
      <c r="L3314" s="5">
        <v>17683.765335572589</v>
      </c>
      <c r="M3314" s="5">
        <v>11680.747299075838</v>
      </c>
      <c r="N3314" s="5">
        <v>13745.376566850549</v>
      </c>
      <c r="O3314" s="5">
        <v>16826.763259351828</v>
      </c>
      <c r="P3314" s="5">
        <v>3930.0915591834291</v>
      </c>
      <c r="Q3314" s="5">
        <v>28078.365156847896</v>
      </c>
      <c r="R3314" s="5">
        <v>33863.04333215439</v>
      </c>
    </row>
    <row r="3315" spans="9:18">
      <c r="I3315" s="4">
        <v>3300</v>
      </c>
      <c r="J3315" s="5">
        <v>13841.207384998772</v>
      </c>
      <c r="K3315" s="5">
        <v>21218.439146892688</v>
      </c>
      <c r="L3315" s="5">
        <v>16777.996633299583</v>
      </c>
      <c r="M3315" s="5">
        <v>21712.71007234112</v>
      </c>
      <c r="N3315" s="5">
        <v>24769.339976495565</v>
      </c>
      <c r="O3315" s="5">
        <v>15124.35050053727</v>
      </c>
      <c r="P3315" s="5">
        <v>13452.921824087563</v>
      </c>
      <c r="Q3315" s="5">
        <v>21421.044775857536</v>
      </c>
      <c r="R3315" s="5">
        <v>20303.08745527079</v>
      </c>
    </row>
    <row r="3316" spans="9:18">
      <c r="I3316" s="4">
        <v>3301</v>
      </c>
      <c r="J3316" s="5">
        <v>11936.262457073821</v>
      </c>
      <c r="K3316" s="5">
        <v>9739.7813029644258</v>
      </c>
      <c r="L3316" s="5">
        <v>16777.996633299583</v>
      </c>
      <c r="M3316" s="5">
        <v>19430.369425783585</v>
      </c>
      <c r="N3316" s="5">
        <v>20583.564383988036</v>
      </c>
      <c r="O3316" s="5">
        <v>9869.5889207969612</v>
      </c>
      <c r="P3316" s="5">
        <v>21039.927746191301</v>
      </c>
      <c r="Q3316" s="5">
        <v>15623.622662102793</v>
      </c>
      <c r="R3316" s="5">
        <v>55012.315589742022</v>
      </c>
    </row>
    <row r="3317" spans="9:18">
      <c r="I3317" s="4">
        <v>3302</v>
      </c>
      <c r="J3317" s="5">
        <v>12035.382213755307</v>
      </c>
      <c r="K3317" s="5">
        <v>15782.544184844044</v>
      </c>
      <c r="L3317" s="5">
        <v>14175.160754078657</v>
      </c>
      <c r="M3317" s="5">
        <v>18816.787977140237</v>
      </c>
      <c r="N3317" s="5">
        <v>6130.3882288404347</v>
      </c>
      <c r="O3317" s="5">
        <v>53007.660727727191</v>
      </c>
      <c r="P3317" s="5">
        <v>10180.109839011631</v>
      </c>
      <c r="Q3317" s="5">
        <v>4924.9171270300558</v>
      </c>
      <c r="R3317" s="5">
        <v>3989.7956692889929</v>
      </c>
    </row>
    <row r="3318" spans="9:18">
      <c r="I3318" s="4">
        <v>3303</v>
      </c>
      <c r="J3318" s="5">
        <v>12056.41843703942</v>
      </c>
      <c r="K3318" s="5">
        <v>14021.934268028277</v>
      </c>
      <c r="L3318" s="5">
        <v>16955.349467865559</v>
      </c>
      <c r="M3318" s="5">
        <v>24981.974172352908</v>
      </c>
      <c r="N3318" s="5">
        <v>23008.246229813707</v>
      </c>
      <c r="O3318" s="5">
        <v>62082.6862081785</v>
      </c>
      <c r="P3318" s="5">
        <v>21039.927746191301</v>
      </c>
      <c r="Q3318" s="5">
        <v>35525.432376048877</v>
      </c>
      <c r="R3318" s="5">
        <v>14051.647494499957</v>
      </c>
    </row>
    <row r="3319" spans="9:18">
      <c r="I3319" s="4">
        <v>3304</v>
      </c>
      <c r="J3319" s="5">
        <v>14594.990625703947</v>
      </c>
      <c r="K3319" s="5">
        <v>11857.447519815871</v>
      </c>
      <c r="L3319" s="5">
        <v>16777.996633299583</v>
      </c>
      <c r="M3319" s="5">
        <v>31554.722481137964</v>
      </c>
      <c r="N3319" s="5">
        <v>22010.718648995869</v>
      </c>
      <c r="O3319" s="5">
        <v>24258.192244316608</v>
      </c>
      <c r="P3319" s="5">
        <v>54923.423457863879</v>
      </c>
      <c r="Q3319" s="5">
        <v>9645.8788061228515</v>
      </c>
      <c r="R3319" s="5">
        <v>31715.273557891396</v>
      </c>
    </row>
    <row r="3320" spans="9:18">
      <c r="I3320" s="4">
        <v>3305</v>
      </c>
      <c r="J3320" s="5">
        <v>16733.020222212988</v>
      </c>
      <c r="K3320" s="5">
        <v>10931.803935361211</v>
      </c>
      <c r="L3320" s="5">
        <v>17683.765335572589</v>
      </c>
      <c r="M3320" s="5">
        <v>19890.009981657669</v>
      </c>
      <c r="N3320" s="5">
        <v>59876.136849941562</v>
      </c>
      <c r="O3320" s="5">
        <v>59207.798737851255</v>
      </c>
      <c r="P3320" s="5">
        <v>21813.848941464526</v>
      </c>
      <c r="Q3320" s="5">
        <v>7349.2234634219121</v>
      </c>
      <c r="R3320" s="5">
        <v>39263.770877572199</v>
      </c>
    </row>
    <row r="3321" spans="9:18">
      <c r="I3321" s="4">
        <v>3306</v>
      </c>
      <c r="J3321" s="5">
        <v>20768.286261788198</v>
      </c>
      <c r="K3321" s="5">
        <v>29672.680843304515</v>
      </c>
      <c r="L3321" s="5">
        <v>17243.440968229323</v>
      </c>
      <c r="M3321" s="5">
        <v>24981.974172352908</v>
      </c>
      <c r="N3321" s="5">
        <v>25424.029865101274</v>
      </c>
      <c r="O3321" s="5">
        <v>19430.912633256889</v>
      </c>
      <c r="P3321" s="5">
        <v>17974.179326980211</v>
      </c>
      <c r="Q3321" s="5">
        <v>22895.455950885695</v>
      </c>
      <c r="R3321" s="5">
        <v>76851.431017396084</v>
      </c>
    </row>
    <row r="3322" spans="9:18">
      <c r="I3322" s="4">
        <v>3307</v>
      </c>
      <c r="J3322" s="5">
        <v>49463.324094345015</v>
      </c>
      <c r="K3322" s="5">
        <v>13652.224205833634</v>
      </c>
      <c r="L3322" s="5">
        <v>13622.976145621742</v>
      </c>
      <c r="M3322" s="5">
        <v>12619.198742021435</v>
      </c>
      <c r="N3322" s="5">
        <v>21933.097106966918</v>
      </c>
      <c r="O3322" s="5">
        <v>24422.445067017139</v>
      </c>
      <c r="P3322" s="5">
        <v>9811.9720599964548</v>
      </c>
      <c r="Q3322" s="5">
        <v>43417.41805414496</v>
      </c>
      <c r="R3322" s="5">
        <v>51358.6267760993</v>
      </c>
    </row>
    <row r="3323" spans="9:18">
      <c r="I3323" s="4">
        <v>3308</v>
      </c>
      <c r="J3323" s="5">
        <v>20768.286261788198</v>
      </c>
      <c r="K3323" s="5">
        <v>14136.873097602549</v>
      </c>
      <c r="L3323" s="5">
        <v>15759.954187048656</v>
      </c>
      <c r="M3323" s="5">
        <v>20185.026038758231</v>
      </c>
      <c r="N3323" s="5">
        <v>10882.757905166785</v>
      </c>
      <c r="O3323" s="5">
        <v>40304.23053285561</v>
      </c>
      <c r="P3323" s="5">
        <v>66904.018529955298</v>
      </c>
      <c r="Q3323" s="5">
        <v>37497.234505125656</v>
      </c>
      <c r="R3323" s="5">
        <v>50287.76786557267</v>
      </c>
    </row>
    <row r="3324" spans="9:18">
      <c r="I3324" s="4">
        <v>3309</v>
      </c>
      <c r="J3324" s="5">
        <v>21888.821432026474</v>
      </c>
      <c r="K3324" s="5">
        <v>37822.375317881044</v>
      </c>
      <c r="L3324" s="5">
        <v>18810.091753970282</v>
      </c>
      <c r="M3324" s="5">
        <v>13139.022167648376</v>
      </c>
      <c r="N3324" s="5">
        <v>14335.478134989447</v>
      </c>
      <c r="O3324" s="5">
        <v>30876.675913171162</v>
      </c>
      <c r="P3324" s="5">
        <v>13793.886507202402</v>
      </c>
      <c r="Q3324" s="5">
        <v>37497.234505125656</v>
      </c>
      <c r="R3324" s="5">
        <v>40368.364083205248</v>
      </c>
    </row>
    <row r="3325" spans="9:18">
      <c r="I3325" s="4">
        <v>3310</v>
      </c>
      <c r="J3325" s="5">
        <v>73074.062486361407</v>
      </c>
      <c r="K3325" s="5">
        <v>61827.107730316675</v>
      </c>
      <c r="L3325" s="5">
        <v>14175.160754078657</v>
      </c>
      <c r="M3325" s="5">
        <v>17349.963215818931</v>
      </c>
      <c r="N3325" s="5">
        <v>19125.360074567652</v>
      </c>
      <c r="O3325" s="5">
        <v>10746.295275180995</v>
      </c>
      <c r="P3325" s="5">
        <v>45161.732159568586</v>
      </c>
      <c r="Q3325" s="5">
        <v>79566.621912742485</v>
      </c>
      <c r="R3325" s="5">
        <v>2180.6148629084787</v>
      </c>
    </row>
    <row r="3326" spans="9:18">
      <c r="I3326" s="4">
        <v>3311</v>
      </c>
      <c r="J3326" s="5">
        <v>14749.343145806102</v>
      </c>
      <c r="K3326" s="5">
        <v>15487.124352801369</v>
      </c>
      <c r="L3326" s="5">
        <v>15832.5469007027</v>
      </c>
      <c r="M3326" s="5">
        <v>13139.022167648376</v>
      </c>
      <c r="N3326" s="5">
        <v>21931.347680292267</v>
      </c>
      <c r="O3326" s="5">
        <v>53504.725169095313</v>
      </c>
      <c r="P3326" s="5">
        <v>54292.749740228588</v>
      </c>
      <c r="Q3326" s="5">
        <v>31902.904306425251</v>
      </c>
      <c r="R3326" s="5">
        <v>40368.364083205248</v>
      </c>
    </row>
    <row r="3327" spans="9:18">
      <c r="I3327" s="4">
        <v>3312</v>
      </c>
      <c r="J3327" s="5">
        <v>16145.071869702888</v>
      </c>
      <c r="K3327" s="5">
        <v>15347.101709242541</v>
      </c>
      <c r="L3327" s="5">
        <v>34748.877779456467</v>
      </c>
      <c r="M3327" s="5">
        <v>13414.385151739983</v>
      </c>
      <c r="N3327" s="5">
        <v>42744.618431291936</v>
      </c>
      <c r="O3327" s="5">
        <v>36759.655306288936</v>
      </c>
      <c r="P3327" s="5">
        <v>40377.463755170742</v>
      </c>
      <c r="Q3327" s="5">
        <v>20987.925664394581</v>
      </c>
      <c r="R3327" s="5">
        <v>3311.4906988006405</v>
      </c>
    </row>
    <row r="3328" spans="9:18">
      <c r="I3328" s="4">
        <v>3313</v>
      </c>
      <c r="J3328" s="5">
        <v>16459.003095225507</v>
      </c>
      <c r="K3328" s="5">
        <v>11403.533194020869</v>
      </c>
      <c r="L3328" s="5">
        <v>11827.803406885578</v>
      </c>
      <c r="M3328" s="5">
        <v>12735.841453044006</v>
      </c>
      <c r="N3328" s="5">
        <v>15804.474686449519</v>
      </c>
      <c r="O3328" s="5">
        <v>27195.510785031525</v>
      </c>
      <c r="P3328" s="5">
        <v>9633.1652908310007</v>
      </c>
      <c r="Q3328" s="5">
        <v>4631.7430487757983</v>
      </c>
      <c r="R3328" s="5">
        <v>12130.167062525341</v>
      </c>
    </row>
    <row r="3329" spans="9:18">
      <c r="I3329" s="4">
        <v>3314</v>
      </c>
      <c r="J3329" s="5">
        <v>22812.564910649318</v>
      </c>
      <c r="K3329" s="5">
        <v>11857.447519815871</v>
      </c>
      <c r="L3329" s="5">
        <v>10896.494237357269</v>
      </c>
      <c r="M3329" s="5">
        <v>36301.422888051464</v>
      </c>
      <c r="N3329" s="5">
        <v>22010.718648995869</v>
      </c>
      <c r="O3329" s="5">
        <v>31172.963108652857</v>
      </c>
      <c r="P3329" s="5">
        <v>14316.965520592317</v>
      </c>
      <c r="Q3329" s="5">
        <v>8880.8074399558282</v>
      </c>
      <c r="R3329" s="5">
        <v>3433.6677391851467</v>
      </c>
    </row>
    <row r="3330" spans="9:18">
      <c r="I3330" s="4">
        <v>3315</v>
      </c>
      <c r="J3330" s="5">
        <v>15352.465904292809</v>
      </c>
      <c r="K3330" s="5">
        <v>32294.121255311245</v>
      </c>
      <c r="L3330" s="5">
        <v>10896.494237357269</v>
      </c>
      <c r="M3330" s="5">
        <v>15346.383801976139</v>
      </c>
      <c r="N3330" s="5">
        <v>19225.139878706803</v>
      </c>
      <c r="O3330" s="5">
        <v>77417.02098927302</v>
      </c>
      <c r="P3330" s="5">
        <v>23769.190223735484</v>
      </c>
      <c r="Q3330" s="5">
        <v>7349.2234634219121</v>
      </c>
      <c r="R3330" s="5">
        <v>17991.870496434763</v>
      </c>
    </row>
    <row r="3331" spans="9:18">
      <c r="I3331" s="4">
        <v>3316</v>
      </c>
      <c r="J3331" s="5">
        <v>11116.191595722205</v>
      </c>
      <c r="K3331" s="5">
        <v>35705.595198125673</v>
      </c>
      <c r="L3331" s="5">
        <v>14364.472927446199</v>
      </c>
      <c r="M3331" s="5">
        <v>31460.745851561904</v>
      </c>
      <c r="N3331" s="5">
        <v>6130.3882288404347</v>
      </c>
      <c r="O3331" s="5">
        <v>13840.304699955392</v>
      </c>
      <c r="P3331" s="5">
        <v>20403.656304140692</v>
      </c>
      <c r="Q3331" s="5">
        <v>17234.335939857254</v>
      </c>
      <c r="R3331" s="5">
        <v>90296.353221228885</v>
      </c>
    </row>
    <row r="3332" spans="9:18">
      <c r="I3332" s="4">
        <v>3317</v>
      </c>
      <c r="J3332" s="5">
        <v>14420.293087375476</v>
      </c>
      <c r="K3332" s="5">
        <v>15698.764831033119</v>
      </c>
      <c r="L3332" s="5">
        <v>16616.161224349555</v>
      </c>
      <c r="M3332" s="5">
        <v>18043.539897080744</v>
      </c>
      <c r="N3332" s="5">
        <v>46248.895746171031</v>
      </c>
      <c r="O3332" s="5">
        <v>13613.378495715853</v>
      </c>
      <c r="P3332" s="5">
        <v>20403.656304140692</v>
      </c>
      <c r="Q3332" s="5">
        <v>35525.432376048877</v>
      </c>
      <c r="R3332" s="5">
        <v>5865.9802599669383</v>
      </c>
    </row>
    <row r="3333" spans="9:18">
      <c r="I3333" s="4">
        <v>3318</v>
      </c>
      <c r="J3333" s="5">
        <v>26634.853073396614</v>
      </c>
      <c r="K3333" s="5">
        <v>6949.5708823216592</v>
      </c>
      <c r="L3333" s="5">
        <v>18602.881797624486</v>
      </c>
      <c r="M3333" s="5">
        <v>13022.686998540772</v>
      </c>
      <c r="N3333" s="5">
        <v>22735.120948269971</v>
      </c>
      <c r="O3333" s="5">
        <v>26268.613803794757</v>
      </c>
      <c r="P3333" s="5">
        <v>39054.462981000084</v>
      </c>
      <c r="Q3333" s="5">
        <v>31974.553851773013</v>
      </c>
      <c r="R3333" s="5">
        <v>33290.909836056817</v>
      </c>
    </row>
    <row r="3334" spans="9:18">
      <c r="I3334" s="4">
        <v>3319</v>
      </c>
      <c r="J3334" s="5">
        <v>16305.770155972396</v>
      </c>
      <c r="K3334" s="5">
        <v>14351.415257675473</v>
      </c>
      <c r="L3334" s="5">
        <v>15832.5469007027</v>
      </c>
      <c r="M3334" s="5">
        <v>36301.422888051464</v>
      </c>
      <c r="N3334" s="5">
        <v>28426.778914975595</v>
      </c>
      <c r="O3334" s="5">
        <v>13613.378495715853</v>
      </c>
      <c r="P3334" s="5">
        <v>44816.412248582856</v>
      </c>
      <c r="Q3334" s="5">
        <v>28078.365156847896</v>
      </c>
      <c r="R3334" s="5">
        <v>8105.1944146993656</v>
      </c>
    </row>
    <row r="3335" spans="9:18">
      <c r="I3335" s="4">
        <v>3320</v>
      </c>
      <c r="J3335" s="5">
        <v>21717.214093683677</v>
      </c>
      <c r="K3335" s="5">
        <v>14674.169276244838</v>
      </c>
      <c r="L3335" s="5">
        <v>14815.394001212817</v>
      </c>
      <c r="M3335" s="5">
        <v>23067.94260629595</v>
      </c>
      <c r="N3335" s="5">
        <v>34295.124147811541</v>
      </c>
      <c r="O3335" s="5">
        <v>36759.655306288936</v>
      </c>
      <c r="P3335" s="5">
        <v>36724.352187786957</v>
      </c>
      <c r="Q3335" s="5">
        <v>31618.396253255491</v>
      </c>
      <c r="R3335" s="5">
        <v>51141.799458534304</v>
      </c>
    </row>
    <row r="3336" spans="9:18">
      <c r="I3336" s="4">
        <v>3321</v>
      </c>
      <c r="J3336" s="5">
        <v>15064.079707240266</v>
      </c>
      <c r="K3336" s="5">
        <v>16199.334613834633</v>
      </c>
      <c r="L3336" s="5">
        <v>17716.90539191998</v>
      </c>
      <c r="M3336" s="5">
        <v>30830.81083227017</v>
      </c>
      <c r="N3336" s="5">
        <v>24769.339976495565</v>
      </c>
      <c r="O3336" s="5">
        <v>16572.483389649329</v>
      </c>
      <c r="P3336" s="5">
        <v>32167.874670939738</v>
      </c>
      <c r="Q3336" s="5">
        <v>54060.5331097772</v>
      </c>
      <c r="R3336" s="5">
        <v>7952.6989268572033</v>
      </c>
    </row>
    <row r="3337" spans="9:18">
      <c r="I3337" s="4">
        <v>3322</v>
      </c>
      <c r="J3337" s="5">
        <v>15786.811016780619</v>
      </c>
      <c r="K3337" s="5">
        <v>15347.101709242541</v>
      </c>
      <c r="L3337" s="5">
        <v>34748.877779456467</v>
      </c>
      <c r="M3337" s="5">
        <v>17349.963215818931</v>
      </c>
      <c r="N3337" s="5">
        <v>13511.694619545402</v>
      </c>
      <c r="O3337" s="5">
        <v>66253.993323243907</v>
      </c>
      <c r="P3337" s="5">
        <v>46514.467673254068</v>
      </c>
      <c r="Q3337" s="5">
        <v>25156.033327562815</v>
      </c>
      <c r="R3337" s="5">
        <v>6681.1887184356683</v>
      </c>
    </row>
    <row r="3338" spans="9:18">
      <c r="I3338" s="4">
        <v>3323</v>
      </c>
      <c r="J3338" s="5">
        <v>14750.660273177687</v>
      </c>
      <c r="K3338" s="5">
        <v>95171.967522309933</v>
      </c>
      <c r="L3338" s="5">
        <v>16071.478531535273</v>
      </c>
      <c r="M3338" s="5">
        <v>33862.836621974391</v>
      </c>
      <c r="N3338" s="5">
        <v>17214.078970533748</v>
      </c>
      <c r="O3338" s="5">
        <v>79848.944504816522</v>
      </c>
      <c r="P3338" s="5">
        <v>10180.109839011631</v>
      </c>
      <c r="Q3338" s="5">
        <v>9652.8114206999071</v>
      </c>
      <c r="R3338" s="5">
        <v>18349.337771428582</v>
      </c>
    </row>
    <row r="3339" spans="9:18">
      <c r="I3339" s="4">
        <v>3324</v>
      </c>
      <c r="J3339" s="5">
        <v>11936.262457073821</v>
      </c>
      <c r="K3339" s="5">
        <v>13331.01856102917</v>
      </c>
      <c r="L3339" s="5">
        <v>14316.474075738101</v>
      </c>
      <c r="M3339" s="5">
        <v>19795.661011456152</v>
      </c>
      <c r="N3339" s="5">
        <v>23008.246229813707</v>
      </c>
      <c r="O3339" s="5">
        <v>36759.655306288936</v>
      </c>
      <c r="P3339" s="5">
        <v>17643.087208586294</v>
      </c>
      <c r="Q3339" s="5">
        <v>28078.365156847896</v>
      </c>
      <c r="R3339" s="5">
        <v>41056.152565483346</v>
      </c>
    </row>
    <row r="3340" spans="9:18">
      <c r="I3340" s="4">
        <v>3325</v>
      </c>
      <c r="J3340" s="5">
        <v>19121.054099180623</v>
      </c>
      <c r="K3340" s="5">
        <v>19467.955014411935</v>
      </c>
      <c r="L3340" s="5">
        <v>22319.409576580376</v>
      </c>
      <c r="M3340" s="5">
        <v>32751.734100446065</v>
      </c>
      <c r="N3340" s="5">
        <v>15251.140047572881</v>
      </c>
      <c r="O3340" s="5">
        <v>35286.662852302201</v>
      </c>
      <c r="P3340" s="5">
        <v>38024.168395914428</v>
      </c>
      <c r="Q3340" s="5">
        <v>28797.29222718185</v>
      </c>
      <c r="R3340" s="5">
        <v>181970.23111012415</v>
      </c>
    </row>
    <row r="3341" spans="9:18">
      <c r="I3341" s="4">
        <v>3326</v>
      </c>
      <c r="J3341" s="5">
        <v>12701.339251949787</v>
      </c>
      <c r="K3341" s="5">
        <v>15129.619337591721</v>
      </c>
      <c r="L3341" s="5">
        <v>24256.352541181568</v>
      </c>
      <c r="M3341" s="5">
        <v>25580.243606220469</v>
      </c>
      <c r="N3341" s="5">
        <v>15130.853682762778</v>
      </c>
      <c r="O3341" s="5">
        <v>55264.438774006347</v>
      </c>
      <c r="P3341" s="5">
        <v>8069.5385577067918</v>
      </c>
      <c r="Q3341" s="5">
        <v>13865.641566869812</v>
      </c>
      <c r="R3341" s="5">
        <v>3989.7956692889929</v>
      </c>
    </row>
    <row r="3342" spans="9:18">
      <c r="I3342" s="4">
        <v>3327</v>
      </c>
      <c r="J3342" s="5">
        <v>22812.564910649318</v>
      </c>
      <c r="K3342" s="5">
        <v>14351.415257675473</v>
      </c>
      <c r="L3342" s="5">
        <v>22018.381599979773</v>
      </c>
      <c r="M3342" s="5">
        <v>20185.026038758231</v>
      </c>
      <c r="N3342" s="5">
        <v>28426.778914975595</v>
      </c>
      <c r="O3342" s="5">
        <v>18637.945795127704</v>
      </c>
      <c r="P3342" s="5">
        <v>13793.886507202402</v>
      </c>
      <c r="Q3342" s="5">
        <v>37802.358878968138</v>
      </c>
      <c r="R3342" s="5">
        <v>8720.6503563381029</v>
      </c>
    </row>
    <row r="3343" spans="9:18">
      <c r="I3343" s="4">
        <v>3328</v>
      </c>
      <c r="J3343" s="5">
        <v>15417.870921574262</v>
      </c>
      <c r="K3343" s="5">
        <v>14351.415257675473</v>
      </c>
      <c r="L3343" s="5">
        <v>14042.41908879921</v>
      </c>
      <c r="M3343" s="5">
        <v>20185.026038758231</v>
      </c>
      <c r="N3343" s="5">
        <v>24853.247795632611</v>
      </c>
      <c r="O3343" s="5">
        <v>19492.655596593511</v>
      </c>
      <c r="P3343" s="5">
        <v>48123.003747643132</v>
      </c>
      <c r="Q3343" s="5">
        <v>59964.86015574776</v>
      </c>
      <c r="R3343" s="5">
        <v>23583.884732956092</v>
      </c>
    </row>
    <row r="3344" spans="9:18">
      <c r="I3344" s="4">
        <v>3329</v>
      </c>
      <c r="J3344" s="5">
        <v>13447.638004246244</v>
      </c>
      <c r="K3344" s="5">
        <v>15487.124352801369</v>
      </c>
      <c r="L3344" s="5">
        <v>27289.607394458035</v>
      </c>
      <c r="M3344" s="5">
        <v>19430.369425783585</v>
      </c>
      <c r="N3344" s="5">
        <v>39672.376281023731</v>
      </c>
      <c r="O3344" s="5">
        <v>49114.195066822271</v>
      </c>
      <c r="P3344" s="5">
        <v>3831.1492650071077</v>
      </c>
      <c r="Q3344" s="5">
        <v>148345.62878828164</v>
      </c>
      <c r="R3344" s="5">
        <v>3433.6677391851467</v>
      </c>
    </row>
    <row r="3345" spans="9:18">
      <c r="I3345" s="4">
        <v>3330</v>
      </c>
      <c r="J3345" s="5">
        <v>19467.17453557903</v>
      </c>
      <c r="K3345" s="5">
        <v>8223.1266007477425</v>
      </c>
      <c r="L3345" s="5">
        <v>16106.634875163341</v>
      </c>
      <c r="M3345" s="5">
        <v>21913.431401527439</v>
      </c>
      <c r="N3345" s="5">
        <v>37309.151967087455</v>
      </c>
      <c r="O3345" s="5">
        <v>41653.890350944224</v>
      </c>
      <c r="P3345" s="5">
        <v>32155.527541400057</v>
      </c>
      <c r="Q3345" s="5">
        <v>16803.875627203233</v>
      </c>
      <c r="R3345" s="5">
        <v>2071.5141323269809</v>
      </c>
    </row>
    <row r="3346" spans="9:18">
      <c r="I3346" s="4">
        <v>3331</v>
      </c>
      <c r="J3346" s="5">
        <v>15648.665245032147</v>
      </c>
      <c r="K3346" s="5">
        <v>24728.095385476983</v>
      </c>
      <c r="L3346" s="5">
        <v>21428.663623484812</v>
      </c>
      <c r="M3346" s="5">
        <v>13616.35938654862</v>
      </c>
      <c r="N3346" s="5">
        <v>6130.3882288404347</v>
      </c>
      <c r="O3346" s="5">
        <v>15124.35050053727</v>
      </c>
      <c r="P3346" s="5">
        <v>10180.109839011631</v>
      </c>
      <c r="Q3346" s="5">
        <v>20987.925664394581</v>
      </c>
      <c r="R3346" s="5">
        <v>72561.496699005787</v>
      </c>
    </row>
    <row r="3347" spans="9:18">
      <c r="I3347" s="4">
        <v>3332</v>
      </c>
      <c r="J3347" s="5">
        <v>33627.941293959229</v>
      </c>
      <c r="K3347" s="5">
        <v>21958.925144875713</v>
      </c>
      <c r="L3347" s="5">
        <v>15225.811035017256</v>
      </c>
      <c r="M3347" s="5">
        <v>29834.240613550006</v>
      </c>
      <c r="N3347" s="5">
        <v>24314.043643333731</v>
      </c>
      <c r="O3347" s="5">
        <v>94068.324736096256</v>
      </c>
      <c r="P3347" s="5">
        <v>16574.429708560569</v>
      </c>
      <c r="Q3347" s="5">
        <v>19315.033835554255</v>
      </c>
      <c r="R3347" s="5">
        <v>59414.886464347241</v>
      </c>
    </row>
    <row r="3348" spans="9:18">
      <c r="I3348" s="4">
        <v>3333</v>
      </c>
      <c r="J3348" s="5">
        <v>12701.339251949787</v>
      </c>
      <c r="K3348" s="5">
        <v>16132.555399908759</v>
      </c>
      <c r="L3348" s="5">
        <v>19189.275558866306</v>
      </c>
      <c r="M3348" s="5">
        <v>16500.222621933419</v>
      </c>
      <c r="N3348" s="5">
        <v>11251.634703629026</v>
      </c>
      <c r="O3348" s="5">
        <v>24258.192244316608</v>
      </c>
      <c r="P3348" s="5">
        <v>17974.179326980211</v>
      </c>
      <c r="Q3348" s="5">
        <v>13214.632802255031</v>
      </c>
      <c r="R3348" s="5">
        <v>5865.9802599669383</v>
      </c>
    </row>
    <row r="3349" spans="9:18">
      <c r="I3349" s="4">
        <v>3334</v>
      </c>
      <c r="J3349" s="5">
        <v>8580.4413740966302</v>
      </c>
      <c r="K3349" s="5">
        <v>14021.934268028277</v>
      </c>
      <c r="L3349" s="5">
        <v>24256.352541181568</v>
      </c>
      <c r="M3349" s="5">
        <v>24981.974172352908</v>
      </c>
      <c r="N3349" s="5">
        <v>51261.622558090799</v>
      </c>
      <c r="O3349" s="5">
        <v>4231.3144655921506</v>
      </c>
      <c r="P3349" s="5">
        <v>6275.8915673055426</v>
      </c>
      <c r="Q3349" s="5">
        <v>92068.726035424203</v>
      </c>
      <c r="R3349" s="5">
        <v>81423.874800517297</v>
      </c>
    </row>
    <row r="3350" spans="9:18">
      <c r="I3350" s="4">
        <v>3335</v>
      </c>
      <c r="J3350" s="5">
        <v>34933.039312618188</v>
      </c>
      <c r="K3350" s="5">
        <v>16873.752266014431</v>
      </c>
      <c r="L3350" s="5">
        <v>24256.352541181568</v>
      </c>
      <c r="M3350" s="5">
        <v>15202.972920708273</v>
      </c>
      <c r="N3350" s="5">
        <v>12592.300437162297</v>
      </c>
      <c r="O3350" s="5">
        <v>25802.481365323994</v>
      </c>
      <c r="P3350" s="5">
        <v>8069.5385577067918</v>
      </c>
      <c r="Q3350" s="5">
        <v>30266.563414010914</v>
      </c>
      <c r="R3350" s="5">
        <v>96845.299789249824</v>
      </c>
    </row>
    <row r="3351" spans="9:18">
      <c r="I3351" s="4">
        <v>3336</v>
      </c>
      <c r="J3351" s="5">
        <v>16166.107684907736</v>
      </c>
      <c r="K3351" s="5">
        <v>17903.387243834499</v>
      </c>
      <c r="L3351" s="5">
        <v>17920.486090689363</v>
      </c>
      <c r="M3351" s="5">
        <v>23449.501569180404</v>
      </c>
      <c r="N3351" s="5">
        <v>18410.937863650517</v>
      </c>
      <c r="O3351" s="5">
        <v>10369.402667058452</v>
      </c>
      <c r="P3351" s="5">
        <v>9826.8369575407578</v>
      </c>
      <c r="Q3351" s="5">
        <v>37073.980790337926</v>
      </c>
      <c r="R3351" s="5">
        <v>33863.04333215439</v>
      </c>
    </row>
    <row r="3352" spans="9:18">
      <c r="I3352" s="4">
        <v>3337</v>
      </c>
      <c r="J3352" s="5">
        <v>15352.465904292809</v>
      </c>
      <c r="K3352" s="5">
        <v>61827.107730316675</v>
      </c>
      <c r="L3352" s="5">
        <v>15471.738323660695</v>
      </c>
      <c r="M3352" s="5">
        <v>20229.919588372999</v>
      </c>
      <c r="N3352" s="5">
        <v>25549.748582175915</v>
      </c>
      <c r="O3352" s="5">
        <v>24258.192244316608</v>
      </c>
      <c r="P3352" s="5">
        <v>14376.883105731285</v>
      </c>
      <c r="Q3352" s="5">
        <v>13865.641566869812</v>
      </c>
      <c r="R3352" s="5">
        <v>40368.364083205248</v>
      </c>
    </row>
    <row r="3353" spans="9:18">
      <c r="I3353" s="4">
        <v>3338</v>
      </c>
      <c r="J3353" s="5">
        <v>31053.540961463306</v>
      </c>
      <c r="K3353" s="5">
        <v>17128.860847126922</v>
      </c>
      <c r="L3353" s="5">
        <v>27144.958215276103</v>
      </c>
      <c r="M3353" s="5">
        <v>16510.442870615672</v>
      </c>
      <c r="N3353" s="5">
        <v>12523.573732460784</v>
      </c>
      <c r="O3353" s="5">
        <v>53504.725169095313</v>
      </c>
      <c r="P3353" s="5">
        <v>9047.5556949992188</v>
      </c>
      <c r="Q3353" s="5">
        <v>9454.5906023793759</v>
      </c>
      <c r="R3353" s="5">
        <v>14706.681111065362</v>
      </c>
    </row>
    <row r="3354" spans="9:18">
      <c r="I3354" s="4">
        <v>3339</v>
      </c>
      <c r="J3354" s="5">
        <v>17679.321624063952</v>
      </c>
      <c r="K3354" s="5">
        <v>29672.680843304515</v>
      </c>
      <c r="L3354" s="5">
        <v>29265.217478369766</v>
      </c>
      <c r="M3354" s="5">
        <v>16001.653036457456</v>
      </c>
      <c r="N3354" s="5">
        <v>17811.114014514766</v>
      </c>
      <c r="O3354" s="5">
        <v>83458.030763693328</v>
      </c>
      <c r="P3354" s="5">
        <v>12992.105410393709</v>
      </c>
      <c r="Q3354" s="5">
        <v>3272.4685014937832</v>
      </c>
      <c r="R3354" s="5">
        <v>34970.397641695177</v>
      </c>
    </row>
    <row r="3355" spans="9:18">
      <c r="I3355" s="4">
        <v>3340</v>
      </c>
      <c r="J3355" s="5">
        <v>19121.054099180623</v>
      </c>
      <c r="K3355" s="5">
        <v>16873.752266014431</v>
      </c>
      <c r="L3355" s="5">
        <v>17683.765335572589</v>
      </c>
      <c r="M3355" s="5">
        <v>9623.0342442006167</v>
      </c>
      <c r="N3355" s="5">
        <v>9989.086510768735</v>
      </c>
      <c r="O3355" s="5">
        <v>10369.402667058452</v>
      </c>
      <c r="P3355" s="5">
        <v>8069.5385577067918</v>
      </c>
      <c r="Q3355" s="5">
        <v>22145.301831504508</v>
      </c>
      <c r="R3355" s="5">
        <v>18230.645544621442</v>
      </c>
    </row>
    <row r="3356" spans="9:18">
      <c r="I3356" s="4">
        <v>3341</v>
      </c>
      <c r="J3356" s="5">
        <v>19048.674633640545</v>
      </c>
      <c r="K3356" s="5">
        <v>29672.680843304515</v>
      </c>
      <c r="L3356" s="5">
        <v>23561.450544884348</v>
      </c>
      <c r="M3356" s="5">
        <v>15202.972920708273</v>
      </c>
      <c r="N3356" s="5">
        <v>11684.605182472778</v>
      </c>
      <c r="O3356" s="5">
        <v>27084.483614751469</v>
      </c>
      <c r="P3356" s="5">
        <v>5836.7810663002319</v>
      </c>
      <c r="Q3356" s="5">
        <v>96632.959478514502</v>
      </c>
      <c r="R3356" s="5">
        <v>23583.884732956092</v>
      </c>
    </row>
    <row r="3357" spans="9:18">
      <c r="I3357" s="4">
        <v>3342</v>
      </c>
      <c r="J3357" s="5">
        <v>16145.071869702888</v>
      </c>
      <c r="K3357" s="5">
        <v>16605.655749562578</v>
      </c>
      <c r="L3357" s="5">
        <v>15487.970507365942</v>
      </c>
      <c r="M3357" s="5">
        <v>20041.623430301417</v>
      </c>
      <c r="N3357" s="5">
        <v>22735.120948269971</v>
      </c>
      <c r="O3357" s="5">
        <v>11282.178219986479</v>
      </c>
      <c r="P3357" s="5">
        <v>46514.467673254068</v>
      </c>
      <c r="Q3357" s="5">
        <v>31618.396253255491</v>
      </c>
      <c r="R3357" s="5">
        <v>19133.693426869788</v>
      </c>
    </row>
    <row r="3358" spans="9:18">
      <c r="I3358" s="4">
        <v>3343</v>
      </c>
      <c r="J3358" s="5">
        <v>15873.12561080002</v>
      </c>
      <c r="K3358" s="5">
        <v>7753.2116148734594</v>
      </c>
      <c r="L3358" s="5">
        <v>15225.811035017256</v>
      </c>
      <c r="M3358" s="5">
        <v>17349.963215818931</v>
      </c>
      <c r="N3358" s="5">
        <v>15804.474686449519</v>
      </c>
      <c r="O3358" s="5">
        <v>25604.597681740845</v>
      </c>
      <c r="P3358" s="5">
        <v>63015.124693769802</v>
      </c>
      <c r="Q3358" s="5">
        <v>25156.033327562815</v>
      </c>
      <c r="R3358" s="5">
        <v>19133.693426869788</v>
      </c>
    </row>
    <row r="3359" spans="9:18">
      <c r="I3359" s="4">
        <v>3344</v>
      </c>
      <c r="J3359" s="5">
        <v>15064.079707240266</v>
      </c>
      <c r="K3359" s="5">
        <v>16199.334613834633</v>
      </c>
      <c r="L3359" s="5">
        <v>17311.244744664215</v>
      </c>
      <c r="M3359" s="5">
        <v>11680.747299075838</v>
      </c>
      <c r="N3359" s="5">
        <v>22010.718648995869</v>
      </c>
      <c r="O3359" s="5">
        <v>30656.031716467984</v>
      </c>
      <c r="P3359" s="5">
        <v>106091.28270624072</v>
      </c>
      <c r="Q3359" s="5">
        <v>25156.033327562815</v>
      </c>
      <c r="R3359" s="5">
        <v>76851.431017396084</v>
      </c>
    </row>
    <row r="3360" spans="9:18">
      <c r="I3360" s="4">
        <v>3345</v>
      </c>
      <c r="J3360" s="5">
        <v>11854.381651026555</v>
      </c>
      <c r="K3360" s="5">
        <v>14021.934268028277</v>
      </c>
      <c r="L3360" s="5">
        <v>13023.361770761438</v>
      </c>
      <c r="M3360" s="5">
        <v>22815.60259636537</v>
      </c>
      <c r="N3360" s="5">
        <v>16581.915858379376</v>
      </c>
      <c r="O3360" s="5">
        <v>13840.304699955392</v>
      </c>
      <c r="P3360" s="5">
        <v>5836.7810663002319</v>
      </c>
      <c r="Q3360" s="5">
        <v>30266.563414010914</v>
      </c>
      <c r="R3360" s="5">
        <v>55012.315589742022</v>
      </c>
    </row>
    <row r="3361" spans="9:18">
      <c r="I3361" s="4">
        <v>3346</v>
      </c>
      <c r="J3361" s="5">
        <v>11936.262457073821</v>
      </c>
      <c r="K3361" s="5">
        <v>13719.930466819731</v>
      </c>
      <c r="L3361" s="5">
        <v>19189.275558866306</v>
      </c>
      <c r="M3361" s="5">
        <v>7334.8610818348589</v>
      </c>
      <c r="N3361" s="5">
        <v>40377.252444397986</v>
      </c>
      <c r="O3361" s="5">
        <v>15936.062371781712</v>
      </c>
      <c r="P3361" s="5">
        <v>32167.874670939738</v>
      </c>
      <c r="Q3361" s="5">
        <v>8474.2603471579441</v>
      </c>
      <c r="R3361" s="5">
        <v>14079.827908007112</v>
      </c>
    </row>
    <row r="3362" spans="9:18">
      <c r="I3362" s="4">
        <v>3347</v>
      </c>
      <c r="J3362" s="5">
        <v>29760.443016608337</v>
      </c>
      <c r="K3362" s="5">
        <v>14017.262946034314</v>
      </c>
      <c r="L3362" s="5">
        <v>15651.346103181355</v>
      </c>
      <c r="M3362" s="5">
        <v>19433.64679949253</v>
      </c>
      <c r="N3362" s="5">
        <v>17214.078970533748</v>
      </c>
      <c r="O3362" s="5">
        <v>5444.7598502623823</v>
      </c>
      <c r="P3362" s="5">
        <v>44646.134934589521</v>
      </c>
      <c r="Q3362" s="5">
        <v>79566.621912742485</v>
      </c>
      <c r="R3362" s="5">
        <v>14079.827908007112</v>
      </c>
    </row>
    <row r="3363" spans="9:18">
      <c r="I3363" s="4">
        <v>3348</v>
      </c>
      <c r="J3363" s="5">
        <v>43272.831879770602</v>
      </c>
      <c r="K3363" s="5">
        <v>13288.692555879701</v>
      </c>
      <c r="L3363" s="5">
        <v>18634.523182776735</v>
      </c>
      <c r="M3363" s="5">
        <v>18816.787977140237</v>
      </c>
      <c r="N3363" s="5">
        <v>11684.605182472778</v>
      </c>
      <c r="O3363" s="5">
        <v>28431.436490368542</v>
      </c>
      <c r="P3363" s="5">
        <v>16650.229067545235</v>
      </c>
      <c r="Q3363" s="5">
        <v>29432.473148002948</v>
      </c>
      <c r="R3363" s="5">
        <v>84289.422255274636</v>
      </c>
    </row>
    <row r="3364" spans="9:18">
      <c r="I3364" s="4">
        <v>3349</v>
      </c>
      <c r="J3364" s="5">
        <v>31053.540961463306</v>
      </c>
      <c r="K3364" s="5">
        <v>13652.224205833634</v>
      </c>
      <c r="L3364" s="5">
        <v>16777.996633299583</v>
      </c>
      <c r="M3364" s="5">
        <v>17542.15972125496</v>
      </c>
      <c r="N3364" s="5">
        <v>25549.748582175915</v>
      </c>
      <c r="O3364" s="5">
        <v>16826.763259351828</v>
      </c>
      <c r="P3364" s="5">
        <v>8662.4232458952465</v>
      </c>
      <c r="Q3364" s="5">
        <v>9652.8114206999071</v>
      </c>
      <c r="R3364" s="5">
        <v>27349.63499959607</v>
      </c>
    </row>
    <row r="3365" spans="9:18">
      <c r="I3365" s="4">
        <v>3350</v>
      </c>
      <c r="J3365" s="5">
        <v>16416.142496463777</v>
      </c>
      <c r="K3365" s="5">
        <v>17903.387243834499</v>
      </c>
      <c r="L3365" s="5">
        <v>15487.970507365942</v>
      </c>
      <c r="M3365" s="5">
        <v>6367.5407465007311</v>
      </c>
      <c r="N3365" s="5">
        <v>39672.376281023731</v>
      </c>
      <c r="O3365" s="5">
        <v>62082.6862081785</v>
      </c>
      <c r="P3365" s="5">
        <v>8069.5385577067918</v>
      </c>
      <c r="Q3365" s="5">
        <v>31019.493883163672</v>
      </c>
      <c r="R3365" s="5">
        <v>31715.273557891396</v>
      </c>
    </row>
    <row r="3366" spans="9:18">
      <c r="I3366" s="4">
        <v>3351</v>
      </c>
      <c r="J3366" s="5">
        <v>19121.054099180623</v>
      </c>
      <c r="K3366" s="5">
        <v>16873.752266014431</v>
      </c>
      <c r="L3366" s="5">
        <v>16616.161224349555</v>
      </c>
      <c r="M3366" s="5">
        <v>21913.431401527439</v>
      </c>
      <c r="N3366" s="5">
        <v>27841.916587595573</v>
      </c>
      <c r="O3366" s="5">
        <v>25802.481365323994</v>
      </c>
      <c r="P3366" s="5">
        <v>45161.732159568586</v>
      </c>
      <c r="Q3366" s="5">
        <v>43417.41805414496</v>
      </c>
      <c r="R3366" s="5">
        <v>62674.060343500474</v>
      </c>
    </row>
    <row r="3367" spans="9:18">
      <c r="I3367" s="4">
        <v>3352</v>
      </c>
      <c r="J3367" s="5">
        <v>15352.465904292809</v>
      </c>
      <c r="K3367" s="5">
        <v>14579.232378315752</v>
      </c>
      <c r="L3367" s="5">
        <v>14344.859750762502</v>
      </c>
      <c r="M3367" s="5">
        <v>31472.019071027709</v>
      </c>
      <c r="N3367" s="5">
        <v>14240.123545764454</v>
      </c>
      <c r="O3367" s="5">
        <v>20827.029306810669</v>
      </c>
      <c r="P3367" s="5">
        <v>9633.1652908310007</v>
      </c>
      <c r="Q3367" s="5">
        <v>28776.080424849053</v>
      </c>
      <c r="R3367" s="5">
        <v>122304.95880137496</v>
      </c>
    </row>
    <row r="3368" spans="9:18">
      <c r="I3368" s="4">
        <v>3353</v>
      </c>
      <c r="J3368" s="5">
        <v>14594.990625703947</v>
      </c>
      <c r="K3368" s="5">
        <v>23543.914024953676</v>
      </c>
      <c r="L3368" s="5">
        <v>15359.132481533357</v>
      </c>
      <c r="M3368" s="5">
        <v>18879.640760542785</v>
      </c>
      <c r="N3368" s="5">
        <v>18410.937863650517</v>
      </c>
      <c r="O3368" s="5">
        <v>10676.618215263648</v>
      </c>
      <c r="P3368" s="5">
        <v>66904.018529955298</v>
      </c>
      <c r="Q3368" s="5">
        <v>19541.409060825732</v>
      </c>
      <c r="R3368" s="5">
        <v>1535.701520095213</v>
      </c>
    </row>
    <row r="3369" spans="9:18">
      <c r="I3369" s="4">
        <v>3354</v>
      </c>
      <c r="J3369" s="5">
        <v>16733.020222212988</v>
      </c>
      <c r="K3369" s="5">
        <v>15051.330276415061</v>
      </c>
      <c r="L3369" s="5">
        <v>34748.877779456467</v>
      </c>
      <c r="M3369" s="5">
        <v>21913.431401527439</v>
      </c>
      <c r="N3369" s="5">
        <v>15804.474686449519</v>
      </c>
      <c r="O3369" s="5">
        <v>11282.178219986479</v>
      </c>
      <c r="P3369" s="5">
        <v>27452.975716953504</v>
      </c>
      <c r="Q3369" s="5">
        <v>30495.121067047665</v>
      </c>
      <c r="R3369" s="5">
        <v>20303.08745527079</v>
      </c>
    </row>
    <row r="3370" spans="9:18">
      <c r="I3370" s="4">
        <v>3355</v>
      </c>
      <c r="J3370" s="5">
        <v>16511.332839561353</v>
      </c>
      <c r="K3370" s="5">
        <v>16952.949313901812</v>
      </c>
      <c r="L3370" s="5">
        <v>25007.552172398639</v>
      </c>
      <c r="M3370" s="5">
        <v>16001.653036457456</v>
      </c>
      <c r="N3370" s="5">
        <v>18367.429489032103</v>
      </c>
      <c r="O3370" s="5">
        <v>13613.378495715853</v>
      </c>
      <c r="P3370" s="5">
        <v>8662.4232458952465</v>
      </c>
      <c r="Q3370" s="5">
        <v>18097.768262249352</v>
      </c>
      <c r="R3370" s="5">
        <v>96845.299789249824</v>
      </c>
    </row>
    <row r="3371" spans="9:18">
      <c r="I3371" s="4">
        <v>3356</v>
      </c>
      <c r="J3371" s="5">
        <v>33627.941293959229</v>
      </c>
      <c r="K3371" s="5">
        <v>37822.375317881044</v>
      </c>
      <c r="L3371" s="5">
        <v>16106.634875163341</v>
      </c>
      <c r="M3371" s="5">
        <v>32751.734100446065</v>
      </c>
      <c r="N3371" s="5">
        <v>21931.347680292267</v>
      </c>
      <c r="O3371" s="5">
        <v>16826.763259351828</v>
      </c>
      <c r="P3371" s="5">
        <v>3930.0915591834291</v>
      </c>
      <c r="Q3371" s="5">
        <v>71213.172792303565</v>
      </c>
      <c r="R3371" s="5">
        <v>7394.6358885760465</v>
      </c>
    </row>
    <row r="3372" spans="9:18">
      <c r="I3372" s="4">
        <v>3357</v>
      </c>
      <c r="J3372" s="5">
        <v>13918.242013140338</v>
      </c>
      <c r="K3372" s="5">
        <v>16199.334613834633</v>
      </c>
      <c r="L3372" s="5">
        <v>17683.765335572589</v>
      </c>
      <c r="M3372" s="5">
        <v>19433.64679949253</v>
      </c>
      <c r="N3372" s="5">
        <v>21909.120225822895</v>
      </c>
      <c r="O3372" s="5">
        <v>11282.178219986479</v>
      </c>
      <c r="P3372" s="5">
        <v>44646.134934589521</v>
      </c>
      <c r="Q3372" s="5">
        <v>9652.8114206999071</v>
      </c>
      <c r="R3372" s="5">
        <v>8130.5639219412278</v>
      </c>
    </row>
    <row r="3373" spans="9:18">
      <c r="I3373" s="4">
        <v>3358</v>
      </c>
      <c r="J3373" s="5">
        <v>34933.039312618188</v>
      </c>
      <c r="K3373" s="5">
        <v>11206.053243692098</v>
      </c>
      <c r="L3373" s="5">
        <v>15300.182042823812</v>
      </c>
      <c r="M3373" s="5">
        <v>32751.734100446065</v>
      </c>
      <c r="N3373" s="5">
        <v>23283.854578052265</v>
      </c>
      <c r="O3373" s="5">
        <v>15124.35050053727</v>
      </c>
      <c r="P3373" s="5">
        <v>18963.234565965948</v>
      </c>
      <c r="Q3373" s="5">
        <v>28567.61306643406</v>
      </c>
      <c r="R3373" s="5">
        <v>3989.7956692889929</v>
      </c>
    </row>
    <row r="3374" spans="9:18">
      <c r="I3374" s="4">
        <v>3359</v>
      </c>
      <c r="J3374" s="5">
        <v>16145.071869702888</v>
      </c>
      <c r="K3374" s="5">
        <v>14854.898507619706</v>
      </c>
      <c r="L3374" s="5">
        <v>16071.260291253868</v>
      </c>
      <c r="M3374" s="5">
        <v>6367.5407465007311</v>
      </c>
      <c r="N3374" s="5">
        <v>16581.915858379376</v>
      </c>
      <c r="O3374" s="5">
        <v>53504.725169095313</v>
      </c>
      <c r="P3374" s="5">
        <v>54100.778483493887</v>
      </c>
      <c r="Q3374" s="5">
        <v>129470.11441833655</v>
      </c>
      <c r="R3374" s="5">
        <v>39263.770877572199</v>
      </c>
    </row>
    <row r="3375" spans="9:18">
      <c r="I3375" s="4">
        <v>3360</v>
      </c>
      <c r="J3375" s="5">
        <v>15623.733864199699</v>
      </c>
      <c r="K3375" s="5">
        <v>14854.898507619706</v>
      </c>
      <c r="L3375" s="5">
        <v>17073.17760523731</v>
      </c>
      <c r="M3375" s="5">
        <v>18691.941789825862</v>
      </c>
      <c r="N3375" s="5">
        <v>63974.903847153939</v>
      </c>
      <c r="O3375" s="5">
        <v>26268.613803794757</v>
      </c>
      <c r="P3375" s="5">
        <v>41657.50350099193</v>
      </c>
      <c r="Q3375" s="5">
        <v>129470.11441833655</v>
      </c>
      <c r="R3375" s="5">
        <v>17304.847214362417</v>
      </c>
    </row>
    <row r="3376" spans="9:18">
      <c r="I3376" s="4">
        <v>3361</v>
      </c>
      <c r="J3376" s="5">
        <v>16511.332839561353</v>
      </c>
      <c r="K3376" s="5">
        <v>14579.232378315752</v>
      </c>
      <c r="L3376" s="5">
        <v>16106.634875163341</v>
      </c>
      <c r="M3376" s="5">
        <v>19097.39635881727</v>
      </c>
      <c r="N3376" s="5">
        <v>21909.120225822895</v>
      </c>
      <c r="O3376" s="5">
        <v>15936.062371781712</v>
      </c>
      <c r="P3376" s="5">
        <v>9811.9720599964548</v>
      </c>
      <c r="Q3376" s="5">
        <v>37277.391668005912</v>
      </c>
      <c r="R3376" s="5">
        <v>3989.7956692889929</v>
      </c>
    </row>
    <row r="3377" spans="9:18">
      <c r="I3377" s="4">
        <v>3362</v>
      </c>
      <c r="J3377" s="5">
        <v>28169.050633834027</v>
      </c>
      <c r="K3377" s="5">
        <v>18086.448513145526</v>
      </c>
      <c r="L3377" s="5">
        <v>17693.864646288712</v>
      </c>
      <c r="M3377" s="5">
        <v>21072.983263501868</v>
      </c>
      <c r="N3377" s="5">
        <v>23583.581287126868</v>
      </c>
      <c r="O3377" s="5">
        <v>16572.483389649329</v>
      </c>
      <c r="P3377" s="5">
        <v>33715.790977629549</v>
      </c>
      <c r="Q3377" s="5">
        <v>30495.121067047665</v>
      </c>
      <c r="R3377" s="5">
        <v>18349.337771428582</v>
      </c>
    </row>
    <row r="3378" spans="9:18">
      <c r="I3378" s="4">
        <v>3363</v>
      </c>
      <c r="J3378" s="5">
        <v>20768.286261788198</v>
      </c>
      <c r="K3378" s="5">
        <v>16665.1498926479</v>
      </c>
      <c r="L3378" s="5">
        <v>10752.183901283248</v>
      </c>
      <c r="M3378" s="5">
        <v>31460.745851561904</v>
      </c>
      <c r="N3378" s="5">
        <v>63974.903847153939</v>
      </c>
      <c r="O3378" s="5">
        <v>8801.3667015774663</v>
      </c>
      <c r="P3378" s="5">
        <v>28537.545734403488</v>
      </c>
      <c r="Q3378" s="5">
        <v>52421.574537857021</v>
      </c>
      <c r="R3378" s="5">
        <v>40368.364083205248</v>
      </c>
    </row>
    <row r="3379" spans="9:18">
      <c r="I3379" s="4">
        <v>3364</v>
      </c>
      <c r="J3379" s="5">
        <v>14076.209333698853</v>
      </c>
      <c r="K3379" s="5">
        <v>11558.357574452555</v>
      </c>
      <c r="L3379" s="5">
        <v>14264.23790876064</v>
      </c>
      <c r="M3379" s="5">
        <v>15202.972920708273</v>
      </c>
      <c r="N3379" s="5">
        <v>11751.639947035985</v>
      </c>
      <c r="O3379" s="5">
        <v>30876.675913171162</v>
      </c>
      <c r="P3379" s="5">
        <v>63015.124693769802</v>
      </c>
      <c r="Q3379" s="5">
        <v>28567.61306643406</v>
      </c>
      <c r="R3379" s="5">
        <v>3433.6677391851467</v>
      </c>
    </row>
    <row r="3380" spans="9:18">
      <c r="I3380" s="4">
        <v>3365</v>
      </c>
      <c r="J3380" s="5">
        <v>15130.594750069789</v>
      </c>
      <c r="K3380" s="5">
        <v>11857.447519815871</v>
      </c>
      <c r="L3380" s="5">
        <v>18215.751370765771</v>
      </c>
      <c r="M3380" s="5">
        <v>10111.451009425113</v>
      </c>
      <c r="N3380" s="5">
        <v>23746.795665493762</v>
      </c>
      <c r="O3380" s="5">
        <v>53007.660727727191</v>
      </c>
      <c r="P3380" s="5">
        <v>10733.318076105543</v>
      </c>
      <c r="Q3380" s="5">
        <v>31974.553851773013</v>
      </c>
      <c r="R3380" s="5">
        <v>3989.7956692889929</v>
      </c>
    </row>
    <row r="3381" spans="9:18">
      <c r="I3381" s="4">
        <v>3366</v>
      </c>
      <c r="J3381" s="5">
        <v>15352.465904292809</v>
      </c>
      <c r="K3381" s="5">
        <v>14854.898507619706</v>
      </c>
      <c r="L3381" s="5">
        <v>16777.996633299583</v>
      </c>
      <c r="M3381" s="5">
        <v>19433.64679949253</v>
      </c>
      <c r="N3381" s="5">
        <v>46248.895746171031</v>
      </c>
      <c r="O3381" s="5">
        <v>9956.4031238965053</v>
      </c>
      <c r="P3381" s="5">
        <v>21813.848941464526</v>
      </c>
      <c r="Q3381" s="5">
        <v>47365.380972950254</v>
      </c>
      <c r="R3381" s="5">
        <v>12194.45251033065</v>
      </c>
    </row>
    <row r="3382" spans="9:18">
      <c r="I3382" s="4">
        <v>3367</v>
      </c>
      <c r="J3382" s="5">
        <v>22812.564910649318</v>
      </c>
      <c r="K3382" s="5">
        <v>95171.967522309933</v>
      </c>
      <c r="L3382" s="5">
        <v>19224.583269019437</v>
      </c>
      <c r="M3382" s="5">
        <v>21272.00214469912</v>
      </c>
      <c r="N3382" s="5">
        <v>14921.795973817481</v>
      </c>
      <c r="O3382" s="5">
        <v>28431.436490368542</v>
      </c>
      <c r="P3382" s="5">
        <v>5836.7810663002319</v>
      </c>
      <c r="Q3382" s="5">
        <v>48866.209623168346</v>
      </c>
      <c r="R3382" s="5">
        <v>38898.713625068609</v>
      </c>
    </row>
    <row r="3383" spans="9:18">
      <c r="I3383" s="4">
        <v>3368</v>
      </c>
      <c r="J3383" s="5">
        <v>16166.107684907736</v>
      </c>
      <c r="K3383" s="5">
        <v>16199.334613834633</v>
      </c>
      <c r="L3383" s="5">
        <v>19078.910217042379</v>
      </c>
      <c r="M3383" s="5">
        <v>20550.782384061673</v>
      </c>
      <c r="N3383" s="5">
        <v>45581.602064432409</v>
      </c>
      <c r="O3383" s="5">
        <v>79848.944504816522</v>
      </c>
      <c r="P3383" s="5">
        <v>5836.7810663002319</v>
      </c>
      <c r="Q3383" s="5">
        <v>16803.875627203233</v>
      </c>
      <c r="R3383" s="5">
        <v>31715.273557891396</v>
      </c>
    </row>
    <row r="3384" spans="9:18">
      <c r="I3384" s="4">
        <v>3369</v>
      </c>
      <c r="J3384" s="5">
        <v>19467.17453557903</v>
      </c>
      <c r="K3384" s="5">
        <v>61827.107730316675</v>
      </c>
      <c r="L3384" s="5">
        <v>14344.859750762502</v>
      </c>
      <c r="M3384" s="5">
        <v>19433.64679949253</v>
      </c>
      <c r="N3384" s="5">
        <v>40377.252444397986</v>
      </c>
      <c r="O3384" s="5">
        <v>35286.662852302201</v>
      </c>
      <c r="P3384" s="5">
        <v>34814.458119125498</v>
      </c>
      <c r="Q3384" s="5">
        <v>20987.925664394581</v>
      </c>
      <c r="R3384" s="5">
        <v>13258.538726001538</v>
      </c>
    </row>
    <row r="3385" spans="9:18">
      <c r="I3385" s="4">
        <v>3370</v>
      </c>
      <c r="J3385" s="5">
        <v>13447.638004246244</v>
      </c>
      <c r="K3385" s="5">
        <v>18218.584572172625</v>
      </c>
      <c r="L3385" s="5">
        <v>18634.523182776735</v>
      </c>
      <c r="M3385" s="5">
        <v>12619.198742021435</v>
      </c>
      <c r="N3385" s="5">
        <v>41563.89847100406</v>
      </c>
      <c r="O3385" s="5">
        <v>20991.103410982985</v>
      </c>
      <c r="P3385" s="5">
        <v>63015.124693769802</v>
      </c>
      <c r="Q3385" s="5">
        <v>7349.2234634219121</v>
      </c>
      <c r="R3385" s="5">
        <v>93933.045103013996</v>
      </c>
    </row>
    <row r="3386" spans="9:18">
      <c r="I3386" s="4">
        <v>3371</v>
      </c>
      <c r="J3386" s="5">
        <v>14741.240040396578</v>
      </c>
      <c r="K3386" s="5">
        <v>10931.803935361211</v>
      </c>
      <c r="L3386" s="5">
        <v>10752.183901283248</v>
      </c>
      <c r="M3386" s="5">
        <v>21833.004790208965</v>
      </c>
      <c r="N3386" s="5">
        <v>20292.069765667391</v>
      </c>
      <c r="O3386" s="5">
        <v>27503.656957929088</v>
      </c>
      <c r="P3386" s="5">
        <v>36724.352187786957</v>
      </c>
      <c r="Q3386" s="5">
        <v>16591.881190929333</v>
      </c>
      <c r="R3386" s="5">
        <v>8720.6503563381029</v>
      </c>
    </row>
    <row r="3387" spans="9:18">
      <c r="I3387" s="4">
        <v>3372</v>
      </c>
      <c r="J3387" s="5">
        <v>22812.564910649318</v>
      </c>
      <c r="K3387" s="5">
        <v>11149.572204897504</v>
      </c>
      <c r="L3387" s="5">
        <v>21954.536591034263</v>
      </c>
      <c r="M3387" s="5">
        <v>19151.339770278159</v>
      </c>
      <c r="N3387" s="5">
        <v>8555.1229659096207</v>
      </c>
      <c r="O3387" s="5">
        <v>27068.054847826614</v>
      </c>
      <c r="P3387" s="5">
        <v>12790.85158217316</v>
      </c>
      <c r="Q3387" s="5">
        <v>59134.059519022907</v>
      </c>
      <c r="R3387" s="5">
        <v>8046.7106309763258</v>
      </c>
    </row>
    <row r="3388" spans="9:18">
      <c r="I3388" s="4">
        <v>3373</v>
      </c>
      <c r="J3388" s="5">
        <v>21150.169973104224</v>
      </c>
      <c r="K3388" s="5">
        <v>14021.934268028277</v>
      </c>
      <c r="L3388" s="5">
        <v>15487.970507365942</v>
      </c>
      <c r="M3388" s="5">
        <v>7334.8610818348589</v>
      </c>
      <c r="N3388" s="5">
        <v>21933.097106966918</v>
      </c>
      <c r="O3388" s="5">
        <v>25604.597681740845</v>
      </c>
      <c r="P3388" s="5">
        <v>27373.102585108634</v>
      </c>
      <c r="Q3388" s="5">
        <v>8832.660767995616</v>
      </c>
      <c r="R3388" s="5">
        <v>24722.972470599001</v>
      </c>
    </row>
    <row r="3389" spans="9:18">
      <c r="I3389" s="4">
        <v>3374</v>
      </c>
      <c r="J3389" s="5">
        <v>20002.201347927807</v>
      </c>
      <c r="K3389" s="5">
        <v>13331.01856102917</v>
      </c>
      <c r="L3389" s="5">
        <v>19189.275558866306</v>
      </c>
      <c r="M3389" s="5">
        <v>13414.385151739983</v>
      </c>
      <c r="N3389" s="5">
        <v>11604.12831603515</v>
      </c>
      <c r="O3389" s="5">
        <v>27062.73412298776</v>
      </c>
      <c r="P3389" s="5">
        <v>49519.098753410741</v>
      </c>
      <c r="Q3389" s="5">
        <v>71213.172792303565</v>
      </c>
      <c r="R3389" s="5">
        <v>26783.439354489365</v>
      </c>
    </row>
    <row r="3390" spans="9:18">
      <c r="I3390" s="4">
        <v>3375</v>
      </c>
      <c r="J3390" s="5">
        <v>14680.308400328413</v>
      </c>
      <c r="K3390" s="5">
        <v>34058.671324159091</v>
      </c>
      <c r="L3390" s="5">
        <v>14815.394001212817</v>
      </c>
      <c r="M3390" s="5">
        <v>12619.198742021435</v>
      </c>
      <c r="N3390" s="5">
        <v>19125.360074567652</v>
      </c>
      <c r="O3390" s="5">
        <v>32474.063027682765</v>
      </c>
      <c r="P3390" s="5">
        <v>32155.527541400057</v>
      </c>
      <c r="Q3390" s="5">
        <v>54060.5331097772</v>
      </c>
      <c r="R3390" s="5">
        <v>14079.827908007112</v>
      </c>
    </row>
    <row r="3391" spans="9:18">
      <c r="I3391" s="4">
        <v>3376</v>
      </c>
      <c r="J3391" s="5">
        <v>15554.996700302558</v>
      </c>
      <c r="K3391" s="5">
        <v>18086.448513145526</v>
      </c>
      <c r="L3391" s="5">
        <v>25389.332759288587</v>
      </c>
      <c r="M3391" s="5">
        <v>13414.385151739983</v>
      </c>
      <c r="N3391" s="5">
        <v>11952.903761138405</v>
      </c>
      <c r="O3391" s="5">
        <v>11282.178219986479</v>
      </c>
      <c r="P3391" s="5">
        <v>12790.85158217316</v>
      </c>
      <c r="Q3391" s="5">
        <v>27018.509959127641</v>
      </c>
      <c r="R3391" s="5">
        <v>10885.018205103002</v>
      </c>
    </row>
    <row r="3392" spans="9:18">
      <c r="I3392" s="4">
        <v>3377</v>
      </c>
      <c r="J3392" s="5">
        <v>14680.308400328413</v>
      </c>
      <c r="K3392" s="5">
        <v>6949.5708823216592</v>
      </c>
      <c r="L3392" s="5">
        <v>15359.132481533357</v>
      </c>
      <c r="M3392" s="5">
        <v>16842.379179328669</v>
      </c>
      <c r="N3392" s="5">
        <v>9563.1256545330361</v>
      </c>
      <c r="O3392" s="5">
        <v>79848.944504816522</v>
      </c>
      <c r="P3392" s="5">
        <v>55152.110177667731</v>
      </c>
      <c r="Q3392" s="5">
        <v>18097.768262249352</v>
      </c>
      <c r="R3392" s="5">
        <v>8130.5639219412278</v>
      </c>
    </row>
    <row r="3393" spans="9:18">
      <c r="I3393" s="4">
        <v>3378</v>
      </c>
      <c r="J3393" s="5">
        <v>15554.996700302558</v>
      </c>
      <c r="K3393" s="5">
        <v>21527.93129974293</v>
      </c>
      <c r="L3393" s="5">
        <v>18602.881797624486</v>
      </c>
      <c r="M3393" s="5">
        <v>21913.431401527439</v>
      </c>
      <c r="N3393" s="5">
        <v>15786.177386596903</v>
      </c>
      <c r="O3393" s="5">
        <v>3171.3006415671193</v>
      </c>
      <c r="P3393" s="5">
        <v>21039.927746191301</v>
      </c>
      <c r="Q3393" s="5">
        <v>47365.380972950254</v>
      </c>
      <c r="R3393" s="5">
        <v>17304.847214362417</v>
      </c>
    </row>
    <row r="3394" spans="9:18">
      <c r="I3394" s="4">
        <v>3379</v>
      </c>
      <c r="J3394" s="5">
        <v>11843.28062342474</v>
      </c>
      <c r="K3394" s="5">
        <v>61827.107730316675</v>
      </c>
      <c r="L3394" s="5">
        <v>16577.562442697115</v>
      </c>
      <c r="M3394" s="5">
        <v>16001.653036457456</v>
      </c>
      <c r="N3394" s="5">
        <v>9209.4418830788036</v>
      </c>
      <c r="O3394" s="5">
        <v>16826.763259351828</v>
      </c>
      <c r="P3394" s="5">
        <v>44646.134934589521</v>
      </c>
      <c r="Q3394" s="5">
        <v>14064.158297039334</v>
      </c>
      <c r="R3394" s="5">
        <v>86510.608303273053</v>
      </c>
    </row>
    <row r="3395" spans="9:18">
      <c r="I3395" s="4">
        <v>3380</v>
      </c>
      <c r="J3395" s="5">
        <v>21150.169973104224</v>
      </c>
      <c r="K3395" s="5">
        <v>18821.113178054162</v>
      </c>
      <c r="L3395" s="5">
        <v>14175.160754078657</v>
      </c>
      <c r="M3395" s="5">
        <v>19151.339770278159</v>
      </c>
      <c r="N3395" s="5">
        <v>12297.015342318469</v>
      </c>
      <c r="O3395" s="5">
        <v>28431.436490368542</v>
      </c>
      <c r="P3395" s="5">
        <v>14316.965520592317</v>
      </c>
      <c r="Q3395" s="5">
        <v>28078.365156847896</v>
      </c>
      <c r="R3395" s="5">
        <v>31715.273557891396</v>
      </c>
    </row>
    <row r="3396" spans="9:18">
      <c r="I3396" s="4">
        <v>3381</v>
      </c>
      <c r="J3396" s="5">
        <v>14538.277247583976</v>
      </c>
      <c r="K3396" s="5">
        <v>26110.948843472826</v>
      </c>
      <c r="L3396" s="5">
        <v>16293.265064857471</v>
      </c>
      <c r="M3396" s="5">
        <v>17542.15972125496</v>
      </c>
      <c r="N3396" s="5">
        <v>26115.05281128412</v>
      </c>
      <c r="O3396" s="5">
        <v>40304.23053285561</v>
      </c>
      <c r="P3396" s="5">
        <v>10180.109839011631</v>
      </c>
      <c r="Q3396" s="5">
        <v>30266.563414010914</v>
      </c>
      <c r="R3396" s="5">
        <v>13258.538726001538</v>
      </c>
    </row>
    <row r="3397" spans="9:18">
      <c r="I3397" s="4">
        <v>3382</v>
      </c>
      <c r="J3397" s="5">
        <v>14017.326487344162</v>
      </c>
      <c r="K3397" s="5">
        <v>10931.803935361211</v>
      </c>
      <c r="L3397" s="5">
        <v>15746.942257105531</v>
      </c>
      <c r="M3397" s="5">
        <v>17349.963215818931</v>
      </c>
      <c r="N3397" s="5">
        <v>11788.341482962171</v>
      </c>
      <c r="O3397" s="5">
        <v>13550.031670770122</v>
      </c>
      <c r="P3397" s="5">
        <v>33715.790977629549</v>
      </c>
      <c r="Q3397" s="5">
        <v>52545.991451361173</v>
      </c>
      <c r="R3397" s="5">
        <v>261393.32711858812</v>
      </c>
    </row>
    <row r="3398" spans="9:18">
      <c r="I3398" s="4">
        <v>3383</v>
      </c>
      <c r="J3398" s="5">
        <v>16788.081681455456</v>
      </c>
      <c r="K3398" s="5">
        <v>15487.124352801369</v>
      </c>
      <c r="L3398" s="5">
        <v>14264.23790876064</v>
      </c>
      <c r="M3398" s="5">
        <v>18177.175180585615</v>
      </c>
      <c r="N3398" s="5">
        <v>23746.795665493762</v>
      </c>
      <c r="O3398" s="5">
        <v>53504.725169095313</v>
      </c>
      <c r="P3398" s="5">
        <v>8877.9712092977989</v>
      </c>
      <c r="Q3398" s="5">
        <v>20987.925664394581</v>
      </c>
      <c r="R3398" s="5">
        <v>90296.353221228885</v>
      </c>
    </row>
    <row r="3399" spans="9:18">
      <c r="I3399" s="4">
        <v>3384</v>
      </c>
      <c r="J3399" s="5">
        <v>14960.076233580705</v>
      </c>
      <c r="K3399" s="5">
        <v>11507.182177474708</v>
      </c>
      <c r="L3399" s="5">
        <v>14815.394001212817</v>
      </c>
      <c r="M3399" s="5">
        <v>17349.963215818931</v>
      </c>
      <c r="N3399" s="5">
        <v>20292.069765667391</v>
      </c>
      <c r="O3399" s="5">
        <v>9708.4497800977806</v>
      </c>
      <c r="P3399" s="5">
        <v>27708.613526855763</v>
      </c>
      <c r="Q3399" s="5">
        <v>13865.641566869812</v>
      </c>
      <c r="R3399" s="5">
        <v>18349.337771428582</v>
      </c>
    </row>
    <row r="3400" spans="9:18">
      <c r="I3400" s="4">
        <v>3385</v>
      </c>
      <c r="J3400" s="5">
        <v>9368.8270679249108</v>
      </c>
      <c r="K3400" s="5">
        <v>17128.860847126922</v>
      </c>
      <c r="L3400" s="5">
        <v>25007.552172398639</v>
      </c>
      <c r="M3400" s="5">
        <v>7334.8610818348589</v>
      </c>
      <c r="N3400" s="5">
        <v>24853.247795632611</v>
      </c>
      <c r="O3400" s="5">
        <v>13117.417685535194</v>
      </c>
      <c r="P3400" s="5">
        <v>55152.110177667731</v>
      </c>
      <c r="Q3400" s="5">
        <v>37101.531383212743</v>
      </c>
      <c r="R3400" s="5">
        <v>39727.513802035661</v>
      </c>
    </row>
    <row r="3401" spans="9:18">
      <c r="I3401" s="4">
        <v>3386</v>
      </c>
      <c r="J3401" s="5">
        <v>22812.564910649318</v>
      </c>
      <c r="K3401" s="5">
        <v>18086.448513145526</v>
      </c>
      <c r="L3401" s="5">
        <v>19224.583269019437</v>
      </c>
      <c r="M3401" s="5">
        <v>10451.914120098167</v>
      </c>
      <c r="N3401" s="5">
        <v>14921.795973817481</v>
      </c>
      <c r="O3401" s="5">
        <v>9708.4497800977806</v>
      </c>
      <c r="P3401" s="5">
        <v>27373.102585108634</v>
      </c>
      <c r="Q3401" s="5">
        <v>31618.396253255491</v>
      </c>
      <c r="R3401" s="5">
        <v>17304.847214362417</v>
      </c>
    </row>
    <row r="3402" spans="9:18">
      <c r="I3402" s="4">
        <v>3387</v>
      </c>
      <c r="J3402" s="5">
        <v>19121.054099180623</v>
      </c>
      <c r="K3402" s="5">
        <v>16665.1498926479</v>
      </c>
      <c r="L3402" s="5">
        <v>22319.409576580376</v>
      </c>
      <c r="M3402" s="5">
        <v>22326.253555179093</v>
      </c>
      <c r="N3402" s="5">
        <v>48565.498233359976</v>
      </c>
      <c r="O3402" s="5">
        <v>16462.170789592048</v>
      </c>
      <c r="P3402" s="5">
        <v>41657.50350099193</v>
      </c>
      <c r="Q3402" s="5">
        <v>14064.158297039334</v>
      </c>
      <c r="R3402" s="5">
        <v>123773.40402252052</v>
      </c>
    </row>
    <row r="3403" spans="9:18">
      <c r="I3403" s="4">
        <v>3388</v>
      </c>
      <c r="J3403" s="5">
        <v>16544.73779470181</v>
      </c>
      <c r="K3403" s="5">
        <v>18218.584572172625</v>
      </c>
      <c r="L3403" s="5">
        <v>15759.954187048656</v>
      </c>
      <c r="M3403" s="5">
        <v>10111.451009425113</v>
      </c>
      <c r="N3403" s="5">
        <v>22511.351424689696</v>
      </c>
      <c r="O3403" s="5">
        <v>20930.098352661731</v>
      </c>
      <c r="P3403" s="5">
        <v>12639.596794453437</v>
      </c>
      <c r="Q3403" s="5">
        <v>8502.450657922871</v>
      </c>
      <c r="R3403" s="5">
        <v>46004.399892616471</v>
      </c>
    </row>
    <row r="3404" spans="9:18">
      <c r="I3404" s="4">
        <v>3389</v>
      </c>
      <c r="J3404" s="5">
        <v>20002.201347927807</v>
      </c>
      <c r="K3404" s="5">
        <v>15129.619337591721</v>
      </c>
      <c r="L3404" s="5">
        <v>16451.333928028147</v>
      </c>
      <c r="M3404" s="5">
        <v>6367.5407465007311</v>
      </c>
      <c r="N3404" s="5">
        <v>22735.120948269971</v>
      </c>
      <c r="O3404" s="5">
        <v>19430.912633256889</v>
      </c>
      <c r="P3404" s="5">
        <v>48123.003747643132</v>
      </c>
      <c r="Q3404" s="5">
        <v>16591.881190929333</v>
      </c>
      <c r="R3404" s="5">
        <v>8046.7106309763258</v>
      </c>
    </row>
    <row r="3405" spans="9:18">
      <c r="I3405" s="4">
        <v>3390</v>
      </c>
      <c r="J3405" s="5">
        <v>14671.176405938595</v>
      </c>
      <c r="K3405" s="5">
        <v>16199.334613834633</v>
      </c>
      <c r="L3405" s="5">
        <v>16451.333928028147</v>
      </c>
      <c r="M3405" s="5">
        <v>13011.820191946215</v>
      </c>
      <c r="N3405" s="5">
        <v>23043.345403059295</v>
      </c>
      <c r="O3405" s="5">
        <v>42492.261063288854</v>
      </c>
      <c r="P3405" s="5">
        <v>27820.721938889761</v>
      </c>
      <c r="Q3405" s="5">
        <v>37802.358878968138</v>
      </c>
      <c r="R3405" s="5">
        <v>7952.6989268572033</v>
      </c>
    </row>
    <row r="3406" spans="9:18">
      <c r="I3406" s="4">
        <v>3391</v>
      </c>
      <c r="J3406" s="5">
        <v>28214.771032351968</v>
      </c>
      <c r="K3406" s="5">
        <v>16081.362509465702</v>
      </c>
      <c r="L3406" s="5">
        <v>13358.459356674217</v>
      </c>
      <c r="M3406" s="5">
        <v>37411.178129764201</v>
      </c>
      <c r="N3406" s="5">
        <v>11788.341482962171</v>
      </c>
      <c r="O3406" s="5">
        <v>62082.6862081785</v>
      </c>
      <c r="P3406" s="5">
        <v>40377.463755170742</v>
      </c>
      <c r="Q3406" s="5">
        <v>15623.622662102793</v>
      </c>
      <c r="R3406" s="5">
        <v>2180.6148629084787</v>
      </c>
    </row>
    <row r="3407" spans="9:18">
      <c r="I3407" s="4">
        <v>3392</v>
      </c>
      <c r="J3407" s="5">
        <v>15623.733864199699</v>
      </c>
      <c r="K3407" s="5">
        <v>14579.232378315752</v>
      </c>
      <c r="L3407" s="5">
        <v>14691.846656953887</v>
      </c>
      <c r="M3407" s="5">
        <v>18043.539897080744</v>
      </c>
      <c r="N3407" s="5">
        <v>27841.916587595573</v>
      </c>
      <c r="O3407" s="5">
        <v>24258.192244316608</v>
      </c>
      <c r="P3407" s="5">
        <v>17643.087208586294</v>
      </c>
      <c r="Q3407" s="5">
        <v>7349.2234634219121</v>
      </c>
      <c r="R3407" s="5">
        <v>2071.5141323269809</v>
      </c>
    </row>
    <row r="3408" spans="9:18">
      <c r="I3408" s="4">
        <v>3393</v>
      </c>
      <c r="J3408" s="5">
        <v>9405.362381917912</v>
      </c>
      <c r="K3408" s="5">
        <v>17003.901855709089</v>
      </c>
      <c r="L3408" s="5">
        <v>17845.207337527903</v>
      </c>
      <c r="M3408" s="5">
        <v>14432.283063351901</v>
      </c>
      <c r="N3408" s="5">
        <v>9563.1256545330361</v>
      </c>
      <c r="O3408" s="5">
        <v>18637.945795127704</v>
      </c>
      <c r="P3408" s="5">
        <v>12639.596794453437</v>
      </c>
      <c r="Q3408" s="5">
        <v>30266.563414010914</v>
      </c>
      <c r="R3408" s="5">
        <v>40368.364083205248</v>
      </c>
    </row>
    <row r="3409" spans="9:18">
      <c r="I3409" s="4">
        <v>3394</v>
      </c>
      <c r="J3409" s="5">
        <v>15873.12561080002</v>
      </c>
      <c r="K3409" s="5">
        <v>20887.307279900142</v>
      </c>
      <c r="L3409" s="5">
        <v>16472.138192556791</v>
      </c>
      <c r="M3409" s="5">
        <v>15586.009710351766</v>
      </c>
      <c r="N3409" s="5">
        <v>19225.139878706803</v>
      </c>
      <c r="O3409" s="5">
        <v>33720.545907536376</v>
      </c>
      <c r="P3409" s="5">
        <v>33715.790977629549</v>
      </c>
      <c r="Q3409" s="5">
        <v>92068.726035424203</v>
      </c>
      <c r="R3409" s="5">
        <v>8105.1944146993656</v>
      </c>
    </row>
    <row r="3410" spans="9:18">
      <c r="I3410" s="4">
        <v>3395</v>
      </c>
      <c r="J3410" s="5">
        <v>14344.692898101612</v>
      </c>
      <c r="K3410" s="5">
        <v>13331.01856102917</v>
      </c>
      <c r="L3410" s="5">
        <v>25389.332759288587</v>
      </c>
      <c r="M3410" s="5">
        <v>36301.422888051464</v>
      </c>
      <c r="N3410" s="5">
        <v>51261.622558090799</v>
      </c>
      <c r="O3410" s="5">
        <v>53028.643350899503</v>
      </c>
      <c r="P3410" s="5">
        <v>12992.105410393709</v>
      </c>
      <c r="Q3410" s="5">
        <v>47365.380972950254</v>
      </c>
      <c r="R3410" s="5">
        <v>44707.053087992797</v>
      </c>
    </row>
    <row r="3411" spans="9:18">
      <c r="I3411" s="4">
        <v>3396</v>
      </c>
      <c r="J3411" s="5">
        <v>14710.037865351254</v>
      </c>
      <c r="K3411" s="5">
        <v>29672.680843304515</v>
      </c>
      <c r="L3411" s="5">
        <v>21954.536591034263</v>
      </c>
      <c r="M3411" s="5">
        <v>22326.253555179093</v>
      </c>
      <c r="N3411" s="5">
        <v>8104.6265149430556</v>
      </c>
      <c r="O3411" s="5">
        <v>26268.613803794757</v>
      </c>
      <c r="P3411" s="5">
        <v>10966.822219855034</v>
      </c>
      <c r="Q3411" s="5">
        <v>100789.83462564547</v>
      </c>
      <c r="R3411" s="5">
        <v>6681.1887184356683</v>
      </c>
    </row>
    <row r="3412" spans="9:18">
      <c r="I3412" s="4">
        <v>3397</v>
      </c>
      <c r="J3412" s="5">
        <v>14741.240040396578</v>
      </c>
      <c r="K3412" s="5">
        <v>56656.842992470461</v>
      </c>
      <c r="L3412" s="5">
        <v>23760.785349782636</v>
      </c>
      <c r="M3412" s="5">
        <v>36301.422888051464</v>
      </c>
      <c r="N3412" s="5">
        <v>13909.728487455486</v>
      </c>
      <c r="O3412" s="5">
        <v>3171.3006415671193</v>
      </c>
      <c r="P3412" s="5">
        <v>106091.28270624072</v>
      </c>
      <c r="Q3412" s="5">
        <v>43417.41805414496</v>
      </c>
      <c r="R3412" s="5">
        <v>8130.5639219412278</v>
      </c>
    </row>
    <row r="3413" spans="9:18">
      <c r="I3413" s="4">
        <v>3398</v>
      </c>
      <c r="J3413" s="5">
        <v>13045.114546182727</v>
      </c>
      <c r="K3413" s="5">
        <v>15347.101709242541</v>
      </c>
      <c r="L3413" s="5">
        <v>21428.663623484812</v>
      </c>
      <c r="M3413" s="5">
        <v>20185.026038758231</v>
      </c>
      <c r="N3413" s="5">
        <v>24314.043643333731</v>
      </c>
      <c r="O3413" s="5">
        <v>30656.031716467984</v>
      </c>
      <c r="P3413" s="5">
        <v>14316.965520592317</v>
      </c>
      <c r="Q3413" s="5">
        <v>37277.391668005912</v>
      </c>
      <c r="R3413" s="5">
        <v>39263.770877572199</v>
      </c>
    </row>
    <row r="3414" spans="9:18">
      <c r="I3414" s="4">
        <v>3399</v>
      </c>
      <c r="J3414" s="5">
        <v>19121.054099180623</v>
      </c>
      <c r="K3414" s="5">
        <v>21958.925144875713</v>
      </c>
      <c r="L3414" s="5">
        <v>15759.954187048656</v>
      </c>
      <c r="M3414" s="5">
        <v>19795.661011456152</v>
      </c>
      <c r="N3414" s="5">
        <v>34295.124147811541</v>
      </c>
      <c r="O3414" s="5">
        <v>40942.522561879181</v>
      </c>
      <c r="P3414" s="5">
        <v>14376.883105731285</v>
      </c>
      <c r="Q3414" s="5">
        <v>52421.574537857021</v>
      </c>
      <c r="R3414" s="5">
        <v>216919.53009911609</v>
      </c>
    </row>
    <row r="3415" spans="9:18">
      <c r="I3415" s="4">
        <v>3400</v>
      </c>
      <c r="J3415" s="5">
        <v>16166.107684907736</v>
      </c>
      <c r="K3415" s="5">
        <v>11206.053243692098</v>
      </c>
      <c r="L3415" s="5">
        <v>27144.958215276103</v>
      </c>
      <c r="M3415" s="5">
        <v>21332.072353846772</v>
      </c>
      <c r="N3415" s="5">
        <v>23998.040874392525</v>
      </c>
      <c r="O3415" s="5">
        <v>27068.054847826614</v>
      </c>
      <c r="P3415" s="5">
        <v>26541.896041444568</v>
      </c>
      <c r="Q3415" s="5">
        <v>70295.978314632754</v>
      </c>
      <c r="R3415" s="5">
        <v>7879.038918914337</v>
      </c>
    </row>
    <row r="3416" spans="9:18">
      <c r="I3416" s="4">
        <v>3401</v>
      </c>
      <c r="J3416" s="5">
        <v>26634.853073396614</v>
      </c>
      <c r="K3416" s="5">
        <v>14854.898507619706</v>
      </c>
      <c r="L3416" s="5">
        <v>14042.41908879921</v>
      </c>
      <c r="M3416" s="5">
        <v>30785.663999045999</v>
      </c>
      <c r="N3416" s="5">
        <v>9989.086510768735</v>
      </c>
      <c r="O3416" s="5">
        <v>10270.120415297655</v>
      </c>
      <c r="P3416" s="5">
        <v>77603.711720266961</v>
      </c>
      <c r="Q3416" s="5">
        <v>22145.301831504508</v>
      </c>
      <c r="R3416" s="5">
        <v>12130.167062525341</v>
      </c>
    </row>
    <row r="3417" spans="9:18">
      <c r="I3417" s="4">
        <v>3402</v>
      </c>
      <c r="J3417" s="5">
        <v>22188.291830993156</v>
      </c>
      <c r="K3417" s="5">
        <v>16605.655749562578</v>
      </c>
      <c r="L3417" s="5">
        <v>16071.260291253868</v>
      </c>
      <c r="M3417" s="5">
        <v>19262.243095117232</v>
      </c>
      <c r="N3417" s="5">
        <v>20558.672182394013</v>
      </c>
      <c r="O3417" s="5">
        <v>4231.3144655921506</v>
      </c>
      <c r="P3417" s="5">
        <v>21933.779100635442</v>
      </c>
      <c r="Q3417" s="5">
        <v>73941.636731325911</v>
      </c>
      <c r="R3417" s="5">
        <v>65420.116221752483</v>
      </c>
    </row>
    <row r="3418" spans="9:18">
      <c r="I3418" s="4">
        <v>3403</v>
      </c>
      <c r="J3418" s="5">
        <v>31559.699247539775</v>
      </c>
      <c r="K3418" s="5">
        <v>32073.547537933715</v>
      </c>
      <c r="L3418" s="5">
        <v>13417.453622029931</v>
      </c>
      <c r="M3418" s="5">
        <v>30830.81083227017</v>
      </c>
      <c r="N3418" s="5">
        <v>23043.345403059295</v>
      </c>
      <c r="O3418" s="5">
        <v>24422.445067017139</v>
      </c>
      <c r="P3418" s="5">
        <v>23769.190223735484</v>
      </c>
      <c r="Q3418" s="5">
        <v>44911.749632594299</v>
      </c>
      <c r="R3418" s="5">
        <v>54594.567438884274</v>
      </c>
    </row>
    <row r="3419" spans="9:18">
      <c r="I3419" s="4">
        <v>3404</v>
      </c>
      <c r="J3419" s="5">
        <v>15623.733864199699</v>
      </c>
      <c r="K3419" s="5">
        <v>35488.449387009874</v>
      </c>
      <c r="L3419" s="5">
        <v>15060.431658965737</v>
      </c>
      <c r="M3419" s="5">
        <v>14217.48832834715</v>
      </c>
      <c r="N3419" s="5">
        <v>12592.300437162297</v>
      </c>
      <c r="O3419" s="5">
        <v>18637.945795127704</v>
      </c>
      <c r="P3419" s="5">
        <v>10966.822219855034</v>
      </c>
      <c r="Q3419" s="5">
        <v>25156.033327562815</v>
      </c>
      <c r="R3419" s="5">
        <v>90296.353221228885</v>
      </c>
    </row>
    <row r="3420" spans="9:18">
      <c r="I3420" s="4">
        <v>3405</v>
      </c>
      <c r="J3420" s="5">
        <v>14344.692898101612</v>
      </c>
      <c r="K3420" s="5">
        <v>12423.491400404893</v>
      </c>
      <c r="L3420" s="5">
        <v>22412.045018675239</v>
      </c>
      <c r="M3420" s="5">
        <v>16881.579299055</v>
      </c>
      <c r="N3420" s="5">
        <v>40377.252444397986</v>
      </c>
      <c r="O3420" s="5">
        <v>45451.954570113048</v>
      </c>
      <c r="P3420" s="5">
        <v>35569.894390728325</v>
      </c>
      <c r="Q3420" s="5">
        <v>22895.455950885695</v>
      </c>
      <c r="R3420" s="5">
        <v>8046.7106309763258</v>
      </c>
    </row>
    <row r="3421" spans="9:18">
      <c r="I3421" s="4">
        <v>3406</v>
      </c>
      <c r="J3421" s="5">
        <v>28085.9245102444</v>
      </c>
      <c r="K3421" s="5">
        <v>14579.232378315752</v>
      </c>
      <c r="L3421" s="5">
        <v>10896.494237357269</v>
      </c>
      <c r="M3421" s="5">
        <v>15202.972920708273</v>
      </c>
      <c r="N3421" s="5">
        <v>51261.622558090799</v>
      </c>
      <c r="O3421" s="5">
        <v>31172.963108652857</v>
      </c>
      <c r="P3421" s="5">
        <v>9965.8330787532959</v>
      </c>
      <c r="Q3421" s="5">
        <v>31902.904306425251</v>
      </c>
      <c r="R3421" s="5">
        <v>54594.567438884274</v>
      </c>
    </row>
    <row r="3422" spans="9:18">
      <c r="I3422" s="4">
        <v>3407</v>
      </c>
      <c r="J3422" s="5">
        <v>26634.853073396614</v>
      </c>
      <c r="K3422" s="5">
        <v>13652.224205833634</v>
      </c>
      <c r="L3422" s="5">
        <v>17693.864646288712</v>
      </c>
      <c r="M3422" s="5">
        <v>7334.8610818348589</v>
      </c>
      <c r="N3422" s="5">
        <v>25424.029865101274</v>
      </c>
      <c r="O3422" s="5">
        <v>16462.170789592048</v>
      </c>
      <c r="P3422" s="5">
        <v>16650.229067545235</v>
      </c>
      <c r="Q3422" s="5">
        <v>56069.347629295014</v>
      </c>
      <c r="R3422" s="5">
        <v>7879.038918914337</v>
      </c>
    </row>
    <row r="3423" spans="9:18">
      <c r="I3423" s="4">
        <v>3408</v>
      </c>
      <c r="J3423" s="5">
        <v>19467.17453557903</v>
      </c>
      <c r="K3423" s="5">
        <v>35488.449387009874</v>
      </c>
      <c r="L3423" s="5">
        <v>15300.182042823812</v>
      </c>
      <c r="M3423" s="5">
        <v>11860.862376247747</v>
      </c>
      <c r="N3423" s="5">
        <v>6130.3882288404347</v>
      </c>
      <c r="O3423" s="5">
        <v>13840.304699955392</v>
      </c>
      <c r="P3423" s="5">
        <v>17996.895987204196</v>
      </c>
      <c r="Q3423" s="5">
        <v>52421.574537857021</v>
      </c>
      <c r="R3423" s="5">
        <v>8130.5639219412278</v>
      </c>
    </row>
    <row r="3424" spans="9:18">
      <c r="I3424" s="4">
        <v>3409</v>
      </c>
      <c r="J3424" s="5">
        <v>15417.870921574262</v>
      </c>
      <c r="K3424" s="5">
        <v>17495.743706488822</v>
      </c>
      <c r="L3424" s="5">
        <v>23561.450544884348</v>
      </c>
      <c r="M3424" s="5">
        <v>12934.591863415189</v>
      </c>
      <c r="N3424" s="5">
        <v>12523.573732460784</v>
      </c>
      <c r="O3424" s="5">
        <v>27195.510785031525</v>
      </c>
      <c r="P3424" s="5">
        <v>14773.185437294762</v>
      </c>
      <c r="Q3424" s="5">
        <v>52545.991451361173</v>
      </c>
      <c r="R3424" s="5">
        <v>9913.4206865238284</v>
      </c>
    </row>
    <row r="3425" spans="9:18">
      <c r="I3425" s="4">
        <v>3410</v>
      </c>
      <c r="J3425" s="5">
        <v>13595.404057849493</v>
      </c>
      <c r="K3425" s="5">
        <v>35705.595198125673</v>
      </c>
      <c r="L3425" s="5">
        <v>14364.472927446199</v>
      </c>
      <c r="M3425" s="5">
        <v>13011.820191946215</v>
      </c>
      <c r="N3425" s="5">
        <v>19125.360074567652</v>
      </c>
      <c r="O3425" s="5">
        <v>79848.944504816522</v>
      </c>
      <c r="P3425" s="5">
        <v>17996.895987204196</v>
      </c>
      <c r="Q3425" s="5">
        <v>15663.43865741136</v>
      </c>
      <c r="R3425" s="5">
        <v>13258.538726001538</v>
      </c>
    </row>
    <row r="3426" spans="9:18">
      <c r="I3426" s="4">
        <v>3411</v>
      </c>
      <c r="J3426" s="5">
        <v>23517.429992060665</v>
      </c>
      <c r="K3426" s="5">
        <v>16605.655749562578</v>
      </c>
      <c r="L3426" s="5">
        <v>19078.910217042379</v>
      </c>
      <c r="M3426" s="5">
        <v>17542.15972125496</v>
      </c>
      <c r="N3426" s="5">
        <v>16581.915858379376</v>
      </c>
      <c r="O3426" s="5">
        <v>66253.993323243907</v>
      </c>
      <c r="P3426" s="5">
        <v>18963.234565965948</v>
      </c>
      <c r="Q3426" s="5">
        <v>30266.563414010914</v>
      </c>
      <c r="R3426" s="5">
        <v>19133.693426869788</v>
      </c>
    </row>
    <row r="3427" spans="9:18">
      <c r="I3427" s="4">
        <v>3412</v>
      </c>
      <c r="J3427" s="5">
        <v>49463.324094345015</v>
      </c>
      <c r="K3427" s="5">
        <v>14854.898507619706</v>
      </c>
      <c r="L3427" s="5">
        <v>13867.07093008449</v>
      </c>
      <c r="M3427" s="5">
        <v>23515.935489506261</v>
      </c>
      <c r="N3427" s="5">
        <v>24769.339976495565</v>
      </c>
      <c r="O3427" s="5">
        <v>13966.178986479143</v>
      </c>
      <c r="P3427" s="5">
        <v>21813.848941464526</v>
      </c>
      <c r="Q3427" s="5">
        <v>19315.033835554255</v>
      </c>
      <c r="R3427" s="5">
        <v>1535.701520095213</v>
      </c>
    </row>
    <row r="3428" spans="9:18">
      <c r="I3428" s="4">
        <v>3413</v>
      </c>
      <c r="J3428" s="5">
        <v>15130.594750069789</v>
      </c>
      <c r="K3428" s="5">
        <v>14017.262946034314</v>
      </c>
      <c r="L3428" s="5">
        <v>15651.346103181355</v>
      </c>
      <c r="M3428" s="5">
        <v>16500.222621933419</v>
      </c>
      <c r="N3428" s="5">
        <v>15130.853682762778</v>
      </c>
      <c r="O3428" s="5">
        <v>13550.031670770122</v>
      </c>
      <c r="P3428" s="5">
        <v>17737.38315098183</v>
      </c>
      <c r="Q3428" s="5">
        <v>30266.563414010914</v>
      </c>
      <c r="R3428" s="5">
        <v>9913.4206865238284</v>
      </c>
    </row>
    <row r="3429" spans="9:18">
      <c r="I3429" s="4">
        <v>3414</v>
      </c>
      <c r="J3429" s="5">
        <v>12701.339251949787</v>
      </c>
      <c r="K3429" s="5">
        <v>15428.770955406064</v>
      </c>
      <c r="L3429" s="5">
        <v>18379.634651549037</v>
      </c>
      <c r="M3429" s="5">
        <v>17116.951435661951</v>
      </c>
      <c r="N3429" s="5">
        <v>21617.945168312468</v>
      </c>
      <c r="O3429" s="5">
        <v>3171.3006415671193</v>
      </c>
      <c r="P3429" s="5">
        <v>33715.790977629549</v>
      </c>
      <c r="Q3429" s="5">
        <v>20883.852062640355</v>
      </c>
      <c r="R3429" s="5">
        <v>2180.6148629084787</v>
      </c>
    </row>
    <row r="3430" spans="9:18">
      <c r="I3430" s="4">
        <v>3415</v>
      </c>
      <c r="J3430" s="5">
        <v>21150.169973104224</v>
      </c>
      <c r="K3430" s="5">
        <v>17495.743706488822</v>
      </c>
      <c r="L3430" s="5">
        <v>15922.087958863045</v>
      </c>
      <c r="M3430" s="5">
        <v>22815.60259636537</v>
      </c>
      <c r="N3430" s="5">
        <v>51261.622558090799</v>
      </c>
      <c r="O3430" s="5">
        <v>11282.178219986479</v>
      </c>
      <c r="P3430" s="5">
        <v>55119.366528283317</v>
      </c>
      <c r="Q3430" s="5">
        <v>30495.121067047665</v>
      </c>
      <c r="R3430" s="5">
        <v>14051.647494499957</v>
      </c>
    </row>
    <row r="3431" spans="9:18">
      <c r="I3431" s="4">
        <v>3416</v>
      </c>
      <c r="J3431" s="5">
        <v>14076.209333698853</v>
      </c>
      <c r="K3431" s="5">
        <v>18218.584572172625</v>
      </c>
      <c r="L3431" s="5">
        <v>16616.161224349555</v>
      </c>
      <c r="M3431" s="5">
        <v>17542.15972125496</v>
      </c>
      <c r="N3431" s="5">
        <v>9989.086510768735</v>
      </c>
      <c r="O3431" s="5">
        <v>55264.438774006347</v>
      </c>
      <c r="P3431" s="5">
        <v>26541.896041444568</v>
      </c>
      <c r="Q3431" s="5">
        <v>16803.875627203233</v>
      </c>
      <c r="R3431" s="5">
        <v>14051.647494499957</v>
      </c>
    </row>
    <row r="3432" spans="9:18">
      <c r="I3432" s="4">
        <v>3417</v>
      </c>
      <c r="J3432" s="5">
        <v>13595.404057849493</v>
      </c>
      <c r="K3432" s="5">
        <v>21527.93129974293</v>
      </c>
      <c r="L3432" s="5">
        <v>19189.275558866306</v>
      </c>
      <c r="M3432" s="5">
        <v>19890.009981657669</v>
      </c>
      <c r="N3432" s="5">
        <v>42744.618431291936</v>
      </c>
      <c r="O3432" s="5">
        <v>16505.600261180331</v>
      </c>
      <c r="P3432" s="5">
        <v>31127.87225845682</v>
      </c>
      <c r="Q3432" s="5">
        <v>64585.328088516922</v>
      </c>
      <c r="R3432" s="5">
        <v>14079.827908007112</v>
      </c>
    </row>
    <row r="3433" spans="9:18">
      <c r="I3433" s="4">
        <v>3418</v>
      </c>
      <c r="J3433" s="5">
        <v>23517.429992060665</v>
      </c>
      <c r="K3433" s="5">
        <v>17903.387243834499</v>
      </c>
      <c r="L3433" s="5">
        <v>17482.478480142941</v>
      </c>
      <c r="M3433" s="5">
        <v>13139.022167648376</v>
      </c>
      <c r="N3433" s="5">
        <v>15130.853682762778</v>
      </c>
      <c r="O3433" s="5">
        <v>26565.882515615398</v>
      </c>
      <c r="P3433" s="5">
        <v>14316.965520592317</v>
      </c>
      <c r="Q3433" s="5">
        <v>27789.973552634947</v>
      </c>
      <c r="R3433" s="5">
        <v>54594.567438884274</v>
      </c>
    </row>
    <row r="3434" spans="9:18">
      <c r="I3434" s="4">
        <v>3419</v>
      </c>
      <c r="J3434" s="5">
        <v>15352.465904292809</v>
      </c>
      <c r="K3434" s="5">
        <v>7753.2116148734594</v>
      </c>
      <c r="L3434" s="5">
        <v>16293.265064857471</v>
      </c>
      <c r="M3434" s="5">
        <v>37411.178129764201</v>
      </c>
      <c r="N3434" s="5">
        <v>12297.015342318469</v>
      </c>
      <c r="O3434" s="5">
        <v>49114.195066822271</v>
      </c>
      <c r="P3434" s="5">
        <v>8662.4232458952465</v>
      </c>
      <c r="Q3434" s="5">
        <v>56069.347629295014</v>
      </c>
      <c r="R3434" s="5">
        <v>123773.40402252052</v>
      </c>
    </row>
    <row r="3435" spans="9:18">
      <c r="I3435" s="4">
        <v>3420</v>
      </c>
      <c r="J3435" s="5">
        <v>12452.764985867625</v>
      </c>
      <c r="K3435" s="5">
        <v>53937.689698015136</v>
      </c>
      <c r="L3435" s="5">
        <v>15300.182042823812</v>
      </c>
      <c r="M3435" s="5">
        <v>21272.00214469912</v>
      </c>
      <c r="N3435" s="5">
        <v>15251.140047572881</v>
      </c>
      <c r="O3435" s="5">
        <v>27084.483614751469</v>
      </c>
      <c r="P3435" s="5">
        <v>26126.807131356076</v>
      </c>
      <c r="Q3435" s="5">
        <v>10151.908492905288</v>
      </c>
      <c r="R3435" s="5">
        <v>14706.681111065362</v>
      </c>
    </row>
    <row r="3436" spans="9:18">
      <c r="I3436" s="4">
        <v>3421</v>
      </c>
      <c r="J3436" s="5">
        <v>16459.003095225507</v>
      </c>
      <c r="K3436" s="5">
        <v>13559.080695844099</v>
      </c>
      <c r="L3436" s="5">
        <v>17845.207337527903</v>
      </c>
      <c r="M3436" s="5">
        <v>13139.022167648376</v>
      </c>
      <c r="N3436" s="5">
        <v>25549.748582175915</v>
      </c>
      <c r="O3436" s="5">
        <v>41653.890350944224</v>
      </c>
      <c r="P3436" s="5">
        <v>34768.042801665702</v>
      </c>
      <c r="Q3436" s="5">
        <v>30495.121067047665</v>
      </c>
      <c r="R3436" s="5">
        <v>18349.337771428582</v>
      </c>
    </row>
    <row r="3437" spans="9:18">
      <c r="I3437" s="4">
        <v>3422</v>
      </c>
      <c r="J3437" s="5">
        <v>14671.176405938595</v>
      </c>
      <c r="K3437" s="5">
        <v>22732.797143159998</v>
      </c>
      <c r="L3437" s="5">
        <v>13358.459356674217</v>
      </c>
      <c r="M3437" s="5">
        <v>13616.35938654862</v>
      </c>
      <c r="N3437" s="5">
        <v>26115.05281128412</v>
      </c>
      <c r="O3437" s="5">
        <v>20991.103410982985</v>
      </c>
      <c r="P3437" s="5">
        <v>23769.190223735484</v>
      </c>
      <c r="Q3437" s="5">
        <v>37277.391668005912</v>
      </c>
      <c r="R3437" s="5">
        <v>40368.364083205248</v>
      </c>
    </row>
    <row r="3438" spans="9:18">
      <c r="I3438" s="4">
        <v>3423</v>
      </c>
      <c r="J3438" s="5">
        <v>12701.339251949787</v>
      </c>
      <c r="K3438" s="5">
        <v>14021.934268028277</v>
      </c>
      <c r="L3438" s="5">
        <v>14796.875457021113</v>
      </c>
      <c r="M3438" s="5">
        <v>11860.862376247747</v>
      </c>
      <c r="N3438" s="5">
        <v>36962.805083900916</v>
      </c>
      <c r="O3438" s="5">
        <v>66253.993323243907</v>
      </c>
      <c r="P3438" s="5">
        <v>44816.412248582856</v>
      </c>
      <c r="Q3438" s="5">
        <v>9652.8114206999071</v>
      </c>
      <c r="R3438" s="5">
        <v>51141.799458534304</v>
      </c>
    </row>
    <row r="3439" spans="9:18">
      <c r="I3439" s="4">
        <v>3424</v>
      </c>
      <c r="J3439" s="5">
        <v>15064.079707240266</v>
      </c>
      <c r="K3439" s="5">
        <v>16132.555399908759</v>
      </c>
      <c r="L3439" s="5">
        <v>27289.607394458035</v>
      </c>
      <c r="M3439" s="5">
        <v>24981.974172352908</v>
      </c>
      <c r="N3439" s="5">
        <v>17891.96347244953</v>
      </c>
      <c r="O3439" s="5">
        <v>20721.57544042755</v>
      </c>
      <c r="P3439" s="5">
        <v>45161.732159568586</v>
      </c>
      <c r="Q3439" s="5">
        <v>7457.1844090365566</v>
      </c>
      <c r="R3439" s="5">
        <v>59414.886464347241</v>
      </c>
    </row>
    <row r="3440" spans="9:18">
      <c r="I3440" s="4">
        <v>3425</v>
      </c>
      <c r="J3440" s="5">
        <v>73074.062486361407</v>
      </c>
      <c r="K3440" s="5">
        <v>15391.837334808681</v>
      </c>
      <c r="L3440" s="5">
        <v>22162.138529251199</v>
      </c>
      <c r="M3440" s="5">
        <v>33862.836621974391</v>
      </c>
      <c r="N3440" s="5">
        <v>8555.1229659096207</v>
      </c>
      <c r="O3440" s="5">
        <v>41653.890350944224</v>
      </c>
      <c r="P3440" s="5">
        <v>26126.807131356076</v>
      </c>
      <c r="Q3440" s="5">
        <v>2356.8990887111336</v>
      </c>
      <c r="R3440" s="5">
        <v>2071.5141323269809</v>
      </c>
    </row>
    <row r="3441" spans="9:18">
      <c r="I3441" s="4">
        <v>3426</v>
      </c>
      <c r="J3441" s="5">
        <v>14749.343145806102</v>
      </c>
      <c r="K3441" s="5">
        <v>32073.547537933715</v>
      </c>
      <c r="L3441" s="5">
        <v>18379.634651549037</v>
      </c>
      <c r="M3441" s="5">
        <v>22961.931350882205</v>
      </c>
      <c r="N3441" s="5">
        <v>15804.474686449519</v>
      </c>
      <c r="O3441" s="5">
        <v>49114.195066822271</v>
      </c>
      <c r="P3441" s="5">
        <v>41657.50350099193</v>
      </c>
      <c r="Q3441" s="5">
        <v>9454.5906023793759</v>
      </c>
      <c r="R3441" s="5">
        <v>3311.4906988006405</v>
      </c>
    </row>
    <row r="3442" spans="9:18">
      <c r="I3442" s="4">
        <v>3427</v>
      </c>
      <c r="J3442" s="5">
        <v>13391.049101507895</v>
      </c>
      <c r="K3442" s="5">
        <v>32294.121255311245</v>
      </c>
      <c r="L3442" s="5">
        <v>19078.910217042379</v>
      </c>
      <c r="M3442" s="5">
        <v>13065.820809359835</v>
      </c>
      <c r="N3442" s="5">
        <v>12297.015342318469</v>
      </c>
      <c r="O3442" s="5">
        <v>33720.545907536376</v>
      </c>
      <c r="P3442" s="5">
        <v>31127.87225845682</v>
      </c>
      <c r="Q3442" s="5">
        <v>53055.59182561023</v>
      </c>
      <c r="R3442" s="5">
        <v>35232.418639121184</v>
      </c>
    </row>
    <row r="3443" spans="9:18">
      <c r="I3443" s="4">
        <v>3428</v>
      </c>
      <c r="J3443" s="5">
        <v>16166.107684907736</v>
      </c>
      <c r="K3443" s="5">
        <v>14579.232378315752</v>
      </c>
      <c r="L3443" s="5">
        <v>17482.478480142941</v>
      </c>
      <c r="M3443" s="5">
        <v>26477.996319655329</v>
      </c>
      <c r="N3443" s="5">
        <v>20292.069765667391</v>
      </c>
      <c r="O3443" s="5">
        <v>27508.313315384185</v>
      </c>
      <c r="P3443" s="5">
        <v>35213.322626437533</v>
      </c>
      <c r="Q3443" s="5">
        <v>15663.43865741136</v>
      </c>
      <c r="R3443" s="5">
        <v>62674.060343500474</v>
      </c>
    </row>
    <row r="3444" spans="9:18">
      <c r="I3444" s="4">
        <v>3429</v>
      </c>
      <c r="J3444" s="5">
        <v>9405.362381917912</v>
      </c>
      <c r="K3444" s="5">
        <v>17128.860847126922</v>
      </c>
      <c r="L3444" s="5">
        <v>27144.958215276103</v>
      </c>
      <c r="M3444" s="5">
        <v>16500.222621933419</v>
      </c>
      <c r="N3444" s="5">
        <v>59876.136849941562</v>
      </c>
      <c r="O3444" s="5">
        <v>94068.324736096256</v>
      </c>
      <c r="P3444" s="5">
        <v>14376.883105731285</v>
      </c>
      <c r="Q3444" s="5">
        <v>22145.301831504508</v>
      </c>
      <c r="R3444" s="5">
        <v>62674.060343500474</v>
      </c>
    </row>
    <row r="3445" spans="9:18">
      <c r="I3445" s="4">
        <v>3430</v>
      </c>
      <c r="J3445" s="5">
        <v>14076.209333698853</v>
      </c>
      <c r="K3445" s="5">
        <v>16199.334613834633</v>
      </c>
      <c r="L3445" s="5">
        <v>15161.007794371622</v>
      </c>
      <c r="M3445" s="5">
        <v>10142.860128720422</v>
      </c>
      <c r="N3445" s="5">
        <v>40377.252444397986</v>
      </c>
      <c r="O3445" s="5">
        <v>25802.481365323994</v>
      </c>
      <c r="P3445" s="5">
        <v>28537.545734403488</v>
      </c>
      <c r="Q3445" s="5">
        <v>31855.809428519857</v>
      </c>
      <c r="R3445" s="5">
        <v>33290.909836056817</v>
      </c>
    </row>
    <row r="3446" spans="9:18">
      <c r="I3446" s="4">
        <v>3431</v>
      </c>
      <c r="J3446" s="5">
        <v>14960.076233580705</v>
      </c>
      <c r="K3446" s="5">
        <v>23327.217259521742</v>
      </c>
      <c r="L3446" s="5">
        <v>17128.574519497746</v>
      </c>
      <c r="M3446" s="5">
        <v>19042.78605337895</v>
      </c>
      <c r="N3446" s="5">
        <v>16418.492928415813</v>
      </c>
      <c r="O3446" s="5">
        <v>6199.3195463515376</v>
      </c>
      <c r="P3446" s="5">
        <v>48123.003747643132</v>
      </c>
      <c r="Q3446" s="5">
        <v>29432.473148002948</v>
      </c>
      <c r="R3446" s="5">
        <v>55106.806585409526</v>
      </c>
    </row>
    <row r="3447" spans="9:18">
      <c r="I3447" s="4">
        <v>3432</v>
      </c>
      <c r="J3447" s="5">
        <v>15786.811016780619</v>
      </c>
      <c r="K3447" s="5">
        <v>16605.655749562578</v>
      </c>
      <c r="L3447" s="5">
        <v>10896.494237357269</v>
      </c>
      <c r="M3447" s="5">
        <v>19151.339770278159</v>
      </c>
      <c r="N3447" s="5">
        <v>22010.718648995869</v>
      </c>
      <c r="O3447" s="5">
        <v>10738.305003664611</v>
      </c>
      <c r="P3447" s="5">
        <v>26541.896041444568</v>
      </c>
      <c r="Q3447" s="5">
        <v>59964.86015574776</v>
      </c>
      <c r="R3447" s="5">
        <v>123773.40402252052</v>
      </c>
    </row>
    <row r="3448" spans="9:18">
      <c r="I3448" s="4">
        <v>3433</v>
      </c>
      <c r="J3448" s="5">
        <v>14594.990625703947</v>
      </c>
      <c r="K3448" s="5">
        <v>34164.842952759042</v>
      </c>
      <c r="L3448" s="5">
        <v>15060.431658965737</v>
      </c>
      <c r="M3448" s="5">
        <v>41403.687663920646</v>
      </c>
      <c r="N3448" s="5">
        <v>20292.069765667391</v>
      </c>
      <c r="O3448" s="5">
        <v>3171.3006415671193</v>
      </c>
      <c r="P3448" s="5">
        <v>54292.749740228588</v>
      </c>
      <c r="Q3448" s="5">
        <v>25156.033327562815</v>
      </c>
      <c r="R3448" s="5">
        <v>55106.806585409526</v>
      </c>
    </row>
    <row r="3449" spans="9:18">
      <c r="I3449" s="4">
        <v>3434</v>
      </c>
      <c r="J3449" s="5">
        <v>12035.382213755307</v>
      </c>
      <c r="K3449" s="5">
        <v>7753.2116148734594</v>
      </c>
      <c r="L3449" s="5">
        <v>13867.07093008449</v>
      </c>
      <c r="M3449" s="5">
        <v>12735.841453044006</v>
      </c>
      <c r="N3449" s="5">
        <v>13511.694619545402</v>
      </c>
      <c r="O3449" s="5">
        <v>10746.295275180995</v>
      </c>
      <c r="P3449" s="5">
        <v>21813.848941464526</v>
      </c>
      <c r="Q3449" s="5">
        <v>79566.621912742485</v>
      </c>
      <c r="R3449" s="5">
        <v>81423.874800517297</v>
      </c>
    </row>
    <row r="3450" spans="9:18">
      <c r="I3450" s="4">
        <v>3435</v>
      </c>
      <c r="J3450" s="5">
        <v>29760.443016608337</v>
      </c>
      <c r="K3450" s="5">
        <v>15347.101709242541</v>
      </c>
      <c r="L3450" s="5">
        <v>15664.99858445921</v>
      </c>
      <c r="M3450" s="5">
        <v>18691.941789825862</v>
      </c>
      <c r="N3450" s="5">
        <v>35826.921212852278</v>
      </c>
      <c r="O3450" s="5">
        <v>55264.438774006347</v>
      </c>
      <c r="P3450" s="5">
        <v>23769.190223735484</v>
      </c>
      <c r="Q3450" s="5">
        <v>37073.980790337926</v>
      </c>
      <c r="R3450" s="5">
        <v>33863.04333215439</v>
      </c>
    </row>
    <row r="3451" spans="9:18">
      <c r="I3451" s="4">
        <v>3436</v>
      </c>
      <c r="J3451" s="5">
        <v>20768.286261788198</v>
      </c>
      <c r="K3451" s="5">
        <v>14017.262946034314</v>
      </c>
      <c r="L3451" s="5">
        <v>16071.260291253868</v>
      </c>
      <c r="M3451" s="5">
        <v>13139.022167648376</v>
      </c>
      <c r="N3451" s="5">
        <v>12297.015342318469</v>
      </c>
      <c r="O3451" s="5">
        <v>53504.725169095313</v>
      </c>
      <c r="P3451" s="5">
        <v>13793.886507202402</v>
      </c>
      <c r="Q3451" s="5">
        <v>43417.41805414496</v>
      </c>
      <c r="R3451" s="5">
        <v>39263.770877572199</v>
      </c>
    </row>
    <row r="3452" spans="9:18">
      <c r="I3452" s="4">
        <v>3437</v>
      </c>
      <c r="J3452" s="5">
        <v>13447.638004246244</v>
      </c>
      <c r="K3452" s="5">
        <v>16273.14570113692</v>
      </c>
      <c r="L3452" s="5">
        <v>14796.875457021113</v>
      </c>
      <c r="M3452" s="5">
        <v>29834.240613550006</v>
      </c>
      <c r="N3452" s="5">
        <v>39406.658185292261</v>
      </c>
      <c r="O3452" s="5">
        <v>25802.481365323994</v>
      </c>
      <c r="P3452" s="5">
        <v>77603.711720266961</v>
      </c>
      <c r="Q3452" s="5">
        <v>12451.066014448154</v>
      </c>
      <c r="R3452" s="5">
        <v>39788.288251916689</v>
      </c>
    </row>
    <row r="3453" spans="9:18">
      <c r="I3453" s="4">
        <v>3438</v>
      </c>
      <c r="J3453" s="5">
        <v>14017.326487344162</v>
      </c>
      <c r="K3453" s="5">
        <v>15782.544184844044</v>
      </c>
      <c r="L3453" s="5">
        <v>17311.244744664215</v>
      </c>
      <c r="M3453" s="5">
        <v>19890.009981657669</v>
      </c>
      <c r="N3453" s="5">
        <v>27833.630848857778</v>
      </c>
      <c r="O3453" s="5">
        <v>16826.763259351828</v>
      </c>
      <c r="P3453" s="5">
        <v>48123.003747643132</v>
      </c>
      <c r="Q3453" s="5">
        <v>31855.809428519857</v>
      </c>
      <c r="R3453" s="5">
        <v>7879.038918914337</v>
      </c>
    </row>
    <row r="3454" spans="9:18">
      <c r="I3454" s="4">
        <v>3439</v>
      </c>
      <c r="J3454" s="5">
        <v>22812.564910649318</v>
      </c>
      <c r="K3454" s="5">
        <v>11857.447519815871</v>
      </c>
      <c r="L3454" s="5">
        <v>17693.864646288712</v>
      </c>
      <c r="M3454" s="5">
        <v>23454.775510296178</v>
      </c>
      <c r="N3454" s="5">
        <v>21009.255892677338</v>
      </c>
      <c r="O3454" s="5">
        <v>40581.847217937895</v>
      </c>
      <c r="P3454" s="5">
        <v>44646.134934589521</v>
      </c>
      <c r="Q3454" s="5">
        <v>31618.396253255491</v>
      </c>
      <c r="R3454" s="5">
        <v>1535.701520095213</v>
      </c>
    </row>
    <row r="3455" spans="9:18">
      <c r="I3455" s="4">
        <v>3440</v>
      </c>
      <c r="J3455" s="5">
        <v>13918.242013140338</v>
      </c>
      <c r="K3455" s="5">
        <v>12423.491400404893</v>
      </c>
      <c r="L3455" s="5">
        <v>18634.523182776735</v>
      </c>
      <c r="M3455" s="5">
        <v>14217.48832834715</v>
      </c>
      <c r="N3455" s="5">
        <v>22010.718648995869</v>
      </c>
      <c r="O3455" s="5">
        <v>32474.063027682765</v>
      </c>
      <c r="P3455" s="5">
        <v>106091.28270624072</v>
      </c>
      <c r="Q3455" s="5">
        <v>22483.395143121877</v>
      </c>
      <c r="R3455" s="5">
        <v>84289.422255274636</v>
      </c>
    </row>
    <row r="3456" spans="9:18">
      <c r="I3456" s="4">
        <v>3441</v>
      </c>
      <c r="J3456" s="5">
        <v>14960.076233580705</v>
      </c>
      <c r="K3456" s="5">
        <v>15428.770955406064</v>
      </c>
      <c r="L3456" s="5">
        <v>27289.607394458035</v>
      </c>
      <c r="M3456" s="5">
        <v>23067.94260629595</v>
      </c>
      <c r="N3456" s="5">
        <v>19125.360074567652</v>
      </c>
      <c r="O3456" s="5">
        <v>20721.57544042755</v>
      </c>
      <c r="P3456" s="5">
        <v>36724.352187786957</v>
      </c>
      <c r="Q3456" s="5">
        <v>28567.61306643406</v>
      </c>
      <c r="R3456" s="5">
        <v>24831.679362998926</v>
      </c>
    </row>
    <row r="3457" spans="9:18">
      <c r="I3457" s="4">
        <v>3442</v>
      </c>
      <c r="J3457" s="5">
        <v>15786.811016780619</v>
      </c>
      <c r="K3457" s="5">
        <v>14579.232378315752</v>
      </c>
      <c r="L3457" s="5">
        <v>10896.494237357269</v>
      </c>
      <c r="M3457" s="5">
        <v>21332.072353846772</v>
      </c>
      <c r="N3457" s="5">
        <v>11788.341482962171</v>
      </c>
      <c r="O3457" s="5">
        <v>16462.170789592048</v>
      </c>
      <c r="P3457" s="5">
        <v>10532.667493814919</v>
      </c>
      <c r="Q3457" s="5">
        <v>7457.1844090365566</v>
      </c>
      <c r="R3457" s="5">
        <v>7201.7586694681067</v>
      </c>
    </row>
    <row r="3458" spans="9:18">
      <c r="I3458" s="4">
        <v>3443</v>
      </c>
      <c r="J3458" s="5">
        <v>14671.176405938595</v>
      </c>
      <c r="K3458" s="5">
        <v>35705.595198125673</v>
      </c>
      <c r="L3458" s="5">
        <v>17920.486090689363</v>
      </c>
      <c r="M3458" s="5">
        <v>21272.00214469912</v>
      </c>
      <c r="N3458" s="5">
        <v>24853.247795632611</v>
      </c>
      <c r="O3458" s="5">
        <v>16826.763259351828</v>
      </c>
      <c r="P3458" s="5">
        <v>27820.721938889761</v>
      </c>
      <c r="Q3458" s="5">
        <v>15663.43865741136</v>
      </c>
      <c r="R3458" s="5">
        <v>13258.538726001538</v>
      </c>
    </row>
    <row r="3459" spans="9:18">
      <c r="I3459" s="4">
        <v>3444</v>
      </c>
      <c r="J3459" s="5">
        <v>28169.050633834027</v>
      </c>
      <c r="K3459" s="5">
        <v>21958.925144875713</v>
      </c>
      <c r="L3459" s="5">
        <v>13023.361770761438</v>
      </c>
      <c r="M3459" s="5">
        <v>6367.5407465007311</v>
      </c>
      <c r="N3459" s="5">
        <v>8104.6265149430556</v>
      </c>
      <c r="O3459" s="5">
        <v>35865.625349531729</v>
      </c>
      <c r="P3459" s="5">
        <v>27373.102585108634</v>
      </c>
      <c r="Q3459" s="5">
        <v>22145.301831504508</v>
      </c>
      <c r="R3459" s="5">
        <v>55012.315589742022</v>
      </c>
    </row>
    <row r="3460" spans="9:18">
      <c r="I3460" s="4">
        <v>3445</v>
      </c>
      <c r="J3460" s="5">
        <v>16511.332839561353</v>
      </c>
      <c r="K3460" s="5">
        <v>11507.182177474708</v>
      </c>
      <c r="L3460" s="5">
        <v>15922.087958863045</v>
      </c>
      <c r="M3460" s="5">
        <v>7334.8610818348589</v>
      </c>
      <c r="N3460" s="5">
        <v>23043.345403059295</v>
      </c>
      <c r="O3460" s="5">
        <v>10738.305003664611</v>
      </c>
      <c r="P3460" s="5">
        <v>8877.9712092977989</v>
      </c>
      <c r="Q3460" s="5">
        <v>12451.066014448154</v>
      </c>
      <c r="R3460" s="5">
        <v>33290.909836056817</v>
      </c>
    </row>
    <row r="3461" spans="9:18">
      <c r="I3461" s="4">
        <v>3446</v>
      </c>
      <c r="J3461" s="5">
        <v>16305.770155972396</v>
      </c>
      <c r="K3461" s="5">
        <v>11507.182177474708</v>
      </c>
      <c r="L3461" s="5">
        <v>15471.738323660695</v>
      </c>
      <c r="M3461" s="5">
        <v>31554.722481137964</v>
      </c>
      <c r="N3461" s="5">
        <v>40377.252444397986</v>
      </c>
      <c r="O3461" s="5">
        <v>13613.378495715853</v>
      </c>
      <c r="P3461" s="5">
        <v>23769.190223735484</v>
      </c>
      <c r="Q3461" s="5">
        <v>11173.074396969254</v>
      </c>
      <c r="R3461" s="5">
        <v>39788.288251916689</v>
      </c>
    </row>
    <row r="3462" spans="9:18">
      <c r="I3462" s="4">
        <v>3447</v>
      </c>
      <c r="J3462" s="5">
        <v>49463.324094345015</v>
      </c>
      <c r="K3462" s="5">
        <v>14021.934268028277</v>
      </c>
      <c r="L3462" s="5">
        <v>24256.352541181568</v>
      </c>
      <c r="M3462" s="5">
        <v>23908.621352410395</v>
      </c>
      <c r="N3462" s="5">
        <v>19125.360074567652</v>
      </c>
      <c r="O3462" s="5">
        <v>36759.655306288936</v>
      </c>
      <c r="P3462" s="5">
        <v>9482.0186426688688</v>
      </c>
      <c r="Q3462" s="5">
        <v>22895.455950885695</v>
      </c>
      <c r="R3462" s="5">
        <v>5865.9802599669383</v>
      </c>
    </row>
    <row r="3463" spans="9:18">
      <c r="I3463" s="4">
        <v>3448</v>
      </c>
      <c r="J3463" s="5">
        <v>14538.277247583976</v>
      </c>
      <c r="K3463" s="5">
        <v>16674.541027260992</v>
      </c>
      <c r="L3463" s="5">
        <v>25007.552172398639</v>
      </c>
      <c r="M3463" s="5">
        <v>12426.949970383979</v>
      </c>
      <c r="N3463" s="5">
        <v>24020.875410266352</v>
      </c>
      <c r="O3463" s="5">
        <v>8121.6248378263163</v>
      </c>
      <c r="P3463" s="5">
        <v>36724.352187786957</v>
      </c>
      <c r="Q3463" s="5">
        <v>43417.41805414496</v>
      </c>
      <c r="R3463" s="5">
        <v>46004.399892616471</v>
      </c>
    </row>
    <row r="3464" spans="9:18">
      <c r="I3464" s="4">
        <v>3449</v>
      </c>
      <c r="J3464" s="5">
        <v>9368.8270679249108</v>
      </c>
      <c r="K3464" s="5">
        <v>20887.307279900142</v>
      </c>
      <c r="L3464" s="5">
        <v>14811.370758813007</v>
      </c>
      <c r="M3464" s="5">
        <v>17349.963215818931</v>
      </c>
      <c r="N3464" s="5">
        <v>21909.120225822895</v>
      </c>
      <c r="O3464" s="5">
        <v>77417.02098927302</v>
      </c>
      <c r="P3464" s="5">
        <v>9633.1652908310007</v>
      </c>
      <c r="Q3464" s="5">
        <v>37802.358878968138</v>
      </c>
      <c r="R3464" s="5">
        <v>72640.340924600489</v>
      </c>
    </row>
    <row r="3465" spans="9:18">
      <c r="I3465" s="4">
        <v>3450</v>
      </c>
      <c r="J3465" s="5">
        <v>20768.286261788198</v>
      </c>
      <c r="K3465" s="5">
        <v>11857.447519815871</v>
      </c>
      <c r="L3465" s="5">
        <v>15746.942257105531</v>
      </c>
      <c r="M3465" s="5">
        <v>22961.931350882205</v>
      </c>
      <c r="N3465" s="5">
        <v>39406.658185292261</v>
      </c>
      <c r="O3465" s="5">
        <v>19430.912633256889</v>
      </c>
      <c r="P3465" s="5">
        <v>14773.185437294762</v>
      </c>
      <c r="Q3465" s="5">
        <v>13214.632802255031</v>
      </c>
      <c r="R3465" s="5">
        <v>12116.34255245842</v>
      </c>
    </row>
    <row r="3466" spans="9:18">
      <c r="I3466" s="4">
        <v>3451</v>
      </c>
      <c r="J3466" s="5">
        <v>7855.2948890116513</v>
      </c>
      <c r="K3466" s="5">
        <v>14497.035717129334</v>
      </c>
      <c r="L3466" s="5">
        <v>16014.071850041886</v>
      </c>
      <c r="M3466" s="5">
        <v>13616.35938654862</v>
      </c>
      <c r="N3466" s="5">
        <v>24020.875410266352</v>
      </c>
      <c r="O3466" s="5">
        <v>21930.527973988665</v>
      </c>
      <c r="P3466" s="5">
        <v>18862.487147419793</v>
      </c>
      <c r="Q3466" s="5">
        <v>37073.980790337926</v>
      </c>
      <c r="R3466" s="5">
        <v>33863.04333215439</v>
      </c>
    </row>
    <row r="3467" spans="9:18">
      <c r="I3467" s="4">
        <v>3452</v>
      </c>
      <c r="J3467" s="5">
        <v>16166.107684907736</v>
      </c>
      <c r="K3467" s="5">
        <v>19467.955014411935</v>
      </c>
      <c r="L3467" s="5">
        <v>17482.478480142941</v>
      </c>
      <c r="M3467" s="5">
        <v>19262.243095117232</v>
      </c>
      <c r="N3467" s="5">
        <v>39406.658185292261</v>
      </c>
      <c r="O3467" s="5">
        <v>10738.305003664611</v>
      </c>
      <c r="P3467" s="5">
        <v>46514.467673254068</v>
      </c>
      <c r="Q3467" s="5">
        <v>47365.380972950254</v>
      </c>
      <c r="R3467" s="5">
        <v>2180.6148629084787</v>
      </c>
    </row>
    <row r="3468" spans="9:18">
      <c r="I3468" s="4">
        <v>3453</v>
      </c>
      <c r="J3468" s="5">
        <v>28214.771032351968</v>
      </c>
      <c r="K3468" s="5">
        <v>56656.842992470461</v>
      </c>
      <c r="L3468" s="5">
        <v>10896.494237357269</v>
      </c>
      <c r="M3468" s="5">
        <v>30785.663999045999</v>
      </c>
      <c r="N3468" s="5">
        <v>16418.492928415813</v>
      </c>
      <c r="O3468" s="5">
        <v>25644.588869829797</v>
      </c>
      <c r="P3468" s="5">
        <v>16574.429708560569</v>
      </c>
      <c r="Q3468" s="5">
        <v>17234.335939857254</v>
      </c>
      <c r="R3468" s="5">
        <v>7394.6358885760465</v>
      </c>
    </row>
    <row r="3469" spans="9:18">
      <c r="I3469" s="4">
        <v>3454</v>
      </c>
      <c r="J3469" s="5">
        <v>13391.049101507895</v>
      </c>
      <c r="K3469" s="5">
        <v>16873.752266014431</v>
      </c>
      <c r="L3469" s="5">
        <v>17243.440968229323</v>
      </c>
      <c r="M3469" s="5">
        <v>18816.787977140237</v>
      </c>
      <c r="N3469" s="5">
        <v>23998.040874392525</v>
      </c>
      <c r="O3469" s="5">
        <v>41800.463215706819</v>
      </c>
      <c r="P3469" s="5">
        <v>3831.1492650071077</v>
      </c>
      <c r="Q3469" s="5">
        <v>79566.621912742485</v>
      </c>
      <c r="R3469" s="5">
        <v>39727.513802035661</v>
      </c>
    </row>
    <row r="3470" spans="9:18">
      <c r="I3470" s="4">
        <v>3455</v>
      </c>
      <c r="J3470" s="5">
        <v>15081.728672246438</v>
      </c>
      <c r="K3470" s="5">
        <v>15631.937142257386</v>
      </c>
      <c r="L3470" s="5">
        <v>19078.910217042379</v>
      </c>
      <c r="M3470" s="5">
        <v>16510.442870615672</v>
      </c>
      <c r="N3470" s="5">
        <v>39406.658185292261</v>
      </c>
      <c r="O3470" s="5">
        <v>32474.063027682765</v>
      </c>
      <c r="P3470" s="5">
        <v>13793.886507202402</v>
      </c>
      <c r="Q3470" s="5">
        <v>68168.482468129529</v>
      </c>
      <c r="R3470" s="5">
        <v>55106.806585409526</v>
      </c>
    </row>
    <row r="3471" spans="9:18">
      <c r="I3471" s="4">
        <v>3456</v>
      </c>
      <c r="J3471" s="5">
        <v>13841.207384998772</v>
      </c>
      <c r="K3471" s="5">
        <v>15391.837334808681</v>
      </c>
      <c r="L3471" s="5">
        <v>13023.361770761438</v>
      </c>
      <c r="M3471" s="5">
        <v>11860.862376247747</v>
      </c>
      <c r="N3471" s="5">
        <v>16148.901635865295</v>
      </c>
      <c r="O3471" s="5">
        <v>40581.847217937895</v>
      </c>
      <c r="P3471" s="5">
        <v>10733.318076105543</v>
      </c>
      <c r="Q3471" s="5">
        <v>9138.5169630896526</v>
      </c>
      <c r="R3471" s="5">
        <v>8130.5639219412278</v>
      </c>
    </row>
    <row r="3472" spans="9:18">
      <c r="I3472" s="4">
        <v>3457</v>
      </c>
      <c r="J3472" s="5">
        <v>14420.293087375476</v>
      </c>
      <c r="K3472" s="5">
        <v>16952.949313901812</v>
      </c>
      <c r="L3472" s="5">
        <v>23760.785349782636</v>
      </c>
      <c r="M3472" s="5">
        <v>41698.977215629871</v>
      </c>
      <c r="N3472" s="5">
        <v>18367.429489032103</v>
      </c>
      <c r="O3472" s="5">
        <v>51330.340277512776</v>
      </c>
      <c r="P3472" s="5">
        <v>18862.487147419793</v>
      </c>
      <c r="Q3472" s="5">
        <v>17493.456269945855</v>
      </c>
      <c r="R3472" s="5">
        <v>93933.045103013996</v>
      </c>
    </row>
    <row r="3473" spans="9:18">
      <c r="I3473" s="4">
        <v>3458</v>
      </c>
      <c r="J3473" s="5">
        <v>11854.381651026555</v>
      </c>
      <c r="K3473" s="5">
        <v>34164.842952759042</v>
      </c>
      <c r="L3473" s="5">
        <v>15359.132481533357</v>
      </c>
      <c r="M3473" s="5">
        <v>11860.862376247747</v>
      </c>
      <c r="N3473" s="5">
        <v>29468.83360104046</v>
      </c>
      <c r="O3473" s="5">
        <v>49114.195066822271</v>
      </c>
      <c r="P3473" s="5">
        <v>33715.790977629549</v>
      </c>
      <c r="Q3473" s="5">
        <v>73941.636731325911</v>
      </c>
      <c r="R3473" s="5">
        <v>6681.1887184356683</v>
      </c>
    </row>
    <row r="3474" spans="9:18">
      <c r="I3474" s="4">
        <v>3459</v>
      </c>
      <c r="J3474" s="5">
        <v>13663.281817546009</v>
      </c>
      <c r="K3474" s="5">
        <v>43843.85059185313</v>
      </c>
      <c r="L3474" s="5">
        <v>16017.890956041876</v>
      </c>
      <c r="M3474" s="5">
        <v>12987.517521908694</v>
      </c>
      <c r="N3474" s="5">
        <v>25549.748582175915</v>
      </c>
      <c r="O3474" s="5">
        <v>20721.57544042755</v>
      </c>
      <c r="P3474" s="5">
        <v>18862.487147419793</v>
      </c>
      <c r="Q3474" s="5">
        <v>6386.5227360487288</v>
      </c>
      <c r="R3474" s="5">
        <v>8720.6503563381029</v>
      </c>
    </row>
    <row r="3475" spans="9:18">
      <c r="I3475" s="4">
        <v>3460</v>
      </c>
      <c r="J3475" s="5">
        <v>7855.2948890116513</v>
      </c>
      <c r="K3475" s="5">
        <v>11857.447519815871</v>
      </c>
      <c r="L3475" s="5">
        <v>19078.910217042379</v>
      </c>
      <c r="M3475" s="5">
        <v>23454.775510296178</v>
      </c>
      <c r="N3475" s="5">
        <v>23043.345403059295</v>
      </c>
      <c r="O3475" s="5">
        <v>13550.031670770122</v>
      </c>
      <c r="P3475" s="5">
        <v>8877.9712092977989</v>
      </c>
      <c r="Q3475" s="5">
        <v>11928.872068442162</v>
      </c>
      <c r="R3475" s="5">
        <v>55106.806585409526</v>
      </c>
    </row>
    <row r="3476" spans="9:18">
      <c r="I3476" s="4">
        <v>3461</v>
      </c>
      <c r="J3476" s="5">
        <v>14344.692898101612</v>
      </c>
      <c r="K3476" s="5">
        <v>7753.2116148734594</v>
      </c>
      <c r="L3476" s="5">
        <v>14316.474075738101</v>
      </c>
      <c r="M3476" s="5">
        <v>19430.369425783585</v>
      </c>
      <c r="N3476" s="5">
        <v>27833.630848857778</v>
      </c>
      <c r="O3476" s="5">
        <v>31172.963108652857</v>
      </c>
      <c r="P3476" s="5">
        <v>9965.8330787532959</v>
      </c>
      <c r="Q3476" s="5">
        <v>53055.59182561023</v>
      </c>
      <c r="R3476" s="5">
        <v>6681.1887184356683</v>
      </c>
    </row>
    <row r="3477" spans="9:18">
      <c r="I3477" s="4">
        <v>3462</v>
      </c>
      <c r="J3477" s="5">
        <v>12701.339251949787</v>
      </c>
      <c r="K3477" s="5">
        <v>13288.692555879701</v>
      </c>
      <c r="L3477" s="5">
        <v>17845.207337527903</v>
      </c>
      <c r="M3477" s="5">
        <v>13011.820191946215</v>
      </c>
      <c r="N3477" s="5">
        <v>63974.903847153939</v>
      </c>
      <c r="O3477" s="5">
        <v>11282.178219986479</v>
      </c>
      <c r="P3477" s="5">
        <v>9482.0186426688688</v>
      </c>
      <c r="Q3477" s="5">
        <v>16591.881190929333</v>
      </c>
      <c r="R3477" s="5">
        <v>24831.679362998926</v>
      </c>
    </row>
    <row r="3478" spans="9:18">
      <c r="I3478" s="4">
        <v>3463</v>
      </c>
      <c r="J3478" s="5">
        <v>34933.039312618188</v>
      </c>
      <c r="K3478" s="5">
        <v>16873.752266014431</v>
      </c>
      <c r="L3478" s="5">
        <v>13358.459356674217</v>
      </c>
      <c r="M3478" s="5">
        <v>23913.435663027711</v>
      </c>
      <c r="N3478" s="5">
        <v>26152.705108198839</v>
      </c>
      <c r="O3478" s="5">
        <v>42492.261063288854</v>
      </c>
      <c r="P3478" s="5">
        <v>12992.105410393709</v>
      </c>
      <c r="Q3478" s="5">
        <v>30495.121067047665</v>
      </c>
      <c r="R3478" s="5">
        <v>3989.7956692889929</v>
      </c>
    </row>
    <row r="3479" spans="9:18">
      <c r="I3479" s="4">
        <v>3464</v>
      </c>
      <c r="J3479" s="5">
        <v>14710.037865351254</v>
      </c>
      <c r="K3479" s="5">
        <v>7753.2116148734594</v>
      </c>
      <c r="L3479" s="5">
        <v>18379.634651549037</v>
      </c>
      <c r="M3479" s="5">
        <v>37411.178129764201</v>
      </c>
      <c r="N3479" s="5">
        <v>28426.778914975595</v>
      </c>
      <c r="O3479" s="5">
        <v>20930.098352661731</v>
      </c>
      <c r="P3479" s="5">
        <v>77603.711720266961</v>
      </c>
      <c r="Q3479" s="5">
        <v>9454.5906023793759</v>
      </c>
      <c r="R3479" s="5">
        <v>90296.353221228885</v>
      </c>
    </row>
    <row r="3480" spans="9:18">
      <c r="I3480" s="4">
        <v>3465</v>
      </c>
      <c r="J3480" s="5">
        <v>16416.142496463777</v>
      </c>
      <c r="K3480" s="5">
        <v>6949.5708823216592</v>
      </c>
      <c r="L3480" s="5">
        <v>13622.976145621742</v>
      </c>
      <c r="M3480" s="5">
        <v>23908.621352410395</v>
      </c>
      <c r="N3480" s="5">
        <v>26115.05281128412</v>
      </c>
      <c r="O3480" s="5">
        <v>26268.613803794757</v>
      </c>
      <c r="P3480" s="5">
        <v>9965.8330787532959</v>
      </c>
      <c r="Q3480" s="5">
        <v>9645.8788061228515</v>
      </c>
      <c r="R3480" s="5">
        <v>14079.827908007112</v>
      </c>
    </row>
    <row r="3481" spans="9:18">
      <c r="I3481" s="4">
        <v>3466</v>
      </c>
      <c r="J3481" s="5">
        <v>12035.382213755307</v>
      </c>
      <c r="K3481" s="5">
        <v>14587.813833513306</v>
      </c>
      <c r="L3481" s="5">
        <v>13867.07093008449</v>
      </c>
      <c r="M3481" s="5">
        <v>21833.004790208965</v>
      </c>
      <c r="N3481" s="5">
        <v>9209.4418830788036</v>
      </c>
      <c r="O3481" s="5">
        <v>20930.098352661731</v>
      </c>
      <c r="P3481" s="5">
        <v>22601.57564624758</v>
      </c>
      <c r="Q3481" s="5">
        <v>52421.574537857021</v>
      </c>
      <c r="R3481" s="5">
        <v>5865.9802599669383</v>
      </c>
    </row>
    <row r="3482" spans="9:18">
      <c r="I3482" s="4">
        <v>3467</v>
      </c>
      <c r="J3482" s="5">
        <v>9405.362381917912</v>
      </c>
      <c r="K3482" s="5">
        <v>30552.499930043898</v>
      </c>
      <c r="L3482" s="5">
        <v>14316.474075738101</v>
      </c>
      <c r="M3482" s="5">
        <v>12987.517521908694</v>
      </c>
      <c r="N3482" s="5">
        <v>16148.901635865295</v>
      </c>
      <c r="O3482" s="5">
        <v>19430.912633256889</v>
      </c>
      <c r="P3482" s="5">
        <v>9811.9720599964548</v>
      </c>
      <c r="Q3482" s="5">
        <v>28776.080424849053</v>
      </c>
      <c r="R3482" s="5">
        <v>12116.34255245842</v>
      </c>
    </row>
    <row r="3483" spans="9:18">
      <c r="I3483" s="4">
        <v>3468</v>
      </c>
      <c r="J3483" s="5">
        <v>14344.692898101612</v>
      </c>
      <c r="K3483" s="5">
        <v>11403.533194020869</v>
      </c>
      <c r="L3483" s="5">
        <v>14364.472927446199</v>
      </c>
      <c r="M3483" s="5">
        <v>13642.678686731051</v>
      </c>
      <c r="N3483" s="5">
        <v>11788.341482962171</v>
      </c>
      <c r="O3483" s="5">
        <v>19492.655596593511</v>
      </c>
      <c r="P3483" s="5">
        <v>18862.487147419793</v>
      </c>
      <c r="Q3483" s="5">
        <v>7457.1844090365566</v>
      </c>
      <c r="R3483" s="5">
        <v>18230.645544621442</v>
      </c>
    </row>
    <row r="3484" spans="9:18">
      <c r="I3484" s="4">
        <v>3469</v>
      </c>
      <c r="J3484" s="5">
        <v>26634.853073396614</v>
      </c>
      <c r="K3484" s="5">
        <v>53937.689698015136</v>
      </c>
      <c r="L3484" s="5">
        <v>22319.409576580376</v>
      </c>
      <c r="M3484" s="5">
        <v>32497.510405113037</v>
      </c>
      <c r="N3484" s="5">
        <v>18410.937863650517</v>
      </c>
      <c r="O3484" s="5">
        <v>27503.656957929088</v>
      </c>
      <c r="P3484" s="5">
        <v>12639.596794453437</v>
      </c>
      <c r="Q3484" s="5">
        <v>68168.482468129529</v>
      </c>
      <c r="R3484" s="5">
        <v>59414.886464347241</v>
      </c>
    </row>
    <row r="3485" spans="9:18">
      <c r="I3485" s="4">
        <v>3470</v>
      </c>
      <c r="J3485" s="5">
        <v>33627.941293959229</v>
      </c>
      <c r="K3485" s="5">
        <v>35488.449387009874</v>
      </c>
      <c r="L3485" s="5">
        <v>25389.332759288587</v>
      </c>
      <c r="M3485" s="5">
        <v>13139.022167648376</v>
      </c>
      <c r="N3485" s="5">
        <v>32184.535272543482</v>
      </c>
      <c r="O3485" s="5">
        <v>13840.304699955392</v>
      </c>
      <c r="P3485" s="5">
        <v>12992.105410393709</v>
      </c>
      <c r="Q3485" s="5">
        <v>70295.978314632754</v>
      </c>
      <c r="R3485" s="5">
        <v>40368.364083205248</v>
      </c>
    </row>
    <row r="3486" spans="9:18">
      <c r="I3486" s="4">
        <v>3471</v>
      </c>
      <c r="J3486" s="5">
        <v>73074.062486361407</v>
      </c>
      <c r="K3486" s="5">
        <v>15487.124352801369</v>
      </c>
      <c r="L3486" s="5">
        <v>15764.107424863063</v>
      </c>
      <c r="M3486" s="5">
        <v>25580.243606220469</v>
      </c>
      <c r="N3486" s="5">
        <v>9209.4418830788036</v>
      </c>
      <c r="O3486" s="5">
        <v>26565.882515615398</v>
      </c>
      <c r="P3486" s="5">
        <v>49519.098753410741</v>
      </c>
      <c r="Q3486" s="5">
        <v>35525.432376048877</v>
      </c>
      <c r="R3486" s="5">
        <v>14079.827908007112</v>
      </c>
    </row>
    <row r="3487" spans="9:18">
      <c r="I3487" s="4">
        <v>3472</v>
      </c>
      <c r="J3487" s="5">
        <v>12701.339251949787</v>
      </c>
      <c r="K3487" s="5">
        <v>30552.499930043898</v>
      </c>
      <c r="L3487" s="5">
        <v>16014.071850041886</v>
      </c>
      <c r="M3487" s="5">
        <v>12619.198742021435</v>
      </c>
      <c r="N3487" s="5">
        <v>22735.120948269971</v>
      </c>
      <c r="O3487" s="5">
        <v>4231.3144655921506</v>
      </c>
      <c r="P3487" s="5">
        <v>40377.463755170742</v>
      </c>
      <c r="Q3487" s="5">
        <v>11928.872068442162</v>
      </c>
      <c r="R3487" s="5">
        <v>12116.34255245842</v>
      </c>
    </row>
    <row r="3488" spans="9:18">
      <c r="I3488" s="4">
        <v>3473</v>
      </c>
      <c r="J3488" s="5">
        <v>34933.039312618188</v>
      </c>
      <c r="K3488" s="5">
        <v>16934.093371663999</v>
      </c>
      <c r="L3488" s="5">
        <v>27289.607394458035</v>
      </c>
      <c r="M3488" s="5">
        <v>23454.775510296178</v>
      </c>
      <c r="N3488" s="5">
        <v>24020.875410266352</v>
      </c>
      <c r="O3488" s="5">
        <v>20489.622805425737</v>
      </c>
      <c r="P3488" s="5">
        <v>12992.105410393709</v>
      </c>
      <c r="Q3488" s="5">
        <v>35525.432376048877</v>
      </c>
      <c r="R3488" s="5">
        <v>55012.315589742022</v>
      </c>
    </row>
    <row r="3489" spans="9:18">
      <c r="I3489" s="4">
        <v>3474</v>
      </c>
      <c r="J3489" s="5">
        <v>9405.362381917912</v>
      </c>
      <c r="K3489" s="5">
        <v>11206.053243692098</v>
      </c>
      <c r="L3489" s="5">
        <v>18810.091753970282</v>
      </c>
      <c r="M3489" s="5">
        <v>14432.283063351901</v>
      </c>
      <c r="N3489" s="5">
        <v>23043.345403059295</v>
      </c>
      <c r="O3489" s="5">
        <v>30876.675913171162</v>
      </c>
      <c r="P3489" s="5">
        <v>35569.894390728325</v>
      </c>
      <c r="Q3489" s="5">
        <v>92068.726035424203</v>
      </c>
      <c r="R3489" s="5">
        <v>29295.938844292672</v>
      </c>
    </row>
    <row r="3490" spans="9:18">
      <c r="I3490" s="4">
        <v>3475</v>
      </c>
      <c r="J3490" s="5">
        <v>17005.744061105343</v>
      </c>
      <c r="K3490" s="5">
        <v>53937.689698015136</v>
      </c>
      <c r="L3490" s="5">
        <v>19224.583269019437</v>
      </c>
      <c r="M3490" s="5">
        <v>20229.919588372999</v>
      </c>
      <c r="N3490" s="5">
        <v>22010.718648995869</v>
      </c>
      <c r="O3490" s="5">
        <v>53028.643350899503</v>
      </c>
      <c r="P3490" s="5">
        <v>34814.458119125498</v>
      </c>
      <c r="Q3490" s="5">
        <v>3909.239690544402</v>
      </c>
      <c r="R3490" s="5">
        <v>14706.681111065362</v>
      </c>
    </row>
    <row r="3491" spans="9:18">
      <c r="I3491" s="4">
        <v>3476</v>
      </c>
      <c r="J3491" s="5">
        <v>11116.191595722205</v>
      </c>
      <c r="K3491" s="5">
        <v>95171.967522309933</v>
      </c>
      <c r="L3491" s="5">
        <v>16577.562442697115</v>
      </c>
      <c r="M3491" s="5">
        <v>17116.951435661951</v>
      </c>
      <c r="N3491" s="5">
        <v>11684.605182472778</v>
      </c>
      <c r="O3491" s="5">
        <v>40304.23053285561</v>
      </c>
      <c r="P3491" s="5">
        <v>13452.921824087563</v>
      </c>
      <c r="Q3491" s="5">
        <v>18097.768262249352</v>
      </c>
      <c r="R3491" s="5">
        <v>6360.7905155660001</v>
      </c>
    </row>
    <row r="3492" spans="9:18">
      <c r="I3492" s="4">
        <v>3477</v>
      </c>
      <c r="J3492" s="5">
        <v>43272.831879770602</v>
      </c>
      <c r="K3492" s="5">
        <v>16132.555399908759</v>
      </c>
      <c r="L3492" s="5">
        <v>18215.751370765771</v>
      </c>
      <c r="M3492" s="5">
        <v>13414.385151739983</v>
      </c>
      <c r="N3492" s="5">
        <v>39672.376281023731</v>
      </c>
      <c r="O3492" s="5">
        <v>55264.438774006347</v>
      </c>
      <c r="P3492" s="5">
        <v>3930.0915591834291</v>
      </c>
      <c r="Q3492" s="5">
        <v>9138.5169630896526</v>
      </c>
      <c r="R3492" s="5">
        <v>14706.681111065362</v>
      </c>
    </row>
    <row r="3493" spans="9:18">
      <c r="I3493" s="4">
        <v>3478</v>
      </c>
      <c r="J3493" s="5">
        <v>15623.733864199699</v>
      </c>
      <c r="K3493" s="5">
        <v>18218.584572172625</v>
      </c>
      <c r="L3493" s="5">
        <v>16106.634875163341</v>
      </c>
      <c r="M3493" s="5">
        <v>15202.972920708273</v>
      </c>
      <c r="N3493" s="5">
        <v>27833.630848857778</v>
      </c>
      <c r="O3493" s="5">
        <v>30656.031716467984</v>
      </c>
      <c r="P3493" s="5">
        <v>8877.9712092977989</v>
      </c>
      <c r="Q3493" s="5">
        <v>10151.908492905288</v>
      </c>
      <c r="R3493" s="5">
        <v>72561.496699005787</v>
      </c>
    </row>
    <row r="3494" spans="9:18">
      <c r="I3494" s="4">
        <v>3479</v>
      </c>
      <c r="J3494" s="5">
        <v>15623.733864199699</v>
      </c>
      <c r="K3494" s="5">
        <v>22732.797143159998</v>
      </c>
      <c r="L3494" s="5">
        <v>14691.846656953887</v>
      </c>
      <c r="M3494" s="5">
        <v>10142.860128720422</v>
      </c>
      <c r="N3494" s="5">
        <v>51261.622558090799</v>
      </c>
      <c r="O3494" s="5">
        <v>10270.120415297655</v>
      </c>
      <c r="P3494" s="5">
        <v>54100.778483493887</v>
      </c>
      <c r="Q3494" s="5">
        <v>13865.641566869812</v>
      </c>
      <c r="R3494" s="5">
        <v>19133.693426869788</v>
      </c>
    </row>
    <row r="3495" spans="9:18">
      <c r="I3495" s="4">
        <v>3480</v>
      </c>
      <c r="J3495" s="5">
        <v>21888.821432026474</v>
      </c>
      <c r="K3495" s="5">
        <v>16081.362509465702</v>
      </c>
      <c r="L3495" s="5">
        <v>16017.890956041876</v>
      </c>
      <c r="M3495" s="5">
        <v>29058.117767351498</v>
      </c>
      <c r="N3495" s="5">
        <v>11604.12831603515</v>
      </c>
      <c r="O3495" s="5">
        <v>16505.600261180331</v>
      </c>
      <c r="P3495" s="5">
        <v>10966.822219855034</v>
      </c>
      <c r="Q3495" s="5">
        <v>8502.450657922871</v>
      </c>
      <c r="R3495" s="5">
        <v>24831.679362998926</v>
      </c>
    </row>
    <row r="3496" spans="9:18">
      <c r="I3496" s="4">
        <v>3481</v>
      </c>
      <c r="J3496" s="5">
        <v>23517.429992060665</v>
      </c>
      <c r="K3496" s="5">
        <v>9739.7813029644258</v>
      </c>
      <c r="L3496" s="5">
        <v>16451.333928028147</v>
      </c>
      <c r="M3496" s="5">
        <v>16001.653036457456</v>
      </c>
      <c r="N3496" s="5">
        <v>9989.086510768735</v>
      </c>
      <c r="O3496" s="5">
        <v>26268.613803794757</v>
      </c>
      <c r="P3496" s="5">
        <v>38024.168395914428</v>
      </c>
      <c r="Q3496" s="5">
        <v>79566.621912742485</v>
      </c>
      <c r="R3496" s="5">
        <v>18720.450716365784</v>
      </c>
    </row>
    <row r="3497" spans="9:18">
      <c r="I3497" s="4">
        <v>3482</v>
      </c>
      <c r="J3497" s="5">
        <v>15081.728672246438</v>
      </c>
      <c r="K3497" s="5">
        <v>14095.75230105142</v>
      </c>
      <c r="L3497" s="5">
        <v>16616.161224349555</v>
      </c>
      <c r="M3497" s="5">
        <v>12619.198742021435</v>
      </c>
      <c r="N3497" s="5">
        <v>15658.063692994532</v>
      </c>
      <c r="O3497" s="5">
        <v>15124.35050053727</v>
      </c>
      <c r="P3497" s="5">
        <v>13452.921824087563</v>
      </c>
      <c r="Q3497" s="5">
        <v>13865.641566869812</v>
      </c>
      <c r="R3497" s="5">
        <v>91403.228438796665</v>
      </c>
    </row>
    <row r="3498" spans="9:18">
      <c r="I3498" s="4">
        <v>3483</v>
      </c>
      <c r="J3498" s="5">
        <v>15873.12561080002</v>
      </c>
      <c r="K3498" s="5">
        <v>17903.387243834499</v>
      </c>
      <c r="L3498" s="5">
        <v>15651.346103181355</v>
      </c>
      <c r="M3498" s="5">
        <v>29041.83725675238</v>
      </c>
      <c r="N3498" s="5">
        <v>24769.339976495565</v>
      </c>
      <c r="O3498" s="5">
        <v>10746.295275180995</v>
      </c>
      <c r="P3498" s="5">
        <v>9482.0186426688688</v>
      </c>
      <c r="Q3498" s="5">
        <v>59134.059519022907</v>
      </c>
      <c r="R3498" s="5">
        <v>13258.538726001538</v>
      </c>
    </row>
    <row r="3499" spans="9:18">
      <c r="I3499" s="4">
        <v>3484</v>
      </c>
      <c r="J3499" s="5">
        <v>19467.17453557903</v>
      </c>
      <c r="K3499" s="5">
        <v>21527.93129974293</v>
      </c>
      <c r="L3499" s="5">
        <v>19189.275558866306</v>
      </c>
      <c r="M3499" s="5">
        <v>23913.435663027711</v>
      </c>
      <c r="N3499" s="5">
        <v>20558.672182394013</v>
      </c>
      <c r="O3499" s="5">
        <v>27062.73412298776</v>
      </c>
      <c r="P3499" s="5">
        <v>22708.601480587709</v>
      </c>
      <c r="Q3499" s="5">
        <v>20883.852062640355</v>
      </c>
      <c r="R3499" s="5">
        <v>93933.045103013996</v>
      </c>
    </row>
    <row r="3500" spans="9:18">
      <c r="I3500" s="4">
        <v>3485</v>
      </c>
      <c r="J3500" s="5">
        <v>12701.339251949787</v>
      </c>
      <c r="K3500" s="5">
        <v>14021.934268028277</v>
      </c>
      <c r="L3500" s="5">
        <v>27144.958215276103</v>
      </c>
      <c r="M3500" s="5">
        <v>15346.383801976139</v>
      </c>
      <c r="N3500" s="5">
        <v>17811.114014514766</v>
      </c>
      <c r="O3500" s="5">
        <v>20930.098352661731</v>
      </c>
      <c r="P3500" s="5">
        <v>32167.874670939738</v>
      </c>
      <c r="Q3500" s="5">
        <v>2356.8990887111336</v>
      </c>
      <c r="R3500" s="5">
        <v>8720.6503563381029</v>
      </c>
    </row>
    <row r="3501" spans="9:18">
      <c r="I3501" s="4">
        <v>3486</v>
      </c>
      <c r="J3501" s="5">
        <v>14344.692898101612</v>
      </c>
      <c r="K3501" s="5">
        <v>24728.095385476983</v>
      </c>
      <c r="L3501" s="5">
        <v>16472.138192556791</v>
      </c>
      <c r="M3501" s="5">
        <v>9623.0342442006167</v>
      </c>
      <c r="N3501" s="5">
        <v>26115.05281128412</v>
      </c>
      <c r="O3501" s="5">
        <v>15124.35050053727</v>
      </c>
      <c r="P3501" s="5">
        <v>74840.036182179319</v>
      </c>
      <c r="Q3501" s="5">
        <v>18097.768262249352</v>
      </c>
      <c r="R3501" s="5">
        <v>17304.847214362417</v>
      </c>
    </row>
    <row r="3502" spans="9:18">
      <c r="I3502" s="4">
        <v>3487</v>
      </c>
      <c r="J3502" s="5">
        <v>11036.461796239426</v>
      </c>
      <c r="K3502" s="5">
        <v>14095.75230105142</v>
      </c>
      <c r="L3502" s="5">
        <v>10752.183901283248</v>
      </c>
      <c r="M3502" s="5">
        <v>30830.81083227017</v>
      </c>
      <c r="N3502" s="5">
        <v>11751.639947035985</v>
      </c>
      <c r="O3502" s="5">
        <v>13550.031670770122</v>
      </c>
      <c r="P3502" s="5">
        <v>8069.5385577067918</v>
      </c>
      <c r="Q3502" s="5">
        <v>19541.409060825732</v>
      </c>
      <c r="R3502" s="5">
        <v>87776.138236389699</v>
      </c>
    </row>
    <row r="3503" spans="9:18">
      <c r="I3503" s="4">
        <v>3488</v>
      </c>
      <c r="J3503" s="5">
        <v>19048.674633640545</v>
      </c>
      <c r="K3503" s="5">
        <v>24728.095385476983</v>
      </c>
      <c r="L3503" s="5">
        <v>19078.910217042379</v>
      </c>
      <c r="M3503" s="5">
        <v>26477.996319655329</v>
      </c>
      <c r="N3503" s="5">
        <v>11635.644856128632</v>
      </c>
      <c r="O3503" s="5">
        <v>41800.463215706819</v>
      </c>
      <c r="P3503" s="5">
        <v>54100.778483493887</v>
      </c>
      <c r="Q3503" s="5">
        <v>13099.063525342741</v>
      </c>
      <c r="R3503" s="5">
        <v>34970.397641695177</v>
      </c>
    </row>
    <row r="3504" spans="9:18">
      <c r="I3504" s="4">
        <v>3489</v>
      </c>
      <c r="J3504" s="5">
        <v>21150.169973104224</v>
      </c>
      <c r="K3504" s="5">
        <v>11403.533194020869</v>
      </c>
      <c r="L3504" s="5">
        <v>14264.23790876064</v>
      </c>
      <c r="M3504" s="5">
        <v>23908.621352410395</v>
      </c>
      <c r="N3504" s="5">
        <v>18367.429489032103</v>
      </c>
      <c r="O3504" s="5">
        <v>77417.02098927302</v>
      </c>
      <c r="P3504" s="5">
        <v>48123.003747643132</v>
      </c>
      <c r="Q3504" s="5">
        <v>59964.86015574776</v>
      </c>
      <c r="R3504" s="5">
        <v>27349.63499959607</v>
      </c>
    </row>
    <row r="3505" spans="9:18">
      <c r="I3505" s="4">
        <v>3490</v>
      </c>
      <c r="J3505" s="5">
        <v>16305.770155972396</v>
      </c>
      <c r="K3505" s="5">
        <v>17128.860847126922</v>
      </c>
      <c r="L3505" s="5">
        <v>14691.846656953887</v>
      </c>
      <c r="M3505" s="5">
        <v>20185.026038758231</v>
      </c>
      <c r="N3505" s="5">
        <v>23283.854578052265</v>
      </c>
      <c r="O3505" s="5">
        <v>11282.178219986479</v>
      </c>
      <c r="P3505" s="5">
        <v>106091.28270624072</v>
      </c>
      <c r="Q3505" s="5">
        <v>19541.409060825732</v>
      </c>
      <c r="R3505" s="5">
        <v>16039.216896723072</v>
      </c>
    </row>
    <row r="3506" spans="9:18">
      <c r="I3506" s="4">
        <v>3491</v>
      </c>
      <c r="J3506" s="5">
        <v>15623.733864199699</v>
      </c>
      <c r="K3506" s="5">
        <v>15782.544184844044</v>
      </c>
      <c r="L3506" s="5">
        <v>10896.494237357269</v>
      </c>
      <c r="M3506" s="5">
        <v>23515.935489506261</v>
      </c>
      <c r="N3506" s="5">
        <v>14921.795973817481</v>
      </c>
      <c r="O3506" s="5">
        <v>40581.847217937895</v>
      </c>
      <c r="P3506" s="5">
        <v>3017.2887813579896</v>
      </c>
      <c r="Q3506" s="5">
        <v>37497.234505125656</v>
      </c>
      <c r="R3506" s="5">
        <v>7952.6989268572033</v>
      </c>
    </row>
    <row r="3507" spans="9:18">
      <c r="I3507" s="4">
        <v>3492</v>
      </c>
      <c r="J3507" s="5">
        <v>15081.728672246438</v>
      </c>
      <c r="K3507" s="5">
        <v>12777.667398488715</v>
      </c>
      <c r="L3507" s="5">
        <v>34748.877779456467</v>
      </c>
      <c r="M3507" s="5">
        <v>15586.009710351766</v>
      </c>
      <c r="N3507" s="5">
        <v>17811.114014514766</v>
      </c>
      <c r="O3507" s="5">
        <v>83458.030763693328</v>
      </c>
      <c r="P3507" s="5">
        <v>27452.975716953504</v>
      </c>
      <c r="Q3507" s="5">
        <v>9138.5169630896526</v>
      </c>
      <c r="R3507" s="5">
        <v>7394.6358885760465</v>
      </c>
    </row>
    <row r="3508" spans="9:18">
      <c r="I3508" s="4">
        <v>3493</v>
      </c>
      <c r="J3508" s="5">
        <v>16544.73779470181</v>
      </c>
      <c r="K3508" s="5">
        <v>16199.334613834633</v>
      </c>
      <c r="L3508" s="5">
        <v>15471.738323660695</v>
      </c>
      <c r="M3508" s="5">
        <v>26477.996319655329</v>
      </c>
      <c r="N3508" s="5">
        <v>11684.605182472778</v>
      </c>
      <c r="O3508" s="5">
        <v>5444.7598502623823</v>
      </c>
      <c r="P3508" s="5">
        <v>9965.8330787532959</v>
      </c>
      <c r="Q3508" s="5">
        <v>13865.641566869812</v>
      </c>
      <c r="R3508" s="5">
        <v>7394.6358885760465</v>
      </c>
    </row>
    <row r="3509" spans="9:18">
      <c r="I3509" s="4">
        <v>3494</v>
      </c>
      <c r="J3509" s="5">
        <v>13841.207384998772</v>
      </c>
      <c r="K3509" s="5">
        <v>30552.499930043898</v>
      </c>
      <c r="L3509" s="5">
        <v>15471.738323660695</v>
      </c>
      <c r="M3509" s="5">
        <v>20041.623430301417</v>
      </c>
      <c r="N3509" s="5">
        <v>32184.535272543482</v>
      </c>
      <c r="O3509" s="5">
        <v>25604.597681740845</v>
      </c>
      <c r="P3509" s="5">
        <v>20403.656304140692</v>
      </c>
      <c r="Q3509" s="5">
        <v>4631.7430487757983</v>
      </c>
      <c r="R3509" s="5">
        <v>16039.216896723072</v>
      </c>
    </row>
    <row r="3510" spans="9:18">
      <c r="I3510" s="4">
        <v>3495</v>
      </c>
      <c r="J3510" s="5">
        <v>19121.054099180623</v>
      </c>
      <c r="K3510" s="5">
        <v>15051.330276415061</v>
      </c>
      <c r="L3510" s="5">
        <v>15060.431658965737</v>
      </c>
      <c r="M3510" s="5">
        <v>24981.974172352908</v>
      </c>
      <c r="N3510" s="5">
        <v>57711.498171893618</v>
      </c>
      <c r="O3510" s="5">
        <v>8801.3667015774663</v>
      </c>
      <c r="P3510" s="5">
        <v>38024.168395914428</v>
      </c>
      <c r="Q3510" s="5">
        <v>148345.62878828164</v>
      </c>
      <c r="R3510" s="5">
        <v>59414.886464347241</v>
      </c>
    </row>
    <row r="3511" spans="9:18">
      <c r="I3511" s="4">
        <v>3496</v>
      </c>
      <c r="J3511" s="5">
        <v>45301.532027110363</v>
      </c>
      <c r="K3511" s="5">
        <v>21958.925144875713</v>
      </c>
      <c r="L3511" s="5">
        <v>17128.574519497746</v>
      </c>
      <c r="M3511" s="5">
        <v>22961.931350882205</v>
      </c>
      <c r="N3511" s="5">
        <v>23583.581287126868</v>
      </c>
      <c r="O3511" s="5">
        <v>27062.73412298776</v>
      </c>
      <c r="P3511" s="5">
        <v>20403.656304140692</v>
      </c>
      <c r="Q3511" s="5">
        <v>22145.301831504508</v>
      </c>
      <c r="R3511" s="5">
        <v>96845.299789249824</v>
      </c>
    </row>
    <row r="3512" spans="9:18">
      <c r="I3512" s="4">
        <v>3497</v>
      </c>
      <c r="J3512" s="5">
        <v>21150.169973104224</v>
      </c>
      <c r="K3512" s="5">
        <v>21527.93129974293</v>
      </c>
      <c r="L3512" s="5">
        <v>16106.634875163341</v>
      </c>
      <c r="M3512" s="5">
        <v>19042.78605337895</v>
      </c>
      <c r="N3512" s="5">
        <v>14921.795973817481</v>
      </c>
      <c r="O3512" s="5">
        <v>26565.882515615398</v>
      </c>
      <c r="P3512" s="5">
        <v>13452.921824087563</v>
      </c>
      <c r="Q3512" s="5">
        <v>13214.632802255031</v>
      </c>
      <c r="R3512" s="5">
        <v>17991.870496434763</v>
      </c>
    </row>
    <row r="3513" spans="9:18">
      <c r="I3513" s="4">
        <v>3498</v>
      </c>
      <c r="J3513" s="5">
        <v>11036.461796239426</v>
      </c>
      <c r="K3513" s="5">
        <v>13559.080695844099</v>
      </c>
      <c r="L3513" s="5">
        <v>17920.486090689363</v>
      </c>
      <c r="M3513" s="5">
        <v>16842.379179328669</v>
      </c>
      <c r="N3513" s="5">
        <v>11684.605182472778</v>
      </c>
      <c r="O3513" s="5">
        <v>32474.063027682765</v>
      </c>
      <c r="P3513" s="5">
        <v>45161.732159568586</v>
      </c>
      <c r="Q3513" s="5">
        <v>9138.5169630896526</v>
      </c>
      <c r="R3513" s="5">
        <v>10885.018205103002</v>
      </c>
    </row>
    <row r="3514" spans="9:18">
      <c r="I3514" s="4">
        <v>3499</v>
      </c>
      <c r="J3514" s="5">
        <v>15623.733864199699</v>
      </c>
      <c r="K3514" s="5">
        <v>35705.595198125673</v>
      </c>
      <c r="L3514" s="5">
        <v>11827.803406885578</v>
      </c>
      <c r="M3514" s="5">
        <v>13139.022167648376</v>
      </c>
      <c r="N3514" s="5">
        <v>23008.246229813707</v>
      </c>
      <c r="O3514" s="5">
        <v>28431.436490368542</v>
      </c>
      <c r="P3514" s="5">
        <v>21039.927746191301</v>
      </c>
      <c r="Q3514" s="5">
        <v>59964.86015574776</v>
      </c>
      <c r="R3514" s="5">
        <v>31715.273557891396</v>
      </c>
    </row>
    <row r="3515" spans="9:18">
      <c r="I3515" s="4">
        <v>3500</v>
      </c>
      <c r="J3515" s="5">
        <v>22370.105711697011</v>
      </c>
      <c r="K3515" s="5">
        <v>14095.75230105142</v>
      </c>
      <c r="L3515" s="5">
        <v>20698.842353987733</v>
      </c>
      <c r="M3515" s="5">
        <v>18043.539897080744</v>
      </c>
      <c r="N3515" s="5">
        <v>17891.96347244953</v>
      </c>
      <c r="O3515" s="5">
        <v>35286.662852302201</v>
      </c>
      <c r="P3515" s="5">
        <v>5735.6883097179207</v>
      </c>
      <c r="Q3515" s="5">
        <v>64585.328088516922</v>
      </c>
      <c r="R3515" s="5">
        <v>12116.34255245842</v>
      </c>
    </row>
    <row r="3516" spans="9:18">
      <c r="I3516" s="4">
        <v>3501</v>
      </c>
      <c r="J3516" s="5">
        <v>12452.764985867625</v>
      </c>
      <c r="K3516" s="5">
        <v>37822.375317881044</v>
      </c>
      <c r="L3516" s="5">
        <v>15746.942257105531</v>
      </c>
      <c r="M3516" s="5">
        <v>20229.919588372999</v>
      </c>
      <c r="N3516" s="5">
        <v>17811.114014514766</v>
      </c>
      <c r="O3516" s="5">
        <v>27508.313315384185</v>
      </c>
      <c r="P3516" s="5">
        <v>6275.8915673055426</v>
      </c>
      <c r="Q3516" s="5">
        <v>22483.395143121877</v>
      </c>
      <c r="R3516" s="5">
        <v>7952.6989268572033</v>
      </c>
    </row>
    <row r="3517" spans="9:18">
      <c r="I3517" s="4">
        <v>3502</v>
      </c>
      <c r="J3517" s="5">
        <v>17592.832480262863</v>
      </c>
      <c r="K3517" s="5">
        <v>15631.937142257386</v>
      </c>
      <c r="L3517" s="5">
        <v>17693.864646288712</v>
      </c>
      <c r="M3517" s="5">
        <v>9623.0342442006167</v>
      </c>
      <c r="N3517" s="5">
        <v>24020.875410266352</v>
      </c>
      <c r="O3517" s="5">
        <v>30656.031716467984</v>
      </c>
      <c r="P3517" s="5">
        <v>13793.886507202402</v>
      </c>
      <c r="Q3517" s="5">
        <v>22895.455950885695</v>
      </c>
      <c r="R3517" s="5">
        <v>86510.608303273053</v>
      </c>
    </row>
    <row r="3518" spans="9:18">
      <c r="I3518" s="4">
        <v>3503</v>
      </c>
      <c r="J3518" s="5">
        <v>17679.321624063952</v>
      </c>
      <c r="K3518" s="5">
        <v>12777.667398488715</v>
      </c>
      <c r="L3518" s="5">
        <v>14364.472927446199</v>
      </c>
      <c r="M3518" s="5">
        <v>23515.935489506261</v>
      </c>
      <c r="N3518" s="5">
        <v>12523.573732460784</v>
      </c>
      <c r="O3518" s="5">
        <v>40942.522561879181</v>
      </c>
      <c r="P3518" s="5">
        <v>27820.721938889761</v>
      </c>
      <c r="Q3518" s="5">
        <v>31974.553851773013</v>
      </c>
      <c r="R3518" s="5">
        <v>261393.32711858812</v>
      </c>
    </row>
    <row r="3519" spans="9:18">
      <c r="I3519" s="4">
        <v>3504</v>
      </c>
      <c r="J3519" s="5">
        <v>12452.764985867625</v>
      </c>
      <c r="K3519" s="5">
        <v>21218.439146892688</v>
      </c>
      <c r="L3519" s="5">
        <v>14146.191653372813</v>
      </c>
      <c r="M3519" s="5">
        <v>23913.435663027711</v>
      </c>
      <c r="N3519" s="5">
        <v>28426.778914975595</v>
      </c>
      <c r="O3519" s="5">
        <v>30656.031716467984</v>
      </c>
      <c r="P3519" s="5">
        <v>14773.185437294762</v>
      </c>
      <c r="Q3519" s="5">
        <v>14064.158297039334</v>
      </c>
      <c r="R3519" s="5">
        <v>19133.693426869788</v>
      </c>
    </row>
    <row r="3520" spans="9:18">
      <c r="I3520" s="4">
        <v>3505</v>
      </c>
      <c r="J3520" s="5">
        <v>22370.105711697011</v>
      </c>
      <c r="K3520" s="5">
        <v>16873.752266014431</v>
      </c>
      <c r="L3520" s="5">
        <v>27289.607394458035</v>
      </c>
      <c r="M3520" s="5">
        <v>23454.775510296178</v>
      </c>
      <c r="N3520" s="5">
        <v>32184.535272543482</v>
      </c>
      <c r="O3520" s="5">
        <v>4231.3144655921506</v>
      </c>
      <c r="P3520" s="5">
        <v>26126.807131356076</v>
      </c>
      <c r="Q3520" s="5">
        <v>64585.328088516922</v>
      </c>
      <c r="R3520" s="5">
        <v>7784.2246210242874</v>
      </c>
    </row>
    <row r="3521" spans="9:18">
      <c r="I3521" s="4">
        <v>3506</v>
      </c>
      <c r="J3521" s="5">
        <v>16156.372629961115</v>
      </c>
      <c r="K3521" s="5">
        <v>17903.387243834499</v>
      </c>
      <c r="L3521" s="5">
        <v>15300.182042823812</v>
      </c>
      <c r="M3521" s="5">
        <v>32497.510405113037</v>
      </c>
      <c r="N3521" s="5">
        <v>35826.921212852278</v>
      </c>
      <c r="O3521" s="5">
        <v>13117.417685535194</v>
      </c>
      <c r="P3521" s="5">
        <v>44646.134934589521</v>
      </c>
      <c r="Q3521" s="5">
        <v>31855.809428519857</v>
      </c>
      <c r="R3521" s="5">
        <v>8720.6503563381029</v>
      </c>
    </row>
    <row r="3522" spans="9:18">
      <c r="I3522" s="4">
        <v>3507</v>
      </c>
      <c r="J3522" s="5">
        <v>11854.381651026555</v>
      </c>
      <c r="K3522" s="5">
        <v>16934.093371663999</v>
      </c>
      <c r="L3522" s="5">
        <v>17578.712723867691</v>
      </c>
      <c r="M3522" s="5">
        <v>14660.631931099009</v>
      </c>
      <c r="N3522" s="5">
        <v>13745.376566850549</v>
      </c>
      <c r="O3522" s="5">
        <v>16826.763259351828</v>
      </c>
      <c r="P3522" s="5">
        <v>8662.4232458952465</v>
      </c>
      <c r="Q3522" s="5">
        <v>37497.234505125656</v>
      </c>
      <c r="R3522" s="5">
        <v>72561.496699005787</v>
      </c>
    </row>
    <row r="3523" spans="9:18">
      <c r="I3523" s="4">
        <v>3508</v>
      </c>
      <c r="J3523" s="5">
        <v>15417.870921574262</v>
      </c>
      <c r="K3523" s="5">
        <v>15698.764831033119</v>
      </c>
      <c r="L3523" s="5">
        <v>16017.890956041876</v>
      </c>
      <c r="M3523" s="5">
        <v>21072.983263501868</v>
      </c>
      <c r="N3523" s="5">
        <v>17891.96347244953</v>
      </c>
      <c r="O3523" s="5">
        <v>51330.340277512776</v>
      </c>
      <c r="P3523" s="5">
        <v>77603.711720266961</v>
      </c>
      <c r="Q3523" s="5">
        <v>35525.432376048877</v>
      </c>
      <c r="R3523" s="5">
        <v>29295.938844292672</v>
      </c>
    </row>
    <row r="3524" spans="9:18">
      <c r="I3524" s="4">
        <v>3509</v>
      </c>
      <c r="J3524" s="5">
        <v>14538.277247583976</v>
      </c>
      <c r="K3524" s="5">
        <v>35705.595198125673</v>
      </c>
      <c r="L3524" s="5">
        <v>17128.574519497746</v>
      </c>
      <c r="M3524" s="5">
        <v>25580.243606220469</v>
      </c>
      <c r="N3524" s="5">
        <v>9989.086510768735</v>
      </c>
      <c r="O3524" s="5">
        <v>59207.798737851255</v>
      </c>
      <c r="P3524" s="5">
        <v>16574.429708560569</v>
      </c>
      <c r="Q3524" s="5">
        <v>52421.574537857021</v>
      </c>
      <c r="R3524" s="5">
        <v>17687.533637716911</v>
      </c>
    </row>
    <row r="3525" spans="9:18">
      <c r="I3525" s="4">
        <v>3510</v>
      </c>
      <c r="J3525" s="5">
        <v>22812.564910649318</v>
      </c>
      <c r="K3525" s="5">
        <v>21187.174639714212</v>
      </c>
      <c r="L3525" s="5">
        <v>19224.583269019437</v>
      </c>
      <c r="M3525" s="5">
        <v>19097.39635881727</v>
      </c>
      <c r="N3525" s="5">
        <v>21617.945168312468</v>
      </c>
      <c r="O3525" s="5">
        <v>14371.728352806511</v>
      </c>
      <c r="P3525" s="5">
        <v>3017.2887813579896</v>
      </c>
      <c r="Q3525" s="5">
        <v>48866.209623168346</v>
      </c>
      <c r="R3525" s="5">
        <v>12194.45251033065</v>
      </c>
    </row>
    <row r="3526" spans="9:18">
      <c r="I3526" s="4">
        <v>3511</v>
      </c>
      <c r="J3526" s="5">
        <v>16788.081681455456</v>
      </c>
      <c r="K3526" s="5">
        <v>16081.362509465702</v>
      </c>
      <c r="L3526" s="5">
        <v>11827.803406885578</v>
      </c>
      <c r="M3526" s="5">
        <v>19433.64679949253</v>
      </c>
      <c r="N3526" s="5">
        <v>21617.945168312468</v>
      </c>
      <c r="O3526" s="5">
        <v>55264.438774006347</v>
      </c>
      <c r="P3526" s="5">
        <v>8662.4232458952465</v>
      </c>
      <c r="Q3526" s="5">
        <v>20987.925664394581</v>
      </c>
      <c r="R3526" s="5">
        <v>5865.9802599669383</v>
      </c>
    </row>
    <row r="3527" spans="9:18">
      <c r="I3527" s="4">
        <v>3512</v>
      </c>
      <c r="J3527" s="5">
        <v>31053.540961463306</v>
      </c>
      <c r="K3527" s="5">
        <v>19467.955014411935</v>
      </c>
      <c r="L3527" s="5">
        <v>25389.332759288587</v>
      </c>
      <c r="M3527" s="5">
        <v>22961.931350882205</v>
      </c>
      <c r="N3527" s="5">
        <v>9209.4418830788036</v>
      </c>
      <c r="O3527" s="5">
        <v>26565.882515615398</v>
      </c>
      <c r="P3527" s="5">
        <v>5836.7810663002319</v>
      </c>
      <c r="Q3527" s="5">
        <v>37497.234505125656</v>
      </c>
      <c r="R3527" s="5">
        <v>10885.018205103002</v>
      </c>
    </row>
    <row r="3528" spans="9:18">
      <c r="I3528" s="4">
        <v>3513</v>
      </c>
      <c r="J3528" s="5">
        <v>13391.049101507895</v>
      </c>
      <c r="K3528" s="5">
        <v>12777.667398488715</v>
      </c>
      <c r="L3528" s="5">
        <v>14610.165745300763</v>
      </c>
      <c r="M3528" s="5">
        <v>15202.972920708273</v>
      </c>
      <c r="N3528" s="5">
        <v>51261.622558090799</v>
      </c>
      <c r="O3528" s="5">
        <v>13519.384207850644</v>
      </c>
      <c r="P3528" s="5">
        <v>54292.749740228588</v>
      </c>
      <c r="Q3528" s="5">
        <v>47365.380972950254</v>
      </c>
      <c r="R3528" s="5">
        <v>50287.76786557267</v>
      </c>
    </row>
    <row r="3529" spans="9:18">
      <c r="I3529" s="4">
        <v>3514</v>
      </c>
      <c r="J3529" s="5">
        <v>17592.832480262863</v>
      </c>
      <c r="K3529" s="5">
        <v>23327.217259521742</v>
      </c>
      <c r="L3529" s="5">
        <v>16577.562442697115</v>
      </c>
      <c r="M3529" s="5">
        <v>19151.339770278159</v>
      </c>
      <c r="N3529" s="5">
        <v>13909.728487455486</v>
      </c>
      <c r="O3529" s="5">
        <v>15936.062371781712</v>
      </c>
      <c r="P3529" s="5">
        <v>16072.735485912413</v>
      </c>
      <c r="Q3529" s="5">
        <v>73941.636731325911</v>
      </c>
      <c r="R3529" s="5">
        <v>55012.315589742022</v>
      </c>
    </row>
    <row r="3530" spans="9:18">
      <c r="I3530" s="4">
        <v>3515</v>
      </c>
      <c r="J3530" s="5">
        <v>43272.831879770602</v>
      </c>
      <c r="K3530" s="5">
        <v>23543.914024953676</v>
      </c>
      <c r="L3530" s="5">
        <v>16293.265064857471</v>
      </c>
      <c r="M3530" s="5">
        <v>16842.379179328669</v>
      </c>
      <c r="N3530" s="5">
        <v>26152.705108198839</v>
      </c>
      <c r="O3530" s="5">
        <v>13966.178986479143</v>
      </c>
      <c r="P3530" s="5">
        <v>14773.185437294762</v>
      </c>
      <c r="Q3530" s="5">
        <v>28567.61306643406</v>
      </c>
      <c r="R3530" s="5">
        <v>8720.6503563381029</v>
      </c>
    </row>
    <row r="3531" spans="9:18">
      <c r="I3531" s="4">
        <v>3516</v>
      </c>
      <c r="J3531" s="5">
        <v>11854.381651026555</v>
      </c>
      <c r="K3531" s="5">
        <v>26110.948843472826</v>
      </c>
      <c r="L3531" s="5">
        <v>21428.663623484812</v>
      </c>
      <c r="M3531" s="5">
        <v>21332.072353846772</v>
      </c>
      <c r="N3531" s="5">
        <v>23043.345403059295</v>
      </c>
      <c r="O3531" s="5">
        <v>8801.3667015774663</v>
      </c>
      <c r="P3531" s="5">
        <v>66904.018529955298</v>
      </c>
      <c r="Q3531" s="5">
        <v>13865.641566869812</v>
      </c>
      <c r="R3531" s="5">
        <v>13258.538726001538</v>
      </c>
    </row>
    <row r="3532" spans="9:18">
      <c r="I3532" s="4">
        <v>3517</v>
      </c>
      <c r="J3532" s="5">
        <v>9405.362381917912</v>
      </c>
      <c r="K3532" s="5">
        <v>14611.618478071941</v>
      </c>
      <c r="L3532" s="5">
        <v>19224.583269019437</v>
      </c>
      <c r="M3532" s="5">
        <v>17542.15972125496</v>
      </c>
      <c r="N3532" s="5">
        <v>28426.778914975595</v>
      </c>
      <c r="O3532" s="5">
        <v>10746.295275180995</v>
      </c>
      <c r="P3532" s="5">
        <v>13452.921824087563</v>
      </c>
      <c r="Q3532" s="5">
        <v>92068.726035424203</v>
      </c>
      <c r="R3532" s="5">
        <v>24831.679362998926</v>
      </c>
    </row>
    <row r="3533" spans="9:18">
      <c r="I3533" s="4">
        <v>3518</v>
      </c>
      <c r="J3533" s="5">
        <v>16166.107684907736</v>
      </c>
      <c r="K3533" s="5">
        <v>18086.448513145526</v>
      </c>
      <c r="L3533" s="5">
        <v>14316.474075738101</v>
      </c>
      <c r="M3533" s="5">
        <v>31554.722481137964</v>
      </c>
      <c r="N3533" s="5">
        <v>26152.705108198839</v>
      </c>
      <c r="O3533" s="5">
        <v>59207.798737851255</v>
      </c>
      <c r="P3533" s="5">
        <v>54100.778483493887</v>
      </c>
      <c r="Q3533" s="5">
        <v>37101.531383212743</v>
      </c>
      <c r="R3533" s="5">
        <v>216919.53009911609</v>
      </c>
    </row>
    <row r="3534" spans="9:18">
      <c r="I3534" s="4">
        <v>3519</v>
      </c>
      <c r="J3534" s="5">
        <v>16416.142496463777</v>
      </c>
      <c r="K3534" s="5">
        <v>32294.121255311245</v>
      </c>
      <c r="L3534" s="5">
        <v>16293.265064857471</v>
      </c>
      <c r="M3534" s="5">
        <v>13011.820191946215</v>
      </c>
      <c r="N3534" s="5">
        <v>18367.429489032103</v>
      </c>
      <c r="O3534" s="5">
        <v>26565.882515615398</v>
      </c>
      <c r="P3534" s="5">
        <v>14327.191387816954</v>
      </c>
      <c r="Q3534" s="5">
        <v>79566.621912742485</v>
      </c>
      <c r="R3534" s="5">
        <v>1535.701520095213</v>
      </c>
    </row>
    <row r="3535" spans="9:18">
      <c r="I3535" s="4">
        <v>3520</v>
      </c>
      <c r="J3535" s="5">
        <v>20768.286261788198</v>
      </c>
      <c r="K3535" s="5">
        <v>24728.095385476983</v>
      </c>
      <c r="L3535" s="5">
        <v>16777.996633299583</v>
      </c>
      <c r="M3535" s="5">
        <v>22961.931350882205</v>
      </c>
      <c r="N3535" s="5">
        <v>42744.618431291936</v>
      </c>
      <c r="O3535" s="5">
        <v>30656.031716467984</v>
      </c>
      <c r="P3535" s="5">
        <v>12992.105410393709</v>
      </c>
      <c r="Q3535" s="5">
        <v>28776.080424849053</v>
      </c>
      <c r="R3535" s="5">
        <v>182942.88598316166</v>
      </c>
    </row>
    <row r="3536" spans="9:18">
      <c r="I3536" s="4">
        <v>3521</v>
      </c>
      <c r="J3536" s="5">
        <v>34933.039312618188</v>
      </c>
      <c r="K3536" s="5">
        <v>15051.330276415061</v>
      </c>
      <c r="L3536" s="5">
        <v>14264.23790876064</v>
      </c>
      <c r="M3536" s="5">
        <v>12426.949970383979</v>
      </c>
      <c r="N3536" s="5">
        <v>14335.478134989447</v>
      </c>
      <c r="O3536" s="5">
        <v>24258.192244316608</v>
      </c>
      <c r="P3536" s="5">
        <v>41657.50350099193</v>
      </c>
      <c r="Q3536" s="5">
        <v>13214.632802255031</v>
      </c>
      <c r="R3536" s="5">
        <v>18230.645544621442</v>
      </c>
    </row>
    <row r="3537" spans="9:18">
      <c r="I3537" s="4">
        <v>3522</v>
      </c>
      <c r="J3537" s="5">
        <v>14420.293087375476</v>
      </c>
      <c r="K3537" s="5">
        <v>14497.035717129334</v>
      </c>
      <c r="L3537" s="5">
        <v>22162.138529251199</v>
      </c>
      <c r="M3537" s="5">
        <v>7334.8610818348589</v>
      </c>
      <c r="N3537" s="5">
        <v>27833.630848857778</v>
      </c>
      <c r="O3537" s="5">
        <v>53007.660727727191</v>
      </c>
      <c r="P3537" s="5">
        <v>34814.458119125498</v>
      </c>
      <c r="Q3537" s="5">
        <v>44911.749632594299</v>
      </c>
      <c r="R3537" s="5">
        <v>26783.439354489365</v>
      </c>
    </row>
    <row r="3538" spans="9:18">
      <c r="I3538" s="4">
        <v>3523</v>
      </c>
      <c r="J3538" s="5">
        <v>16088.430030489333</v>
      </c>
      <c r="K3538" s="5">
        <v>15428.770955406064</v>
      </c>
      <c r="L3538" s="5">
        <v>22018.381599979773</v>
      </c>
      <c r="M3538" s="5">
        <v>18177.175180585615</v>
      </c>
      <c r="N3538" s="5">
        <v>13511.694619545402</v>
      </c>
      <c r="O3538" s="5">
        <v>55264.438774006347</v>
      </c>
      <c r="P3538" s="5">
        <v>48123.003747643132</v>
      </c>
      <c r="Q3538" s="5">
        <v>37101.531383212743</v>
      </c>
      <c r="R3538" s="5">
        <v>12116.34255245842</v>
      </c>
    </row>
    <row r="3539" spans="9:18">
      <c r="I3539" s="4">
        <v>3524</v>
      </c>
      <c r="J3539" s="5">
        <v>49463.324094345015</v>
      </c>
      <c r="K3539" s="5">
        <v>16873.752266014431</v>
      </c>
      <c r="L3539" s="5">
        <v>34748.877779456467</v>
      </c>
      <c r="M3539" s="5">
        <v>16510.442870615672</v>
      </c>
      <c r="N3539" s="5">
        <v>17811.114014514766</v>
      </c>
      <c r="O3539" s="5">
        <v>20930.098352661731</v>
      </c>
      <c r="P3539" s="5">
        <v>17737.38315098183</v>
      </c>
      <c r="Q3539" s="5">
        <v>11928.872068442162</v>
      </c>
      <c r="R3539" s="5">
        <v>59414.886464347241</v>
      </c>
    </row>
    <row r="3540" spans="9:18">
      <c r="I3540" s="4">
        <v>3525</v>
      </c>
      <c r="J3540" s="5">
        <v>20002.201347927807</v>
      </c>
      <c r="K3540" s="5">
        <v>14674.169276244838</v>
      </c>
      <c r="L3540" s="5">
        <v>14610.165745300763</v>
      </c>
      <c r="M3540" s="5">
        <v>12426.949970383979</v>
      </c>
      <c r="N3540" s="5">
        <v>11604.12831603515</v>
      </c>
      <c r="O3540" s="5">
        <v>27062.73412298776</v>
      </c>
      <c r="P3540" s="5">
        <v>17737.38315098183</v>
      </c>
      <c r="Q3540" s="5">
        <v>59134.059519022907</v>
      </c>
      <c r="R3540" s="5">
        <v>33290.909836056817</v>
      </c>
    </row>
    <row r="3541" spans="9:18">
      <c r="I3541" s="4">
        <v>3526</v>
      </c>
      <c r="J3541" s="5">
        <v>7855.2948890116513</v>
      </c>
      <c r="K3541" s="5">
        <v>7753.2116148734594</v>
      </c>
      <c r="L3541" s="5">
        <v>16071.260291253868</v>
      </c>
      <c r="M3541" s="5">
        <v>21833.004790208965</v>
      </c>
      <c r="N3541" s="5">
        <v>36962.805083900916</v>
      </c>
      <c r="O3541" s="5">
        <v>25802.481365323994</v>
      </c>
      <c r="P3541" s="5">
        <v>35213.322626437533</v>
      </c>
      <c r="Q3541" s="5">
        <v>37802.358878968138</v>
      </c>
      <c r="R3541" s="5">
        <v>20236.767651156802</v>
      </c>
    </row>
    <row r="3542" spans="9:18">
      <c r="I3542" s="4">
        <v>3527</v>
      </c>
      <c r="J3542" s="5">
        <v>28214.771032351968</v>
      </c>
      <c r="K3542" s="5">
        <v>21527.93129974293</v>
      </c>
      <c r="L3542" s="5">
        <v>21954.536591034263</v>
      </c>
      <c r="M3542" s="5">
        <v>23908.621352410395</v>
      </c>
      <c r="N3542" s="5">
        <v>13745.376566850549</v>
      </c>
      <c r="O3542" s="5">
        <v>31172.963108652857</v>
      </c>
      <c r="P3542" s="5">
        <v>10733.318076105543</v>
      </c>
      <c r="Q3542" s="5">
        <v>15623.622662102793</v>
      </c>
      <c r="R3542" s="5">
        <v>123773.40402252052</v>
      </c>
    </row>
    <row r="3543" spans="9:18">
      <c r="I3543" s="4">
        <v>3528</v>
      </c>
      <c r="J3543" s="5">
        <v>14750.660273177687</v>
      </c>
      <c r="K3543" s="5">
        <v>53937.689698015136</v>
      </c>
      <c r="L3543" s="5">
        <v>15664.99858445921</v>
      </c>
      <c r="M3543" s="5">
        <v>19890.009981657669</v>
      </c>
      <c r="N3543" s="5">
        <v>19225.139878706803</v>
      </c>
      <c r="O3543" s="5">
        <v>15124.35050053727</v>
      </c>
      <c r="P3543" s="5">
        <v>63015.124693769802</v>
      </c>
      <c r="Q3543" s="5">
        <v>8880.8074399558282</v>
      </c>
      <c r="R3543" s="5">
        <v>72640.340924600489</v>
      </c>
    </row>
    <row r="3544" spans="9:18">
      <c r="I3544" s="4">
        <v>3529</v>
      </c>
      <c r="J3544" s="5">
        <v>17592.832480262863</v>
      </c>
      <c r="K3544" s="5">
        <v>16674.541027260992</v>
      </c>
      <c r="L3544" s="5">
        <v>13867.07093008449</v>
      </c>
      <c r="M3544" s="5">
        <v>16842.379179328669</v>
      </c>
      <c r="N3544" s="5">
        <v>23998.040874392525</v>
      </c>
      <c r="O3544" s="5">
        <v>25604.597681740845</v>
      </c>
      <c r="P3544" s="5">
        <v>27820.721938889761</v>
      </c>
      <c r="Q3544" s="5">
        <v>9138.5169630896526</v>
      </c>
      <c r="R3544" s="5">
        <v>35232.418639121184</v>
      </c>
    </row>
    <row r="3545" spans="9:18">
      <c r="I3545" s="4">
        <v>3530</v>
      </c>
      <c r="J3545" s="5">
        <v>12035.382213755307</v>
      </c>
      <c r="K3545" s="5">
        <v>53937.689698015136</v>
      </c>
      <c r="L3545" s="5">
        <v>17578.712723867691</v>
      </c>
      <c r="M3545" s="5">
        <v>23454.775510296178</v>
      </c>
      <c r="N3545" s="5">
        <v>23008.246229813707</v>
      </c>
      <c r="O3545" s="5">
        <v>16524.769946939996</v>
      </c>
      <c r="P3545" s="5">
        <v>6275.8915673055426</v>
      </c>
      <c r="Q3545" s="5">
        <v>56069.347629295014</v>
      </c>
      <c r="R3545" s="5">
        <v>39788.288251916689</v>
      </c>
    </row>
    <row r="3546" spans="9:18">
      <c r="I3546" s="4">
        <v>3531</v>
      </c>
      <c r="J3546" s="5">
        <v>14344.692898101612</v>
      </c>
      <c r="K3546" s="5">
        <v>13331.01856102917</v>
      </c>
      <c r="L3546" s="5">
        <v>15664.99858445921</v>
      </c>
      <c r="M3546" s="5">
        <v>12987.517521908694</v>
      </c>
      <c r="N3546" s="5">
        <v>11788.341482962171</v>
      </c>
      <c r="O3546" s="5">
        <v>41800.463215706819</v>
      </c>
      <c r="P3546" s="5">
        <v>33715.790977629549</v>
      </c>
      <c r="Q3546" s="5">
        <v>8502.450657922871</v>
      </c>
      <c r="R3546" s="5">
        <v>38898.713625068609</v>
      </c>
    </row>
    <row r="3547" spans="9:18">
      <c r="I3547" s="4">
        <v>3532</v>
      </c>
      <c r="J3547" s="5">
        <v>45301.532027110363</v>
      </c>
      <c r="K3547" s="5">
        <v>14136.873097602549</v>
      </c>
      <c r="L3547" s="5">
        <v>16616.161224349555</v>
      </c>
      <c r="M3547" s="5">
        <v>19151.339770278159</v>
      </c>
      <c r="N3547" s="5">
        <v>17891.96347244953</v>
      </c>
      <c r="O3547" s="5">
        <v>9320.7026593487881</v>
      </c>
      <c r="P3547" s="5">
        <v>5836.7810663002319</v>
      </c>
      <c r="Q3547" s="5">
        <v>37277.391668005912</v>
      </c>
      <c r="R3547" s="5">
        <v>1535.701520095213</v>
      </c>
    </row>
    <row r="3548" spans="9:18">
      <c r="I3548" s="4">
        <v>3533</v>
      </c>
      <c r="J3548" s="5">
        <v>14960.076233580705</v>
      </c>
      <c r="K3548" s="5">
        <v>18218.584572172625</v>
      </c>
      <c r="L3548" s="5">
        <v>21954.536591034263</v>
      </c>
      <c r="M3548" s="5">
        <v>30785.663999045999</v>
      </c>
      <c r="N3548" s="5">
        <v>45581.602064432409</v>
      </c>
      <c r="O3548" s="5">
        <v>36759.655306288936</v>
      </c>
      <c r="P3548" s="5">
        <v>5735.6883097179207</v>
      </c>
      <c r="Q3548" s="5">
        <v>68168.482468129529</v>
      </c>
      <c r="R3548" s="5">
        <v>35232.418639121184</v>
      </c>
    </row>
    <row r="3549" spans="9:18">
      <c r="I3549" s="4">
        <v>3534</v>
      </c>
      <c r="J3549" s="5">
        <v>16416.142496463777</v>
      </c>
      <c r="K3549" s="5">
        <v>14136.873097602549</v>
      </c>
      <c r="L3549" s="5">
        <v>14811.370758813007</v>
      </c>
      <c r="M3549" s="5">
        <v>20550.782384061673</v>
      </c>
      <c r="N3549" s="5">
        <v>21617.945168312468</v>
      </c>
      <c r="O3549" s="5">
        <v>66253.993323243907</v>
      </c>
      <c r="P3549" s="5">
        <v>74840.036182179319</v>
      </c>
      <c r="Q3549" s="5">
        <v>14064.158297039334</v>
      </c>
      <c r="R3549" s="5">
        <v>17687.533637716911</v>
      </c>
    </row>
    <row r="3550" spans="9:18">
      <c r="I3550" s="4">
        <v>3535</v>
      </c>
      <c r="J3550" s="5">
        <v>21888.821432026474</v>
      </c>
      <c r="K3550" s="5">
        <v>24728.095385476983</v>
      </c>
      <c r="L3550" s="5">
        <v>10896.494237357269</v>
      </c>
      <c r="M3550" s="5">
        <v>13616.35938654862</v>
      </c>
      <c r="N3550" s="5">
        <v>16581.915858379376</v>
      </c>
      <c r="O3550" s="5">
        <v>45451.954570113048</v>
      </c>
      <c r="P3550" s="5">
        <v>18963.234565965948</v>
      </c>
      <c r="Q3550" s="5">
        <v>47365.380972950254</v>
      </c>
      <c r="R3550" s="5">
        <v>34970.397641695177</v>
      </c>
    </row>
    <row r="3551" spans="9:18">
      <c r="I3551" s="4">
        <v>3536</v>
      </c>
      <c r="J3551" s="5">
        <v>7855.2948890116513</v>
      </c>
      <c r="K3551" s="5">
        <v>20887.307279900142</v>
      </c>
      <c r="L3551" s="5">
        <v>29265.217478369766</v>
      </c>
      <c r="M3551" s="5">
        <v>32751.734100446065</v>
      </c>
      <c r="N3551" s="5">
        <v>27833.630848857778</v>
      </c>
      <c r="O3551" s="5">
        <v>79848.944504816522</v>
      </c>
      <c r="P3551" s="5">
        <v>9633.1652908310007</v>
      </c>
      <c r="Q3551" s="5">
        <v>68168.482468129529</v>
      </c>
      <c r="R3551" s="5">
        <v>114016.93673542379</v>
      </c>
    </row>
    <row r="3552" spans="9:18">
      <c r="I3552" s="4">
        <v>3537</v>
      </c>
      <c r="J3552" s="5">
        <v>13918.242013140338</v>
      </c>
      <c r="K3552" s="5">
        <v>13288.692555879701</v>
      </c>
      <c r="L3552" s="5">
        <v>14316.474075738101</v>
      </c>
      <c r="M3552" s="5">
        <v>14217.48832834715</v>
      </c>
      <c r="N3552" s="5">
        <v>11684.605182472778</v>
      </c>
      <c r="O3552" s="5">
        <v>32474.063027682765</v>
      </c>
      <c r="P3552" s="5">
        <v>27373.102585108634</v>
      </c>
      <c r="Q3552" s="5">
        <v>6386.5227360487288</v>
      </c>
      <c r="R3552" s="5">
        <v>16039.216896723072</v>
      </c>
    </row>
    <row r="3553" spans="9:18">
      <c r="I3553" s="4">
        <v>3538</v>
      </c>
      <c r="J3553" s="5">
        <v>18650.249281571734</v>
      </c>
      <c r="K3553" s="5">
        <v>16132.555399908759</v>
      </c>
      <c r="L3553" s="5">
        <v>17683.765335572589</v>
      </c>
      <c r="M3553" s="5">
        <v>31554.722481137964</v>
      </c>
      <c r="N3553" s="5">
        <v>13745.376566850549</v>
      </c>
      <c r="O3553" s="5">
        <v>16826.763259351828</v>
      </c>
      <c r="P3553" s="5">
        <v>74840.036182179319</v>
      </c>
      <c r="Q3553" s="5">
        <v>37073.980790337926</v>
      </c>
      <c r="R3553" s="5">
        <v>14079.827908007112</v>
      </c>
    </row>
    <row r="3554" spans="9:18">
      <c r="I3554" s="4">
        <v>3539</v>
      </c>
      <c r="J3554" s="5">
        <v>17679.321624063952</v>
      </c>
      <c r="K3554" s="5">
        <v>35705.595198125673</v>
      </c>
      <c r="L3554" s="5">
        <v>15651.346103181355</v>
      </c>
      <c r="M3554" s="5">
        <v>23913.435663027711</v>
      </c>
      <c r="N3554" s="5">
        <v>20718.434293991453</v>
      </c>
      <c r="O3554" s="5">
        <v>40581.847217937895</v>
      </c>
      <c r="P3554" s="5">
        <v>40377.463755170742</v>
      </c>
      <c r="Q3554" s="5">
        <v>48866.209623168346</v>
      </c>
      <c r="R3554" s="5">
        <v>7952.6989268572033</v>
      </c>
    </row>
    <row r="3555" spans="9:18">
      <c r="I3555" s="4">
        <v>3540</v>
      </c>
      <c r="J3555" s="5">
        <v>15081.728672246438</v>
      </c>
      <c r="K3555" s="5">
        <v>32073.547537933715</v>
      </c>
      <c r="L3555" s="5">
        <v>22412.045018675239</v>
      </c>
      <c r="M3555" s="5">
        <v>18879.640760542785</v>
      </c>
      <c r="N3555" s="5">
        <v>11952.903761138405</v>
      </c>
      <c r="O3555" s="5">
        <v>13117.417685535194</v>
      </c>
      <c r="P3555" s="5">
        <v>9826.8369575407578</v>
      </c>
      <c r="Q3555" s="5">
        <v>8880.8074399558282</v>
      </c>
      <c r="R3555" s="5">
        <v>34970.397641695177</v>
      </c>
    </row>
    <row r="3556" spans="9:18">
      <c r="I3556" s="4">
        <v>3541</v>
      </c>
      <c r="J3556" s="5">
        <v>31053.540961463306</v>
      </c>
      <c r="K3556" s="5">
        <v>16934.093371663999</v>
      </c>
      <c r="L3556" s="5">
        <v>15923.549351835489</v>
      </c>
      <c r="M3556" s="5">
        <v>32497.510405113037</v>
      </c>
      <c r="N3556" s="5">
        <v>15658.063692994532</v>
      </c>
      <c r="O3556" s="5">
        <v>27503.656957929088</v>
      </c>
      <c r="P3556" s="5">
        <v>12992.105410393709</v>
      </c>
      <c r="Q3556" s="5">
        <v>20987.925664394581</v>
      </c>
      <c r="R3556" s="5">
        <v>17991.870496434763</v>
      </c>
    </row>
    <row r="3557" spans="9:18">
      <c r="I3557" s="4">
        <v>3542</v>
      </c>
      <c r="J3557" s="5">
        <v>15786.811016780619</v>
      </c>
      <c r="K3557" s="5">
        <v>26110.948843472826</v>
      </c>
      <c r="L3557" s="5">
        <v>15651.346103181355</v>
      </c>
      <c r="M3557" s="5">
        <v>41403.687663920646</v>
      </c>
      <c r="N3557" s="5">
        <v>15658.063692994532</v>
      </c>
      <c r="O3557" s="5">
        <v>35865.625349531729</v>
      </c>
      <c r="P3557" s="5">
        <v>20391.123772341358</v>
      </c>
      <c r="Q3557" s="5">
        <v>20987.925664394581</v>
      </c>
      <c r="R3557" s="5">
        <v>34970.397641695177</v>
      </c>
    </row>
    <row r="3558" spans="9:18">
      <c r="I3558" s="4">
        <v>3543</v>
      </c>
      <c r="J3558" s="5">
        <v>8580.4413740966302</v>
      </c>
      <c r="K3558" s="5">
        <v>14674.169276244838</v>
      </c>
      <c r="L3558" s="5">
        <v>19189.275558866306</v>
      </c>
      <c r="M3558" s="5">
        <v>26477.996319655329</v>
      </c>
      <c r="N3558" s="5">
        <v>16418.492928415813</v>
      </c>
      <c r="O3558" s="5">
        <v>3171.3006415671193</v>
      </c>
      <c r="P3558" s="5">
        <v>40377.463755170742</v>
      </c>
      <c r="Q3558" s="5">
        <v>37277.391668005912</v>
      </c>
      <c r="R3558" s="5">
        <v>62674.060343500474</v>
      </c>
    </row>
    <row r="3559" spans="9:18">
      <c r="I3559" s="4">
        <v>3544</v>
      </c>
      <c r="J3559" s="5">
        <v>15352.465904292809</v>
      </c>
      <c r="K3559" s="5">
        <v>21187.174639714212</v>
      </c>
      <c r="L3559" s="5">
        <v>17693.864646288712</v>
      </c>
      <c r="M3559" s="5">
        <v>29834.240613550006</v>
      </c>
      <c r="N3559" s="5">
        <v>36962.805083900916</v>
      </c>
      <c r="O3559" s="5">
        <v>25802.481365323994</v>
      </c>
      <c r="P3559" s="5">
        <v>26541.896041444568</v>
      </c>
      <c r="Q3559" s="5">
        <v>9645.8788061228515</v>
      </c>
      <c r="R3559" s="5">
        <v>20303.08745527079</v>
      </c>
    </row>
    <row r="3560" spans="9:18">
      <c r="I3560" s="4">
        <v>3545</v>
      </c>
      <c r="J3560" s="5">
        <v>15352.465904292809</v>
      </c>
      <c r="K3560" s="5">
        <v>17903.387243834499</v>
      </c>
      <c r="L3560" s="5">
        <v>15126.980926457318</v>
      </c>
      <c r="M3560" s="5">
        <v>9623.0342442006167</v>
      </c>
      <c r="N3560" s="5">
        <v>6130.3882288404347</v>
      </c>
      <c r="O3560" s="5">
        <v>25604.597681740845</v>
      </c>
      <c r="P3560" s="5">
        <v>27373.102585108634</v>
      </c>
      <c r="Q3560" s="5">
        <v>37073.980790337926</v>
      </c>
      <c r="R3560" s="5">
        <v>8130.5639219412278</v>
      </c>
    </row>
    <row r="3561" spans="9:18">
      <c r="I3561" s="4">
        <v>3546</v>
      </c>
      <c r="J3561" s="5">
        <v>43272.831879770602</v>
      </c>
      <c r="K3561" s="5">
        <v>15347.101709242541</v>
      </c>
      <c r="L3561" s="5">
        <v>15759.954187048656</v>
      </c>
      <c r="M3561" s="5">
        <v>30830.81083227017</v>
      </c>
      <c r="N3561" s="5">
        <v>24769.339976495565</v>
      </c>
      <c r="O3561" s="5">
        <v>53007.660727727191</v>
      </c>
      <c r="P3561" s="5">
        <v>45161.732159568586</v>
      </c>
      <c r="Q3561" s="5">
        <v>6386.5227360487288</v>
      </c>
      <c r="R3561" s="5">
        <v>89167.415757270224</v>
      </c>
    </row>
    <row r="3562" spans="9:18">
      <c r="I3562" s="4">
        <v>3547</v>
      </c>
      <c r="J3562" s="5">
        <v>16710.807721801892</v>
      </c>
      <c r="K3562" s="5">
        <v>14854.898507619706</v>
      </c>
      <c r="L3562" s="5">
        <v>13358.459356674217</v>
      </c>
      <c r="M3562" s="5">
        <v>16500.222621933419</v>
      </c>
      <c r="N3562" s="5">
        <v>11635.644856128632</v>
      </c>
      <c r="O3562" s="5">
        <v>35865.625349531729</v>
      </c>
      <c r="P3562" s="5">
        <v>9965.8330787532959</v>
      </c>
      <c r="Q3562" s="5">
        <v>20883.852062640355</v>
      </c>
      <c r="R3562" s="5">
        <v>6681.1887184356683</v>
      </c>
    </row>
    <row r="3563" spans="9:18">
      <c r="I3563" s="4">
        <v>3548</v>
      </c>
      <c r="J3563" s="5">
        <v>18650.249281571734</v>
      </c>
      <c r="K3563" s="5">
        <v>43843.85059185313</v>
      </c>
      <c r="L3563" s="5">
        <v>15487.970507365942</v>
      </c>
      <c r="M3563" s="5">
        <v>16842.379179328669</v>
      </c>
      <c r="N3563" s="5">
        <v>26152.705108198839</v>
      </c>
      <c r="O3563" s="5">
        <v>20827.029306810669</v>
      </c>
      <c r="P3563" s="5">
        <v>10966.822219855034</v>
      </c>
      <c r="Q3563" s="5">
        <v>37497.234505125656</v>
      </c>
      <c r="R3563" s="5">
        <v>2071.5141323269809</v>
      </c>
    </row>
    <row r="3564" spans="9:18">
      <c r="I3564" s="4">
        <v>3549</v>
      </c>
      <c r="J3564" s="5">
        <v>9368.8270679249108</v>
      </c>
      <c r="K3564" s="5">
        <v>15428.770955406064</v>
      </c>
      <c r="L3564" s="5">
        <v>14344.859750762502</v>
      </c>
      <c r="M3564" s="5">
        <v>14217.48832834715</v>
      </c>
      <c r="N3564" s="5">
        <v>18410.937863650517</v>
      </c>
      <c r="O3564" s="5">
        <v>16572.483389649329</v>
      </c>
      <c r="P3564" s="5">
        <v>55119.366528283317</v>
      </c>
      <c r="Q3564" s="5">
        <v>3909.239690544402</v>
      </c>
      <c r="R3564" s="5">
        <v>1535.701520095213</v>
      </c>
    </row>
    <row r="3565" spans="9:18">
      <c r="I3565" s="4">
        <v>3550</v>
      </c>
      <c r="J3565" s="5">
        <v>11843.28062342474</v>
      </c>
      <c r="K3565" s="5">
        <v>14878.52734402675</v>
      </c>
      <c r="L3565" s="5">
        <v>19224.583269019437</v>
      </c>
      <c r="M3565" s="5">
        <v>23067.94260629595</v>
      </c>
      <c r="N3565" s="5">
        <v>39406.658185292261</v>
      </c>
      <c r="O3565" s="5">
        <v>27508.313315384185</v>
      </c>
      <c r="P3565" s="5">
        <v>35213.322626437533</v>
      </c>
      <c r="Q3565" s="5">
        <v>12451.066014448154</v>
      </c>
      <c r="R3565" s="5">
        <v>81423.874800517297</v>
      </c>
    </row>
    <row r="3566" spans="9:18">
      <c r="I3566" s="4">
        <v>3551</v>
      </c>
      <c r="J3566" s="5">
        <v>12888.204629170894</v>
      </c>
      <c r="K3566" s="5">
        <v>15487.124352801369</v>
      </c>
      <c r="L3566" s="5">
        <v>15759.954187048656</v>
      </c>
      <c r="M3566" s="5">
        <v>20229.919588372999</v>
      </c>
      <c r="N3566" s="5">
        <v>16581.915858379376</v>
      </c>
      <c r="O3566" s="5">
        <v>59207.798737851255</v>
      </c>
      <c r="P3566" s="5">
        <v>24349.301972630979</v>
      </c>
      <c r="Q3566" s="5">
        <v>20987.925664394581</v>
      </c>
      <c r="R3566" s="5">
        <v>39788.288251916689</v>
      </c>
    </row>
    <row r="3567" spans="9:18">
      <c r="I3567" s="4">
        <v>3552</v>
      </c>
      <c r="J3567" s="5">
        <v>26634.853073396614</v>
      </c>
      <c r="K3567" s="5">
        <v>22732.797143159998</v>
      </c>
      <c r="L3567" s="5">
        <v>16017.890956041876</v>
      </c>
      <c r="M3567" s="5">
        <v>15586.009710351766</v>
      </c>
      <c r="N3567" s="5">
        <v>63974.903847153939</v>
      </c>
      <c r="O3567" s="5">
        <v>27068.054847826614</v>
      </c>
      <c r="P3567" s="5">
        <v>44646.134934589521</v>
      </c>
      <c r="Q3567" s="5">
        <v>28776.080424849053</v>
      </c>
      <c r="R3567" s="5">
        <v>31715.273557891396</v>
      </c>
    </row>
    <row r="3568" spans="9:18">
      <c r="I3568" s="4">
        <v>3553</v>
      </c>
      <c r="J3568" s="5">
        <v>15623.733864199699</v>
      </c>
      <c r="K3568" s="5">
        <v>16605.655749562578</v>
      </c>
      <c r="L3568" s="5">
        <v>15664.99858445921</v>
      </c>
      <c r="M3568" s="5">
        <v>20229.919588372999</v>
      </c>
      <c r="N3568" s="5">
        <v>13511.694619545402</v>
      </c>
      <c r="O3568" s="5">
        <v>20489.622805425737</v>
      </c>
      <c r="P3568" s="5">
        <v>16574.429708560569</v>
      </c>
      <c r="Q3568" s="5">
        <v>29432.473148002948</v>
      </c>
      <c r="R3568" s="5">
        <v>90296.353221228885</v>
      </c>
    </row>
    <row r="3569" spans="9:18">
      <c r="I3569" s="4">
        <v>3554</v>
      </c>
      <c r="J3569" s="5">
        <v>14750.660273177687</v>
      </c>
      <c r="K3569" s="5">
        <v>14878.52734402675</v>
      </c>
      <c r="L3569" s="5">
        <v>22319.409576580376</v>
      </c>
      <c r="M3569" s="5">
        <v>14660.631931099009</v>
      </c>
      <c r="N3569" s="5">
        <v>41563.89847100406</v>
      </c>
      <c r="O3569" s="5">
        <v>13519.384207850644</v>
      </c>
      <c r="P3569" s="5">
        <v>28537.545734403488</v>
      </c>
      <c r="Q3569" s="5">
        <v>6386.5227360487288</v>
      </c>
      <c r="R3569" s="5">
        <v>50287.76786557267</v>
      </c>
    </row>
    <row r="3570" spans="9:18">
      <c r="I3570" s="4">
        <v>3555</v>
      </c>
      <c r="J3570" s="5">
        <v>14749.343145806102</v>
      </c>
      <c r="K3570" s="5">
        <v>16952.949313901812</v>
      </c>
      <c r="L3570" s="5">
        <v>14364.472927446199</v>
      </c>
      <c r="M3570" s="5">
        <v>23067.94260629595</v>
      </c>
      <c r="N3570" s="5">
        <v>21909.120225822895</v>
      </c>
      <c r="O3570" s="5">
        <v>8801.3667015774663</v>
      </c>
      <c r="P3570" s="5">
        <v>14327.191387816954</v>
      </c>
      <c r="Q3570" s="5">
        <v>14064.158297039334</v>
      </c>
      <c r="R3570" s="5">
        <v>6360.7905155660001</v>
      </c>
    </row>
    <row r="3571" spans="9:18">
      <c r="I3571" s="4">
        <v>3556</v>
      </c>
      <c r="J3571" s="5">
        <v>12035.382213755307</v>
      </c>
      <c r="K3571" s="5">
        <v>19467.955014411935</v>
      </c>
      <c r="L3571" s="5">
        <v>17128.574519497746</v>
      </c>
      <c r="M3571" s="5">
        <v>31554.722481137964</v>
      </c>
      <c r="N3571" s="5">
        <v>23283.854578052265</v>
      </c>
      <c r="O3571" s="5">
        <v>41653.890350944224</v>
      </c>
      <c r="P3571" s="5">
        <v>27452.975716953504</v>
      </c>
      <c r="Q3571" s="5">
        <v>27789.973552634947</v>
      </c>
      <c r="R3571" s="5">
        <v>35232.418639121184</v>
      </c>
    </row>
    <row r="3572" spans="9:18">
      <c r="I3572" s="4">
        <v>3557</v>
      </c>
      <c r="J3572" s="5">
        <v>16710.807721801892</v>
      </c>
      <c r="K3572" s="5">
        <v>32294.121255311245</v>
      </c>
      <c r="L3572" s="5">
        <v>15359.132481533357</v>
      </c>
      <c r="M3572" s="5">
        <v>11860.862376247747</v>
      </c>
      <c r="N3572" s="5">
        <v>11952.903761138405</v>
      </c>
      <c r="O3572" s="5">
        <v>16826.763259351828</v>
      </c>
      <c r="P3572" s="5">
        <v>26541.896041444568</v>
      </c>
      <c r="Q3572" s="5">
        <v>28078.365156847896</v>
      </c>
      <c r="R3572" s="5">
        <v>8130.5639219412278</v>
      </c>
    </row>
    <row r="3573" spans="9:18">
      <c r="I3573" s="4">
        <v>3558</v>
      </c>
      <c r="J3573" s="5">
        <v>31559.699247539775</v>
      </c>
      <c r="K3573" s="5">
        <v>11857.447519815871</v>
      </c>
      <c r="L3573" s="5">
        <v>13867.07093008449</v>
      </c>
      <c r="M3573" s="5">
        <v>23067.94260629595</v>
      </c>
      <c r="N3573" s="5">
        <v>13745.376566850549</v>
      </c>
      <c r="O3573" s="5">
        <v>12110.196126281628</v>
      </c>
      <c r="P3573" s="5">
        <v>63015.124693769802</v>
      </c>
      <c r="Q3573" s="5">
        <v>31974.553851773013</v>
      </c>
      <c r="R3573" s="5">
        <v>31715.273557891396</v>
      </c>
    </row>
    <row r="3574" spans="9:18">
      <c r="I3574" s="4">
        <v>3559</v>
      </c>
      <c r="J3574" s="5">
        <v>15786.811016780619</v>
      </c>
      <c r="K3574" s="5">
        <v>15051.330276415061</v>
      </c>
      <c r="L3574" s="5">
        <v>23760.785349782636</v>
      </c>
      <c r="M3574" s="5">
        <v>42282.977640783138</v>
      </c>
      <c r="N3574" s="5">
        <v>24853.247795632611</v>
      </c>
      <c r="O3574" s="5">
        <v>27503.656957929088</v>
      </c>
      <c r="P3574" s="5">
        <v>8877.9712092977989</v>
      </c>
      <c r="Q3574" s="5">
        <v>16803.875627203233</v>
      </c>
      <c r="R3574" s="5">
        <v>93933.045103013996</v>
      </c>
    </row>
    <row r="3575" spans="9:18">
      <c r="I3575" s="4">
        <v>3560</v>
      </c>
      <c r="J3575" s="5">
        <v>13391.049101507895</v>
      </c>
      <c r="K3575" s="5">
        <v>7753.2116148734594</v>
      </c>
      <c r="L3575" s="5">
        <v>10896.494237357269</v>
      </c>
      <c r="M3575" s="5">
        <v>20229.919588372999</v>
      </c>
      <c r="N3575" s="5">
        <v>15804.474686449519</v>
      </c>
      <c r="O3575" s="5">
        <v>26268.613803794757</v>
      </c>
      <c r="P3575" s="5">
        <v>3017.2887813579896</v>
      </c>
      <c r="Q3575" s="5">
        <v>29432.473148002948</v>
      </c>
      <c r="R3575" s="5">
        <v>46004.399892616471</v>
      </c>
    </row>
    <row r="3576" spans="9:18">
      <c r="I3576" s="4">
        <v>3561</v>
      </c>
      <c r="J3576" s="5">
        <v>17592.832480262863</v>
      </c>
      <c r="K3576" s="5">
        <v>14351.415257675473</v>
      </c>
      <c r="L3576" s="5">
        <v>27289.607394458035</v>
      </c>
      <c r="M3576" s="5">
        <v>16510.442870615672</v>
      </c>
      <c r="N3576" s="5">
        <v>21933.097106966918</v>
      </c>
      <c r="O3576" s="5">
        <v>15936.062371781712</v>
      </c>
      <c r="P3576" s="5">
        <v>9965.8330787532959</v>
      </c>
      <c r="Q3576" s="5">
        <v>29432.473148002948</v>
      </c>
      <c r="R3576" s="5">
        <v>39788.288251916689</v>
      </c>
    </row>
    <row r="3577" spans="9:18">
      <c r="I3577" s="4">
        <v>3562</v>
      </c>
      <c r="J3577" s="5">
        <v>8580.4413740966302</v>
      </c>
      <c r="K3577" s="5">
        <v>17903.387243834499</v>
      </c>
      <c r="L3577" s="5">
        <v>15359.132481533357</v>
      </c>
      <c r="M3577" s="5">
        <v>13011.820191946215</v>
      </c>
      <c r="N3577" s="5">
        <v>23746.795665493762</v>
      </c>
      <c r="O3577" s="5">
        <v>26565.882515615398</v>
      </c>
      <c r="P3577" s="5">
        <v>74840.036182179319</v>
      </c>
      <c r="Q3577" s="5">
        <v>13099.063525342741</v>
      </c>
      <c r="R3577" s="5">
        <v>86510.608303273053</v>
      </c>
    </row>
    <row r="3578" spans="9:18">
      <c r="I3578" s="4">
        <v>3563</v>
      </c>
      <c r="J3578" s="5">
        <v>8580.4413740966302</v>
      </c>
      <c r="K3578" s="5">
        <v>32294.121255311245</v>
      </c>
      <c r="L3578" s="5">
        <v>10752.183901283248</v>
      </c>
      <c r="M3578" s="5">
        <v>16001.653036457456</v>
      </c>
      <c r="N3578" s="5">
        <v>24314.043643333731</v>
      </c>
      <c r="O3578" s="5">
        <v>30656.031716467984</v>
      </c>
      <c r="P3578" s="5">
        <v>38771.994792132391</v>
      </c>
      <c r="Q3578" s="5">
        <v>8880.8074399558282</v>
      </c>
      <c r="R3578" s="5">
        <v>86510.608303273053</v>
      </c>
    </row>
    <row r="3579" spans="9:18">
      <c r="I3579" s="4">
        <v>3564</v>
      </c>
      <c r="J3579" s="5">
        <v>15648.665245032147</v>
      </c>
      <c r="K3579" s="5">
        <v>16605.655749562578</v>
      </c>
      <c r="L3579" s="5">
        <v>19189.275558866306</v>
      </c>
      <c r="M3579" s="5">
        <v>19042.78605337895</v>
      </c>
      <c r="N3579" s="5">
        <v>22868.569282757788</v>
      </c>
      <c r="O3579" s="5">
        <v>27068.054847826614</v>
      </c>
      <c r="P3579" s="5">
        <v>21039.927746191301</v>
      </c>
      <c r="Q3579" s="5">
        <v>15623.622662102793</v>
      </c>
      <c r="R3579" s="5">
        <v>51141.799458534304</v>
      </c>
    </row>
    <row r="3580" spans="9:18">
      <c r="I3580" s="4">
        <v>3565</v>
      </c>
      <c r="J3580" s="5">
        <v>11036.461796239426</v>
      </c>
      <c r="K3580" s="5">
        <v>13331.01856102917</v>
      </c>
      <c r="L3580" s="5">
        <v>15060.431658965737</v>
      </c>
      <c r="M3580" s="5">
        <v>17542.15972125496</v>
      </c>
      <c r="N3580" s="5">
        <v>12523.573732460784</v>
      </c>
      <c r="O3580" s="5">
        <v>35286.662852302201</v>
      </c>
      <c r="P3580" s="5">
        <v>31127.87225845682</v>
      </c>
      <c r="Q3580" s="5">
        <v>37101.531383212743</v>
      </c>
      <c r="R3580" s="5">
        <v>46004.399892616471</v>
      </c>
    </row>
    <row r="3581" spans="9:18">
      <c r="I3581" s="4">
        <v>3566</v>
      </c>
      <c r="J3581" s="5">
        <v>16088.430030489333</v>
      </c>
      <c r="K3581" s="5">
        <v>11206.053243692098</v>
      </c>
      <c r="L3581" s="5">
        <v>16293.265064857471</v>
      </c>
      <c r="M3581" s="5">
        <v>23067.94260629595</v>
      </c>
      <c r="N3581" s="5">
        <v>15130.853682762778</v>
      </c>
      <c r="O3581" s="5">
        <v>10746.295275180995</v>
      </c>
      <c r="P3581" s="5">
        <v>10966.822219855034</v>
      </c>
      <c r="Q3581" s="5">
        <v>30266.563414010914</v>
      </c>
      <c r="R3581" s="5">
        <v>17304.847214362417</v>
      </c>
    </row>
    <row r="3582" spans="9:18">
      <c r="I3582" s="4">
        <v>3567</v>
      </c>
      <c r="J3582" s="5">
        <v>49463.324094345015</v>
      </c>
      <c r="K3582" s="5">
        <v>15428.770955406064</v>
      </c>
      <c r="L3582" s="5">
        <v>17578.712723867691</v>
      </c>
      <c r="M3582" s="5">
        <v>31472.019071027709</v>
      </c>
      <c r="N3582" s="5">
        <v>24853.247795632611</v>
      </c>
      <c r="O3582" s="5">
        <v>45451.954570113048</v>
      </c>
      <c r="P3582" s="5">
        <v>9826.8369575407578</v>
      </c>
      <c r="Q3582" s="5">
        <v>21421.044775857536</v>
      </c>
      <c r="R3582" s="5">
        <v>7784.2246210242874</v>
      </c>
    </row>
    <row r="3583" spans="9:18">
      <c r="I3583" s="4">
        <v>3568</v>
      </c>
      <c r="J3583" s="5">
        <v>12452.764985867625</v>
      </c>
      <c r="K3583" s="5">
        <v>11149.572204897504</v>
      </c>
      <c r="L3583" s="5">
        <v>15832.5469007027</v>
      </c>
      <c r="M3583" s="5">
        <v>19795.661011456152</v>
      </c>
      <c r="N3583" s="5">
        <v>19225.139878706803</v>
      </c>
      <c r="O3583" s="5">
        <v>27195.510785031525</v>
      </c>
      <c r="P3583" s="5">
        <v>9965.8330787532959</v>
      </c>
      <c r="Q3583" s="5">
        <v>129470.11441833655</v>
      </c>
      <c r="R3583" s="5">
        <v>46004.399892616471</v>
      </c>
    </row>
    <row r="3584" spans="9:18">
      <c r="I3584" s="4">
        <v>3569</v>
      </c>
      <c r="J3584" s="5">
        <v>11116.191595722205</v>
      </c>
      <c r="K3584" s="5">
        <v>35488.449387009874</v>
      </c>
      <c r="L3584" s="5">
        <v>23760.785349782636</v>
      </c>
      <c r="M3584" s="5">
        <v>25580.243606220469</v>
      </c>
      <c r="N3584" s="5">
        <v>21933.097106966918</v>
      </c>
      <c r="O3584" s="5">
        <v>16826.763259351828</v>
      </c>
      <c r="P3584" s="5">
        <v>46514.467673254068</v>
      </c>
      <c r="Q3584" s="5">
        <v>100789.83462564547</v>
      </c>
      <c r="R3584" s="5">
        <v>7952.6989268572033</v>
      </c>
    </row>
    <row r="3585" spans="9:18">
      <c r="I3585" s="4">
        <v>3570</v>
      </c>
      <c r="J3585" s="5">
        <v>27392.038553726634</v>
      </c>
      <c r="K3585" s="5">
        <v>14136.873097602549</v>
      </c>
      <c r="L3585" s="5">
        <v>13037.115556745504</v>
      </c>
      <c r="M3585" s="5">
        <v>11529.920007560097</v>
      </c>
      <c r="N3585" s="5">
        <v>24020.875410266352</v>
      </c>
      <c r="O3585" s="5">
        <v>27062.73412298776</v>
      </c>
      <c r="P3585" s="5">
        <v>45161.732159568586</v>
      </c>
      <c r="Q3585" s="5">
        <v>22145.301831504508</v>
      </c>
      <c r="R3585" s="5">
        <v>17687.533637716911</v>
      </c>
    </row>
    <row r="3586" spans="9:18">
      <c r="I3586" s="4">
        <v>3571</v>
      </c>
      <c r="J3586" s="5">
        <v>31559.699247539775</v>
      </c>
      <c r="K3586" s="5">
        <v>14095.75230105142</v>
      </c>
      <c r="L3586" s="5">
        <v>14796.875457021113</v>
      </c>
      <c r="M3586" s="5">
        <v>11860.862376247747</v>
      </c>
      <c r="N3586" s="5">
        <v>8555.1229659096207</v>
      </c>
      <c r="O3586" s="5">
        <v>27068.054847826614</v>
      </c>
      <c r="P3586" s="5">
        <v>25258.981945036445</v>
      </c>
      <c r="Q3586" s="5">
        <v>37802.358878968138</v>
      </c>
      <c r="R3586" s="5">
        <v>302760.11878714536</v>
      </c>
    </row>
    <row r="3587" spans="9:18">
      <c r="I3587" s="4">
        <v>3572</v>
      </c>
      <c r="J3587" s="5">
        <v>26634.853073396614</v>
      </c>
      <c r="K3587" s="5">
        <v>11206.053243692098</v>
      </c>
      <c r="L3587" s="5">
        <v>16017.890956041876</v>
      </c>
      <c r="M3587" s="5">
        <v>25580.243606220469</v>
      </c>
      <c r="N3587" s="5">
        <v>34295.124147811541</v>
      </c>
      <c r="O3587" s="5">
        <v>40304.23053285561</v>
      </c>
      <c r="P3587" s="5">
        <v>3831.1492650071077</v>
      </c>
      <c r="Q3587" s="5">
        <v>31618.396253255491</v>
      </c>
      <c r="R3587" s="5">
        <v>51141.799458534304</v>
      </c>
    </row>
    <row r="3588" spans="9:18">
      <c r="I3588" s="4">
        <v>3573</v>
      </c>
      <c r="J3588" s="5">
        <v>15786.811016780619</v>
      </c>
      <c r="K3588" s="5">
        <v>14136.873097602549</v>
      </c>
      <c r="L3588" s="5">
        <v>13867.07093008449</v>
      </c>
      <c r="M3588" s="5">
        <v>16510.442870615672</v>
      </c>
      <c r="N3588" s="5">
        <v>24853.247795632611</v>
      </c>
      <c r="O3588" s="5">
        <v>6199.3195463515376</v>
      </c>
      <c r="P3588" s="5">
        <v>14376.883105731285</v>
      </c>
      <c r="Q3588" s="5">
        <v>43417.41805414496</v>
      </c>
      <c r="R3588" s="5">
        <v>41056.152565483346</v>
      </c>
    </row>
    <row r="3589" spans="9:18">
      <c r="I3589" s="4">
        <v>3574</v>
      </c>
      <c r="J3589" s="5">
        <v>15786.811016780619</v>
      </c>
      <c r="K3589" s="5">
        <v>32294.121255311245</v>
      </c>
      <c r="L3589" s="5">
        <v>27289.607394458035</v>
      </c>
      <c r="M3589" s="5">
        <v>14432.283063351901</v>
      </c>
      <c r="N3589" s="5">
        <v>37309.151967087455</v>
      </c>
      <c r="O3589" s="5">
        <v>10676.618215263648</v>
      </c>
      <c r="P3589" s="5">
        <v>41657.50350099193</v>
      </c>
      <c r="Q3589" s="5">
        <v>37277.391668005912</v>
      </c>
      <c r="R3589" s="5">
        <v>17304.847214362417</v>
      </c>
    </row>
    <row r="3590" spans="9:18">
      <c r="I3590" s="4">
        <v>3575</v>
      </c>
      <c r="J3590" s="5">
        <v>43272.831879770602</v>
      </c>
      <c r="K3590" s="5">
        <v>95171.967522309933</v>
      </c>
      <c r="L3590" s="5">
        <v>13358.459356674217</v>
      </c>
      <c r="M3590" s="5">
        <v>18691.941789825862</v>
      </c>
      <c r="N3590" s="5">
        <v>16581.915858379376</v>
      </c>
      <c r="O3590" s="5">
        <v>16524.769946939996</v>
      </c>
      <c r="P3590" s="5">
        <v>17737.38315098183</v>
      </c>
      <c r="Q3590" s="5">
        <v>28776.080424849053</v>
      </c>
      <c r="R3590" s="5">
        <v>41418.225609677866</v>
      </c>
    </row>
    <row r="3591" spans="9:18">
      <c r="I3591" s="4">
        <v>3576</v>
      </c>
      <c r="J3591" s="5">
        <v>14076.209333698853</v>
      </c>
      <c r="K3591" s="5">
        <v>12777.667398488715</v>
      </c>
      <c r="L3591" s="5">
        <v>22162.138529251199</v>
      </c>
      <c r="M3591" s="5">
        <v>15586.009710351766</v>
      </c>
      <c r="N3591" s="5">
        <v>21909.120225822895</v>
      </c>
      <c r="O3591" s="5">
        <v>24258.192244316608</v>
      </c>
      <c r="P3591" s="5">
        <v>20403.656304140692</v>
      </c>
      <c r="Q3591" s="5">
        <v>100789.83462564547</v>
      </c>
      <c r="R3591" s="5">
        <v>17991.870496434763</v>
      </c>
    </row>
    <row r="3592" spans="9:18">
      <c r="I3592" s="4">
        <v>3577</v>
      </c>
      <c r="J3592" s="5">
        <v>19121.054099180623</v>
      </c>
      <c r="K3592" s="5">
        <v>56656.842992470461</v>
      </c>
      <c r="L3592" s="5">
        <v>18475.258050488967</v>
      </c>
      <c r="M3592" s="5">
        <v>25580.243606220469</v>
      </c>
      <c r="N3592" s="5">
        <v>24314.043643333731</v>
      </c>
      <c r="O3592" s="5">
        <v>40581.847217937895</v>
      </c>
      <c r="P3592" s="5">
        <v>31127.87225845682</v>
      </c>
      <c r="Q3592" s="5">
        <v>7349.2234634219121</v>
      </c>
      <c r="R3592" s="5">
        <v>123773.40402252052</v>
      </c>
    </row>
    <row r="3593" spans="9:18">
      <c r="I3593" s="4">
        <v>3578</v>
      </c>
      <c r="J3593" s="5">
        <v>28169.050633834027</v>
      </c>
      <c r="K3593" s="5">
        <v>14611.618478071941</v>
      </c>
      <c r="L3593" s="5">
        <v>14316.474075738101</v>
      </c>
      <c r="M3593" s="5">
        <v>19262.243095117232</v>
      </c>
      <c r="N3593" s="5">
        <v>23746.795665493762</v>
      </c>
      <c r="O3593" s="5">
        <v>9869.5889207969612</v>
      </c>
      <c r="P3593" s="5">
        <v>34814.458119125498</v>
      </c>
      <c r="Q3593" s="5">
        <v>37802.358878968138</v>
      </c>
      <c r="R3593" s="5">
        <v>29295.938844292672</v>
      </c>
    </row>
    <row r="3594" spans="9:18">
      <c r="I3594" s="4">
        <v>3579</v>
      </c>
      <c r="J3594" s="5">
        <v>16156.372629961115</v>
      </c>
      <c r="K3594" s="5">
        <v>95171.967522309933</v>
      </c>
      <c r="L3594" s="5">
        <v>22162.138529251199</v>
      </c>
      <c r="M3594" s="5">
        <v>18177.175180585615</v>
      </c>
      <c r="N3594" s="5">
        <v>22010.718648995869</v>
      </c>
      <c r="O3594" s="5">
        <v>24422.445067017139</v>
      </c>
      <c r="P3594" s="5">
        <v>16072.735485912413</v>
      </c>
      <c r="Q3594" s="5">
        <v>15623.622662102793</v>
      </c>
      <c r="R3594" s="5">
        <v>51141.799458534304</v>
      </c>
    </row>
    <row r="3595" spans="9:18">
      <c r="I3595" s="4">
        <v>3580</v>
      </c>
      <c r="J3595" s="5">
        <v>15554.996700302558</v>
      </c>
      <c r="K3595" s="5">
        <v>15347.101709242541</v>
      </c>
      <c r="L3595" s="5">
        <v>15471.738323660695</v>
      </c>
      <c r="M3595" s="5">
        <v>17542.15972125496</v>
      </c>
      <c r="N3595" s="5">
        <v>24853.247795632611</v>
      </c>
      <c r="O3595" s="5">
        <v>8024.6340027919978</v>
      </c>
      <c r="P3595" s="5">
        <v>14316.965520592317</v>
      </c>
      <c r="Q3595" s="5">
        <v>71213.172792303565</v>
      </c>
      <c r="R3595" s="5">
        <v>181970.23111012415</v>
      </c>
    </row>
    <row r="3596" spans="9:18">
      <c r="I3596" s="4">
        <v>3581</v>
      </c>
      <c r="J3596" s="5">
        <v>13663.281817546009</v>
      </c>
      <c r="K3596" s="5">
        <v>21527.93129974293</v>
      </c>
      <c r="L3596" s="5">
        <v>15300.182042823812</v>
      </c>
      <c r="M3596" s="5">
        <v>19262.243095117232</v>
      </c>
      <c r="N3596" s="5">
        <v>12297.015342318469</v>
      </c>
      <c r="O3596" s="5">
        <v>13840.304699955392</v>
      </c>
      <c r="P3596" s="5">
        <v>44646.134934589521</v>
      </c>
      <c r="Q3596" s="5">
        <v>20987.925664394581</v>
      </c>
      <c r="R3596" s="5">
        <v>24831.679362998926</v>
      </c>
    </row>
    <row r="3597" spans="9:18">
      <c r="I3597" s="4">
        <v>3582</v>
      </c>
      <c r="J3597" s="5">
        <v>14671.176405938595</v>
      </c>
      <c r="K3597" s="5">
        <v>13559.080695844099</v>
      </c>
      <c r="L3597" s="5">
        <v>15060.431658965737</v>
      </c>
      <c r="M3597" s="5">
        <v>19262.243095117232</v>
      </c>
      <c r="N3597" s="5">
        <v>23746.795665493762</v>
      </c>
      <c r="O3597" s="5">
        <v>20930.098352661731</v>
      </c>
      <c r="P3597" s="5">
        <v>26541.896041444568</v>
      </c>
      <c r="Q3597" s="5">
        <v>37802.358878968138</v>
      </c>
      <c r="R3597" s="5">
        <v>41056.152565483346</v>
      </c>
    </row>
    <row r="3598" spans="9:18">
      <c r="I3598" s="4">
        <v>3583</v>
      </c>
      <c r="J3598" s="5">
        <v>9405.362381917912</v>
      </c>
      <c r="K3598" s="5">
        <v>14095.75230105142</v>
      </c>
      <c r="L3598" s="5">
        <v>18634.523182776735</v>
      </c>
      <c r="M3598" s="5">
        <v>6367.5407465007311</v>
      </c>
      <c r="N3598" s="5">
        <v>22868.569282757788</v>
      </c>
      <c r="O3598" s="5">
        <v>9956.4031238965053</v>
      </c>
      <c r="P3598" s="5">
        <v>3930.0915591834291</v>
      </c>
      <c r="Q3598" s="5">
        <v>10151.908492905288</v>
      </c>
      <c r="R3598" s="5">
        <v>12116.34255245842</v>
      </c>
    </row>
    <row r="3599" spans="9:18">
      <c r="I3599" s="4">
        <v>3584</v>
      </c>
      <c r="J3599" s="5">
        <v>14594.990625703947</v>
      </c>
      <c r="K3599" s="5">
        <v>13520.836427679104</v>
      </c>
      <c r="L3599" s="5">
        <v>16071.260291253868</v>
      </c>
      <c r="M3599" s="5">
        <v>17370.588707072598</v>
      </c>
      <c r="N3599" s="5">
        <v>23583.581287126868</v>
      </c>
      <c r="O3599" s="5">
        <v>16572.483389649329</v>
      </c>
      <c r="P3599" s="5">
        <v>24349.301972630979</v>
      </c>
      <c r="Q3599" s="5">
        <v>96632.959478514502</v>
      </c>
      <c r="R3599" s="5">
        <v>181970.23111012415</v>
      </c>
    </row>
    <row r="3600" spans="9:18">
      <c r="I3600" s="4">
        <v>3585</v>
      </c>
      <c r="J3600" s="5">
        <v>13663.281817546009</v>
      </c>
      <c r="K3600" s="5">
        <v>16605.655749562578</v>
      </c>
      <c r="L3600" s="5">
        <v>34748.877779456467</v>
      </c>
      <c r="M3600" s="5">
        <v>6367.5407465007311</v>
      </c>
      <c r="N3600" s="5">
        <v>24853.247795632611</v>
      </c>
      <c r="O3600" s="5">
        <v>20827.029306810669</v>
      </c>
      <c r="P3600" s="5">
        <v>23769.190223735484</v>
      </c>
      <c r="Q3600" s="5">
        <v>129470.11441833655</v>
      </c>
      <c r="R3600" s="5">
        <v>18349.337771428582</v>
      </c>
    </row>
    <row r="3601" spans="9:18">
      <c r="I3601" s="4">
        <v>3586</v>
      </c>
      <c r="J3601" s="5">
        <v>17005.744061105343</v>
      </c>
      <c r="K3601" s="5">
        <v>12026.500118162745</v>
      </c>
      <c r="L3601" s="5">
        <v>17243.440968229323</v>
      </c>
      <c r="M3601" s="5">
        <v>19795.661011456152</v>
      </c>
      <c r="N3601" s="5">
        <v>25424.029865101274</v>
      </c>
      <c r="O3601" s="5">
        <v>32474.063027682765</v>
      </c>
      <c r="P3601" s="5">
        <v>27373.102585108634</v>
      </c>
      <c r="Q3601" s="5">
        <v>53055.59182561023</v>
      </c>
      <c r="R3601" s="5">
        <v>33863.04333215439</v>
      </c>
    </row>
    <row r="3602" spans="9:18">
      <c r="I3602" s="4">
        <v>3587</v>
      </c>
      <c r="J3602" s="5">
        <v>9368.8270679249108</v>
      </c>
      <c r="K3602" s="5">
        <v>13288.692555879701</v>
      </c>
      <c r="L3602" s="5">
        <v>14344.859750762502</v>
      </c>
      <c r="M3602" s="5">
        <v>13139.022167648376</v>
      </c>
      <c r="N3602" s="5">
        <v>22868.569282757788</v>
      </c>
      <c r="O3602" s="5">
        <v>41800.463215706819</v>
      </c>
      <c r="P3602" s="5">
        <v>16072.735485912413</v>
      </c>
      <c r="Q3602" s="5">
        <v>13099.063525342741</v>
      </c>
      <c r="R3602" s="5">
        <v>123773.40402252052</v>
      </c>
    </row>
    <row r="3603" spans="9:18">
      <c r="I3603" s="4">
        <v>3588</v>
      </c>
      <c r="J3603" s="5">
        <v>16166.107684907736</v>
      </c>
      <c r="K3603" s="5">
        <v>17495.743706488822</v>
      </c>
      <c r="L3603" s="5">
        <v>15759.954187048656</v>
      </c>
      <c r="M3603" s="5">
        <v>17116.951435661951</v>
      </c>
      <c r="N3603" s="5">
        <v>24020.875410266352</v>
      </c>
      <c r="O3603" s="5">
        <v>49114.195066822271</v>
      </c>
      <c r="P3603" s="5">
        <v>35213.322626437533</v>
      </c>
      <c r="Q3603" s="5">
        <v>70295.978314632754</v>
      </c>
      <c r="R3603" s="5">
        <v>81423.874800517297</v>
      </c>
    </row>
    <row r="3604" spans="9:18">
      <c r="I3604" s="4">
        <v>3589</v>
      </c>
      <c r="J3604" s="5">
        <v>28169.050633834027</v>
      </c>
      <c r="K3604" s="5">
        <v>43843.85059185313</v>
      </c>
      <c r="L3604" s="5">
        <v>14691.846656953887</v>
      </c>
      <c r="M3604" s="5">
        <v>23913.435663027711</v>
      </c>
      <c r="N3604" s="5">
        <v>46248.895746171031</v>
      </c>
      <c r="O3604" s="5">
        <v>11282.178219986479</v>
      </c>
      <c r="P3604" s="5">
        <v>3017.2887813579896</v>
      </c>
      <c r="Q3604" s="5">
        <v>37101.531383212743</v>
      </c>
      <c r="R3604" s="5">
        <v>26783.439354489365</v>
      </c>
    </row>
    <row r="3605" spans="9:18">
      <c r="I3605" s="4">
        <v>3590</v>
      </c>
      <c r="J3605" s="5">
        <v>12035.382213755307</v>
      </c>
      <c r="K3605" s="5">
        <v>21527.93129974293</v>
      </c>
      <c r="L3605" s="5">
        <v>14364.472927446199</v>
      </c>
      <c r="M3605" s="5">
        <v>16510.442870615672</v>
      </c>
      <c r="N3605" s="5">
        <v>22511.351424689696</v>
      </c>
      <c r="O3605" s="5">
        <v>27062.73412298776</v>
      </c>
      <c r="P3605" s="5">
        <v>28537.545734403488</v>
      </c>
      <c r="Q3605" s="5">
        <v>14064.158297039334</v>
      </c>
      <c r="R3605" s="5">
        <v>20236.767651156802</v>
      </c>
    </row>
    <row r="3606" spans="9:18">
      <c r="I3606" s="4">
        <v>3591</v>
      </c>
      <c r="J3606" s="5">
        <v>16156.372629961115</v>
      </c>
      <c r="K3606" s="5">
        <v>14497.035717129334</v>
      </c>
      <c r="L3606" s="5">
        <v>17578.712723867691</v>
      </c>
      <c r="M3606" s="5">
        <v>19430.369425783585</v>
      </c>
      <c r="N3606" s="5">
        <v>8555.1229659096207</v>
      </c>
      <c r="O3606" s="5">
        <v>35286.662852302201</v>
      </c>
      <c r="P3606" s="5">
        <v>6275.8915673055426</v>
      </c>
      <c r="Q3606" s="5">
        <v>19315.033835554255</v>
      </c>
      <c r="R3606" s="5">
        <v>9913.4206865238284</v>
      </c>
    </row>
    <row r="3607" spans="9:18">
      <c r="I3607" s="4">
        <v>3592</v>
      </c>
      <c r="J3607" s="5">
        <v>15417.870921574262</v>
      </c>
      <c r="K3607" s="5">
        <v>21527.93129974293</v>
      </c>
      <c r="L3607" s="5">
        <v>16472.138192556791</v>
      </c>
      <c r="M3607" s="5">
        <v>16881.579299055</v>
      </c>
      <c r="N3607" s="5">
        <v>34295.124147811541</v>
      </c>
      <c r="O3607" s="5">
        <v>20930.098352661731</v>
      </c>
      <c r="P3607" s="5">
        <v>29283.825979394511</v>
      </c>
      <c r="Q3607" s="5">
        <v>52545.991451361173</v>
      </c>
      <c r="R3607" s="5">
        <v>39788.288251916689</v>
      </c>
    </row>
    <row r="3608" spans="9:18">
      <c r="I3608" s="4">
        <v>3593</v>
      </c>
      <c r="J3608" s="5">
        <v>16156.372629961115</v>
      </c>
      <c r="K3608" s="5">
        <v>15782.544184844044</v>
      </c>
      <c r="L3608" s="5">
        <v>21428.663623484812</v>
      </c>
      <c r="M3608" s="5">
        <v>30830.81083227017</v>
      </c>
      <c r="N3608" s="5">
        <v>26565.664379767408</v>
      </c>
      <c r="O3608" s="5">
        <v>40942.522561879181</v>
      </c>
      <c r="P3608" s="5">
        <v>44816.412248582856</v>
      </c>
      <c r="Q3608" s="5">
        <v>116445.46783345108</v>
      </c>
      <c r="R3608" s="5">
        <v>24722.972470599001</v>
      </c>
    </row>
    <row r="3609" spans="9:18">
      <c r="I3609" s="4">
        <v>3594</v>
      </c>
      <c r="J3609" s="5">
        <v>43272.831879770602</v>
      </c>
      <c r="K3609" s="5">
        <v>14854.898507619706</v>
      </c>
      <c r="L3609" s="5">
        <v>17716.90539191998</v>
      </c>
      <c r="M3609" s="5">
        <v>20550.782384061673</v>
      </c>
      <c r="N3609" s="5">
        <v>22010.718648995869</v>
      </c>
      <c r="O3609" s="5">
        <v>28431.436490368542</v>
      </c>
      <c r="P3609" s="5">
        <v>44816.412248582856</v>
      </c>
      <c r="Q3609" s="5">
        <v>68168.482468129529</v>
      </c>
      <c r="R3609" s="5">
        <v>13258.538726001538</v>
      </c>
    </row>
    <row r="3610" spans="9:18">
      <c r="I3610" s="4">
        <v>3595</v>
      </c>
      <c r="J3610" s="5">
        <v>16088.430030489333</v>
      </c>
      <c r="K3610" s="5">
        <v>15782.544184844044</v>
      </c>
      <c r="L3610" s="5">
        <v>16577.562442697115</v>
      </c>
      <c r="M3610" s="5">
        <v>17542.15972125496</v>
      </c>
      <c r="N3610" s="5">
        <v>21931.347680292267</v>
      </c>
      <c r="O3610" s="5">
        <v>5444.7598502623823</v>
      </c>
      <c r="P3610" s="5">
        <v>33500.490132682797</v>
      </c>
      <c r="Q3610" s="5">
        <v>28567.61306643406</v>
      </c>
      <c r="R3610" s="5">
        <v>114016.93673542379</v>
      </c>
    </row>
    <row r="3611" spans="9:18">
      <c r="I3611" s="4">
        <v>3596</v>
      </c>
      <c r="J3611" s="5">
        <v>21150.169973104224</v>
      </c>
      <c r="K3611" s="5">
        <v>34058.671324159091</v>
      </c>
      <c r="L3611" s="5">
        <v>14649.721476864312</v>
      </c>
      <c r="M3611" s="5">
        <v>13011.820191946215</v>
      </c>
      <c r="N3611" s="5">
        <v>18410.937863650517</v>
      </c>
      <c r="O3611" s="5">
        <v>53028.643350899503</v>
      </c>
      <c r="P3611" s="5">
        <v>18963.234565965948</v>
      </c>
      <c r="Q3611" s="5">
        <v>17493.456269945855</v>
      </c>
      <c r="R3611" s="5">
        <v>33863.04333215439</v>
      </c>
    </row>
    <row r="3612" spans="9:18">
      <c r="I3612" s="4">
        <v>3597</v>
      </c>
      <c r="J3612" s="5">
        <v>14749.343145806102</v>
      </c>
      <c r="K3612" s="5">
        <v>13719.930466819731</v>
      </c>
      <c r="L3612" s="5">
        <v>19224.583269019437</v>
      </c>
      <c r="M3612" s="5">
        <v>19151.339770278159</v>
      </c>
      <c r="N3612" s="5">
        <v>14921.795973817481</v>
      </c>
      <c r="O3612" s="5">
        <v>16572.483389649329</v>
      </c>
      <c r="P3612" s="5">
        <v>8662.4232458952465</v>
      </c>
      <c r="Q3612" s="5">
        <v>54060.5331097772</v>
      </c>
      <c r="R3612" s="5">
        <v>8130.5639219412278</v>
      </c>
    </row>
    <row r="3613" spans="9:18">
      <c r="I3613" s="4">
        <v>3598</v>
      </c>
      <c r="J3613" s="5">
        <v>21150.169973104224</v>
      </c>
      <c r="K3613" s="5">
        <v>14674.169276244838</v>
      </c>
      <c r="L3613" s="5">
        <v>16777.996633299583</v>
      </c>
      <c r="M3613" s="5">
        <v>10451.914120098167</v>
      </c>
      <c r="N3613" s="5">
        <v>15804.474686449519</v>
      </c>
      <c r="O3613" s="5">
        <v>16505.600261180331</v>
      </c>
      <c r="P3613" s="5">
        <v>38771.994792132391</v>
      </c>
      <c r="Q3613" s="5">
        <v>27789.973552634947</v>
      </c>
      <c r="R3613" s="5">
        <v>72640.340924600489</v>
      </c>
    </row>
    <row r="3614" spans="9:18">
      <c r="I3614" s="4">
        <v>3599</v>
      </c>
      <c r="J3614" s="5">
        <v>9405.362381917912</v>
      </c>
      <c r="K3614" s="5">
        <v>15768.312122029349</v>
      </c>
      <c r="L3614" s="5">
        <v>22412.045018675239</v>
      </c>
      <c r="M3614" s="5">
        <v>23454.775510296178</v>
      </c>
      <c r="N3614" s="5">
        <v>12592.300437162297</v>
      </c>
      <c r="O3614" s="5">
        <v>8121.6248378263163</v>
      </c>
      <c r="P3614" s="5">
        <v>54923.423457863879</v>
      </c>
      <c r="Q3614" s="5">
        <v>22483.395143121877</v>
      </c>
      <c r="R3614" s="5">
        <v>17991.870496434763</v>
      </c>
    </row>
    <row r="3615" spans="9:18">
      <c r="I3615" s="4">
        <v>3600</v>
      </c>
      <c r="J3615" s="5">
        <v>16788.081681455456</v>
      </c>
      <c r="K3615" s="5">
        <v>11149.572204897504</v>
      </c>
      <c r="L3615" s="5">
        <v>27144.958215276103</v>
      </c>
      <c r="M3615" s="5">
        <v>29041.83725675238</v>
      </c>
      <c r="N3615" s="5">
        <v>15804.474686449519</v>
      </c>
      <c r="O3615" s="5">
        <v>10738.305003664611</v>
      </c>
      <c r="P3615" s="5">
        <v>10966.822219855034</v>
      </c>
      <c r="Q3615" s="5">
        <v>3909.239690544402</v>
      </c>
      <c r="R3615" s="5">
        <v>3989.7956692889929</v>
      </c>
    </row>
    <row r="3616" spans="9:18">
      <c r="I3616" s="4">
        <v>3601</v>
      </c>
      <c r="J3616" s="5">
        <v>73074.062486361407</v>
      </c>
      <c r="K3616" s="5">
        <v>21958.925144875713</v>
      </c>
      <c r="L3616" s="5">
        <v>13023.361770761438</v>
      </c>
      <c r="M3616" s="5">
        <v>13642.678686731051</v>
      </c>
      <c r="N3616" s="5">
        <v>14335.478134989447</v>
      </c>
      <c r="O3616" s="5">
        <v>13613.378495715853</v>
      </c>
      <c r="P3616" s="5">
        <v>21813.848941464526</v>
      </c>
      <c r="Q3616" s="5">
        <v>16803.875627203233</v>
      </c>
      <c r="R3616" s="5">
        <v>7952.6989268572033</v>
      </c>
    </row>
    <row r="3617" spans="9:18">
      <c r="I3617" s="4">
        <v>3602</v>
      </c>
      <c r="J3617" s="5">
        <v>14710.037865351254</v>
      </c>
      <c r="K3617" s="5">
        <v>13719.930466819731</v>
      </c>
      <c r="L3617" s="5">
        <v>22412.045018675239</v>
      </c>
      <c r="M3617" s="5">
        <v>26477.996319655329</v>
      </c>
      <c r="N3617" s="5">
        <v>23583.581287126868</v>
      </c>
      <c r="O3617" s="5">
        <v>35286.662852302201</v>
      </c>
      <c r="P3617" s="5">
        <v>13452.921824087563</v>
      </c>
      <c r="Q3617" s="5">
        <v>6386.5227360487288</v>
      </c>
      <c r="R3617" s="5">
        <v>51141.799458534304</v>
      </c>
    </row>
    <row r="3618" spans="9:18">
      <c r="I3618" s="4">
        <v>3603</v>
      </c>
      <c r="J3618" s="5">
        <v>14741.240040396578</v>
      </c>
      <c r="K3618" s="5">
        <v>15698.764831033119</v>
      </c>
      <c r="L3618" s="5">
        <v>14364.472927446199</v>
      </c>
      <c r="M3618" s="5">
        <v>37411.178129764201</v>
      </c>
      <c r="N3618" s="5">
        <v>27833.630848857778</v>
      </c>
      <c r="O3618" s="5">
        <v>53028.643350899503</v>
      </c>
      <c r="P3618" s="5">
        <v>9482.0186426688688</v>
      </c>
      <c r="Q3618" s="5">
        <v>9454.5906023793759</v>
      </c>
      <c r="R3618" s="5">
        <v>33290.909836056817</v>
      </c>
    </row>
    <row r="3619" spans="9:18">
      <c r="I3619" s="4">
        <v>3604</v>
      </c>
      <c r="J3619" s="5">
        <v>19121.054099180623</v>
      </c>
      <c r="K3619" s="5">
        <v>30552.499930043898</v>
      </c>
      <c r="L3619" s="5">
        <v>14042.41908879921</v>
      </c>
      <c r="M3619" s="5">
        <v>21332.072353846772</v>
      </c>
      <c r="N3619" s="5">
        <v>14240.123545764454</v>
      </c>
      <c r="O3619" s="5">
        <v>15124.35050053727</v>
      </c>
      <c r="P3619" s="5">
        <v>63015.124693769802</v>
      </c>
      <c r="Q3619" s="5">
        <v>54060.5331097772</v>
      </c>
      <c r="R3619" s="5">
        <v>24722.972470599001</v>
      </c>
    </row>
    <row r="3620" spans="9:18">
      <c r="I3620" s="4">
        <v>3605</v>
      </c>
      <c r="J3620" s="5">
        <v>19121.054099180623</v>
      </c>
      <c r="K3620" s="5">
        <v>31910.762633549082</v>
      </c>
      <c r="L3620" s="5">
        <v>17243.440968229323</v>
      </c>
      <c r="M3620" s="5">
        <v>31460.745851561904</v>
      </c>
      <c r="N3620" s="5">
        <v>11635.644856128632</v>
      </c>
      <c r="O3620" s="5">
        <v>9869.5889207969612</v>
      </c>
      <c r="P3620" s="5">
        <v>16650.229067545235</v>
      </c>
      <c r="Q3620" s="5">
        <v>37277.391668005912</v>
      </c>
      <c r="R3620" s="5">
        <v>19133.693426869788</v>
      </c>
    </row>
    <row r="3621" spans="9:18">
      <c r="I3621" s="4">
        <v>3606</v>
      </c>
      <c r="J3621" s="5">
        <v>7855.2948890116513</v>
      </c>
      <c r="K3621" s="5">
        <v>61827.107730316675</v>
      </c>
      <c r="L3621" s="5">
        <v>18810.091753970282</v>
      </c>
      <c r="M3621" s="5">
        <v>6367.5407465007311</v>
      </c>
      <c r="N3621" s="5">
        <v>23746.795665493762</v>
      </c>
      <c r="O3621" s="5">
        <v>9956.4031238965053</v>
      </c>
      <c r="P3621" s="5">
        <v>40377.463755170742</v>
      </c>
      <c r="Q3621" s="5">
        <v>22895.455950885695</v>
      </c>
      <c r="R3621" s="5">
        <v>91403.228438796665</v>
      </c>
    </row>
    <row r="3622" spans="9:18">
      <c r="I3622" s="4">
        <v>3607</v>
      </c>
      <c r="J3622" s="5">
        <v>16145.071869702888</v>
      </c>
      <c r="K3622" s="5">
        <v>56656.842992470461</v>
      </c>
      <c r="L3622" s="5">
        <v>18810.091753970282</v>
      </c>
      <c r="M3622" s="5">
        <v>19430.369425783585</v>
      </c>
      <c r="N3622" s="5">
        <v>14335.478134989447</v>
      </c>
      <c r="O3622" s="5">
        <v>25604.597681740845</v>
      </c>
      <c r="P3622" s="5">
        <v>49519.098753410741</v>
      </c>
      <c r="Q3622" s="5">
        <v>35525.432376048877</v>
      </c>
      <c r="R3622" s="5">
        <v>7784.2246210242874</v>
      </c>
    </row>
    <row r="3623" spans="9:18">
      <c r="I3623" s="4">
        <v>3608</v>
      </c>
      <c r="J3623" s="5">
        <v>14076.209333698853</v>
      </c>
      <c r="K3623" s="5">
        <v>15631.937142257386</v>
      </c>
      <c r="L3623" s="5">
        <v>15225.811035017256</v>
      </c>
      <c r="M3623" s="5">
        <v>23913.435663027711</v>
      </c>
      <c r="N3623" s="5">
        <v>24020.875410266352</v>
      </c>
      <c r="O3623" s="5">
        <v>10746.295275180995</v>
      </c>
      <c r="P3623" s="5">
        <v>17643.087208586294</v>
      </c>
      <c r="Q3623" s="5">
        <v>37277.391668005912</v>
      </c>
      <c r="R3623" s="5">
        <v>17991.870496434763</v>
      </c>
    </row>
    <row r="3624" spans="9:18">
      <c r="I3624" s="4">
        <v>3609</v>
      </c>
      <c r="J3624" s="5">
        <v>9368.8270679249108</v>
      </c>
      <c r="K3624" s="5">
        <v>23934.551191616061</v>
      </c>
      <c r="L3624" s="5">
        <v>15126.980926457318</v>
      </c>
      <c r="M3624" s="5">
        <v>15346.383801976139</v>
      </c>
      <c r="N3624" s="5">
        <v>46248.895746171031</v>
      </c>
      <c r="O3624" s="5">
        <v>11282.178219986479</v>
      </c>
      <c r="P3624" s="5">
        <v>44816.412248582856</v>
      </c>
      <c r="Q3624" s="5">
        <v>12253.299944531094</v>
      </c>
      <c r="R3624" s="5">
        <v>31715.273557891396</v>
      </c>
    </row>
    <row r="3625" spans="9:18">
      <c r="I3625" s="4">
        <v>3610</v>
      </c>
      <c r="J3625" s="5">
        <v>15648.665245032147</v>
      </c>
      <c r="K3625" s="5">
        <v>14136.873097602549</v>
      </c>
      <c r="L3625" s="5">
        <v>16017.890956041876</v>
      </c>
      <c r="M3625" s="5">
        <v>11680.747299075838</v>
      </c>
      <c r="N3625" s="5">
        <v>40377.252444397986</v>
      </c>
      <c r="O3625" s="5">
        <v>9320.7026593487881</v>
      </c>
      <c r="P3625" s="5">
        <v>9826.8369575407578</v>
      </c>
      <c r="Q3625" s="5">
        <v>21421.044775857536</v>
      </c>
      <c r="R3625" s="5">
        <v>16039.216896723072</v>
      </c>
    </row>
    <row r="3626" spans="9:18">
      <c r="I3626" s="4">
        <v>3611</v>
      </c>
      <c r="J3626" s="5">
        <v>15786.811016780619</v>
      </c>
      <c r="K3626" s="5">
        <v>18086.448513145526</v>
      </c>
      <c r="L3626" s="5">
        <v>22319.409576580376</v>
      </c>
      <c r="M3626" s="5">
        <v>41698.977215629871</v>
      </c>
      <c r="N3626" s="5">
        <v>41563.89847100406</v>
      </c>
      <c r="O3626" s="5">
        <v>10738.305003664611</v>
      </c>
      <c r="P3626" s="5">
        <v>6275.8915673055426</v>
      </c>
      <c r="Q3626" s="5">
        <v>30495.121067047665</v>
      </c>
      <c r="R3626" s="5">
        <v>122304.95880137496</v>
      </c>
    </row>
    <row r="3627" spans="9:18">
      <c r="I3627" s="4">
        <v>3612</v>
      </c>
      <c r="J3627" s="5">
        <v>29760.443016608337</v>
      </c>
      <c r="K3627" s="5">
        <v>11558.357574452555</v>
      </c>
      <c r="L3627" s="5">
        <v>18475.258050488967</v>
      </c>
      <c r="M3627" s="5">
        <v>16510.442870615672</v>
      </c>
      <c r="N3627" s="5">
        <v>8104.6265149430556</v>
      </c>
      <c r="O3627" s="5">
        <v>20991.103410982985</v>
      </c>
      <c r="P3627" s="5">
        <v>35569.894390728325</v>
      </c>
      <c r="Q3627" s="5">
        <v>27789.973552634947</v>
      </c>
      <c r="R3627" s="5">
        <v>17991.870496434763</v>
      </c>
    </row>
    <row r="3628" spans="9:18">
      <c r="I3628" s="4">
        <v>3613</v>
      </c>
      <c r="J3628" s="5">
        <v>14750.660273177687</v>
      </c>
      <c r="K3628" s="5">
        <v>8124.7965732661823</v>
      </c>
      <c r="L3628" s="5">
        <v>16777.996633299583</v>
      </c>
      <c r="M3628" s="5">
        <v>16510.442870615672</v>
      </c>
      <c r="N3628" s="5">
        <v>37309.151967087455</v>
      </c>
      <c r="O3628" s="5">
        <v>67717.30633712461</v>
      </c>
      <c r="P3628" s="5">
        <v>54100.778483493887</v>
      </c>
      <c r="Q3628" s="5">
        <v>52421.574537857021</v>
      </c>
      <c r="R3628" s="5">
        <v>6681.1887184356683</v>
      </c>
    </row>
    <row r="3629" spans="9:18">
      <c r="I3629" s="4">
        <v>3614</v>
      </c>
      <c r="J3629" s="5">
        <v>17592.832480262863</v>
      </c>
      <c r="K3629" s="5">
        <v>23327.217259521742</v>
      </c>
      <c r="L3629" s="5">
        <v>22018.381599979773</v>
      </c>
      <c r="M3629" s="5">
        <v>31460.745851561904</v>
      </c>
      <c r="N3629" s="5">
        <v>25424.029865101274</v>
      </c>
      <c r="O3629" s="5">
        <v>41800.463215706819</v>
      </c>
      <c r="P3629" s="5">
        <v>26126.807131356076</v>
      </c>
      <c r="Q3629" s="5">
        <v>20883.852062640355</v>
      </c>
      <c r="R3629" s="5">
        <v>40368.364083205248</v>
      </c>
    </row>
    <row r="3630" spans="9:18">
      <c r="I3630" s="4">
        <v>3615</v>
      </c>
      <c r="J3630" s="5">
        <v>12035.382213755307</v>
      </c>
      <c r="K3630" s="5">
        <v>12423.491400404893</v>
      </c>
      <c r="L3630" s="5">
        <v>17073.17760523731</v>
      </c>
      <c r="M3630" s="5">
        <v>13065.820809359835</v>
      </c>
      <c r="N3630" s="5">
        <v>12297.015342318469</v>
      </c>
      <c r="O3630" s="5">
        <v>35865.625349531729</v>
      </c>
      <c r="P3630" s="5">
        <v>33715.790977629549</v>
      </c>
      <c r="Q3630" s="5">
        <v>30495.121067047665</v>
      </c>
      <c r="R3630" s="5">
        <v>51141.799458534304</v>
      </c>
    </row>
    <row r="3631" spans="9:18">
      <c r="I3631" s="4">
        <v>3616</v>
      </c>
      <c r="J3631" s="5">
        <v>16544.73779470181</v>
      </c>
      <c r="K3631" s="5">
        <v>32073.547537933715</v>
      </c>
      <c r="L3631" s="5">
        <v>14175.160754078657</v>
      </c>
      <c r="M3631" s="5">
        <v>9623.0342442006167</v>
      </c>
      <c r="N3631" s="5">
        <v>24853.247795632611</v>
      </c>
      <c r="O3631" s="5">
        <v>8121.6248378263163</v>
      </c>
      <c r="P3631" s="5">
        <v>22708.601480587709</v>
      </c>
      <c r="Q3631" s="5">
        <v>47365.380972950254</v>
      </c>
      <c r="R3631" s="5">
        <v>216919.53009911609</v>
      </c>
    </row>
    <row r="3632" spans="9:18">
      <c r="I3632" s="4">
        <v>3617</v>
      </c>
      <c r="J3632" s="5">
        <v>13663.281817546009</v>
      </c>
      <c r="K3632" s="5">
        <v>30552.499930043898</v>
      </c>
      <c r="L3632" s="5">
        <v>27289.607394458035</v>
      </c>
      <c r="M3632" s="5">
        <v>9623.0342442006167</v>
      </c>
      <c r="N3632" s="5">
        <v>39672.376281023731</v>
      </c>
      <c r="O3632" s="5">
        <v>42492.261063288854</v>
      </c>
      <c r="P3632" s="5">
        <v>95486.196907583406</v>
      </c>
      <c r="Q3632" s="5">
        <v>12451.066014448154</v>
      </c>
      <c r="R3632" s="5">
        <v>50287.76786557267</v>
      </c>
    </row>
    <row r="3633" spans="9:18">
      <c r="I3633" s="4">
        <v>3618</v>
      </c>
      <c r="J3633" s="5">
        <v>13045.114546182727</v>
      </c>
      <c r="K3633" s="5">
        <v>14854.898507619706</v>
      </c>
      <c r="L3633" s="5">
        <v>13358.459356674217</v>
      </c>
      <c r="M3633" s="5">
        <v>22815.60259636537</v>
      </c>
      <c r="N3633" s="5">
        <v>16418.492928415813</v>
      </c>
      <c r="O3633" s="5">
        <v>8801.3667015774663</v>
      </c>
      <c r="P3633" s="5">
        <v>3017.2887813579896</v>
      </c>
      <c r="Q3633" s="5">
        <v>30266.563414010914</v>
      </c>
      <c r="R3633" s="5">
        <v>7952.6989268572033</v>
      </c>
    </row>
    <row r="3634" spans="9:18">
      <c r="I3634" s="4">
        <v>3619</v>
      </c>
      <c r="J3634" s="5">
        <v>15623.733864199699</v>
      </c>
      <c r="K3634" s="5">
        <v>31910.762633549082</v>
      </c>
      <c r="L3634" s="5">
        <v>16106.634875163341</v>
      </c>
      <c r="M3634" s="5">
        <v>19795.661011456152</v>
      </c>
      <c r="N3634" s="5">
        <v>12523.573732460784</v>
      </c>
      <c r="O3634" s="5">
        <v>35286.662852302201</v>
      </c>
      <c r="P3634" s="5">
        <v>40377.463755170742</v>
      </c>
      <c r="Q3634" s="5">
        <v>68168.482468129529</v>
      </c>
      <c r="R3634" s="5">
        <v>2180.6148629084787</v>
      </c>
    </row>
    <row r="3635" spans="9:18">
      <c r="I3635" s="4">
        <v>3620</v>
      </c>
      <c r="J3635" s="5">
        <v>16145.071869702888</v>
      </c>
      <c r="K3635" s="5">
        <v>61827.107730316675</v>
      </c>
      <c r="L3635" s="5">
        <v>14796.875457021113</v>
      </c>
      <c r="M3635" s="5">
        <v>23454.775510296178</v>
      </c>
      <c r="N3635" s="5">
        <v>26565.664379767408</v>
      </c>
      <c r="O3635" s="5">
        <v>13613.378495715853</v>
      </c>
      <c r="P3635" s="5">
        <v>16072.735485912413</v>
      </c>
      <c r="Q3635" s="5">
        <v>10151.908492905288</v>
      </c>
      <c r="R3635" s="5">
        <v>72640.340924600489</v>
      </c>
    </row>
    <row r="3636" spans="9:18">
      <c r="I3636" s="4">
        <v>3621</v>
      </c>
      <c r="J3636" s="5">
        <v>17679.321624063952</v>
      </c>
      <c r="K3636" s="5">
        <v>16934.093371663999</v>
      </c>
      <c r="L3636" s="5">
        <v>16777.996633299583</v>
      </c>
      <c r="M3636" s="5">
        <v>36301.422888051464</v>
      </c>
      <c r="N3636" s="5">
        <v>22010.718648995869</v>
      </c>
      <c r="O3636" s="5">
        <v>10270.120415297655</v>
      </c>
      <c r="P3636" s="5">
        <v>9826.8369575407578</v>
      </c>
      <c r="Q3636" s="5">
        <v>37802.358878968138</v>
      </c>
      <c r="R3636" s="5">
        <v>41418.225609677866</v>
      </c>
    </row>
    <row r="3637" spans="9:18">
      <c r="I3637" s="4">
        <v>3622</v>
      </c>
      <c r="J3637" s="5">
        <v>16088.430030489333</v>
      </c>
      <c r="K3637" s="5">
        <v>13652.224205833634</v>
      </c>
      <c r="L3637" s="5">
        <v>16472.138192556791</v>
      </c>
      <c r="M3637" s="5">
        <v>23067.94260629595</v>
      </c>
      <c r="N3637" s="5">
        <v>22010.718648995869</v>
      </c>
      <c r="O3637" s="5">
        <v>9956.4031238965053</v>
      </c>
      <c r="P3637" s="5">
        <v>9482.0186426688688</v>
      </c>
      <c r="Q3637" s="5">
        <v>8502.450657922871</v>
      </c>
      <c r="R3637" s="5">
        <v>114016.93673542379</v>
      </c>
    </row>
    <row r="3638" spans="9:18">
      <c r="I3638" s="4">
        <v>3623</v>
      </c>
      <c r="J3638" s="5">
        <v>15873.12561080002</v>
      </c>
      <c r="K3638" s="5">
        <v>11149.572204897504</v>
      </c>
      <c r="L3638" s="5">
        <v>25007.552172398639</v>
      </c>
      <c r="M3638" s="5">
        <v>18691.941789825862</v>
      </c>
      <c r="N3638" s="5">
        <v>20292.069765667391</v>
      </c>
      <c r="O3638" s="5">
        <v>13613.378495715853</v>
      </c>
      <c r="P3638" s="5">
        <v>5836.7810663002319</v>
      </c>
      <c r="Q3638" s="5">
        <v>8832.660767995616</v>
      </c>
      <c r="R3638" s="5">
        <v>6681.1887184356683</v>
      </c>
    </row>
    <row r="3639" spans="9:18">
      <c r="I3639" s="4">
        <v>3624</v>
      </c>
      <c r="J3639" s="5">
        <v>21888.821432026474</v>
      </c>
      <c r="K3639" s="5">
        <v>23934.551191616061</v>
      </c>
      <c r="L3639" s="5">
        <v>15300.182042823812</v>
      </c>
      <c r="M3639" s="5">
        <v>21332.072353846772</v>
      </c>
      <c r="N3639" s="5">
        <v>22010.718648995869</v>
      </c>
      <c r="O3639" s="5">
        <v>77417.02098927302</v>
      </c>
      <c r="P3639" s="5">
        <v>35569.894390728325</v>
      </c>
      <c r="Q3639" s="5">
        <v>48866.209623168346</v>
      </c>
      <c r="R3639" s="5">
        <v>7952.6989268572033</v>
      </c>
    </row>
    <row r="3640" spans="9:18">
      <c r="I3640" s="4">
        <v>3625</v>
      </c>
      <c r="J3640" s="5">
        <v>16145.071869702888</v>
      </c>
      <c r="K3640" s="5">
        <v>11558.357574452555</v>
      </c>
      <c r="L3640" s="5">
        <v>17482.478480142941</v>
      </c>
      <c r="M3640" s="5">
        <v>24981.974172352908</v>
      </c>
      <c r="N3640" s="5">
        <v>23008.246229813707</v>
      </c>
      <c r="O3640" s="5">
        <v>40581.847217937895</v>
      </c>
      <c r="P3640" s="5">
        <v>6275.8915673055426</v>
      </c>
      <c r="Q3640" s="5">
        <v>64585.328088516922</v>
      </c>
      <c r="R3640" s="5">
        <v>7394.6358885760465</v>
      </c>
    </row>
    <row r="3641" spans="9:18">
      <c r="I3641" s="4">
        <v>3626</v>
      </c>
      <c r="J3641" s="5">
        <v>14344.692898101612</v>
      </c>
      <c r="K3641" s="5">
        <v>22732.797143159998</v>
      </c>
      <c r="L3641" s="5">
        <v>16017.890956041876</v>
      </c>
      <c r="M3641" s="5">
        <v>11860.862376247747</v>
      </c>
      <c r="N3641" s="5">
        <v>27841.916587595573</v>
      </c>
      <c r="O3641" s="5">
        <v>15124.35050053727</v>
      </c>
      <c r="P3641" s="5">
        <v>17996.895987204196</v>
      </c>
      <c r="Q3641" s="5">
        <v>52421.574537857021</v>
      </c>
      <c r="R3641" s="5">
        <v>261393.32711858812</v>
      </c>
    </row>
    <row r="3642" spans="9:18">
      <c r="I3642" s="4">
        <v>3627</v>
      </c>
      <c r="J3642" s="5">
        <v>13841.207384998772</v>
      </c>
      <c r="K3642" s="5">
        <v>8223.1266007477425</v>
      </c>
      <c r="L3642" s="5">
        <v>23760.785349782636</v>
      </c>
      <c r="M3642" s="5">
        <v>23449.501569180404</v>
      </c>
      <c r="N3642" s="5">
        <v>12523.573732460784</v>
      </c>
      <c r="O3642" s="5">
        <v>45451.954570113048</v>
      </c>
      <c r="P3642" s="5">
        <v>40377.463755170742</v>
      </c>
      <c r="Q3642" s="5">
        <v>44911.749632594299</v>
      </c>
      <c r="R3642" s="5">
        <v>34970.397641695177</v>
      </c>
    </row>
    <row r="3643" spans="9:18">
      <c r="I3643" s="4">
        <v>3628</v>
      </c>
      <c r="J3643" s="5">
        <v>16459.003095225507</v>
      </c>
      <c r="K3643" s="5">
        <v>14351.415257675473</v>
      </c>
      <c r="L3643" s="5">
        <v>15651.346103181355</v>
      </c>
      <c r="M3643" s="5">
        <v>10142.860128720422</v>
      </c>
      <c r="N3643" s="5">
        <v>32184.535272543482</v>
      </c>
      <c r="O3643" s="5">
        <v>53007.660727727191</v>
      </c>
      <c r="P3643" s="5">
        <v>6275.8915673055426</v>
      </c>
      <c r="Q3643" s="5">
        <v>17153.530968450712</v>
      </c>
      <c r="R3643" s="5">
        <v>51358.6267760993</v>
      </c>
    </row>
    <row r="3644" spans="9:18">
      <c r="I3644" s="4">
        <v>3629</v>
      </c>
      <c r="J3644" s="5">
        <v>9368.8270679249108</v>
      </c>
      <c r="K3644" s="5">
        <v>37822.375317881044</v>
      </c>
      <c r="L3644" s="5">
        <v>15664.99858445921</v>
      </c>
      <c r="M3644" s="5">
        <v>11860.862376247747</v>
      </c>
      <c r="N3644" s="5">
        <v>18410.937863650517</v>
      </c>
      <c r="O3644" s="5">
        <v>49114.195066822271</v>
      </c>
      <c r="P3644" s="5">
        <v>33715.790977629549</v>
      </c>
      <c r="Q3644" s="5">
        <v>17234.335939857254</v>
      </c>
      <c r="R3644" s="5">
        <v>41418.225609677866</v>
      </c>
    </row>
    <row r="3645" spans="9:18">
      <c r="I3645" s="4">
        <v>3630</v>
      </c>
      <c r="J3645" s="5">
        <v>16511.332839561353</v>
      </c>
      <c r="K3645" s="5">
        <v>9739.7813029644258</v>
      </c>
      <c r="L3645" s="5">
        <v>20698.842353987733</v>
      </c>
      <c r="M3645" s="5">
        <v>17116.951435661951</v>
      </c>
      <c r="N3645" s="5">
        <v>42744.618431291936</v>
      </c>
      <c r="O3645" s="5">
        <v>55264.438774006347</v>
      </c>
      <c r="P3645" s="5">
        <v>10180.109839011631</v>
      </c>
      <c r="Q3645" s="5">
        <v>59964.86015574776</v>
      </c>
      <c r="R3645" s="5">
        <v>18349.337771428582</v>
      </c>
    </row>
    <row r="3646" spans="9:18">
      <c r="I3646" s="4">
        <v>3631</v>
      </c>
      <c r="J3646" s="5">
        <v>31559.699247539775</v>
      </c>
      <c r="K3646" s="5">
        <v>43843.85059185313</v>
      </c>
      <c r="L3646" s="5">
        <v>17128.574519497746</v>
      </c>
      <c r="M3646" s="5">
        <v>18816.787977140237</v>
      </c>
      <c r="N3646" s="5">
        <v>34295.124147811541</v>
      </c>
      <c r="O3646" s="5">
        <v>53504.725169095313</v>
      </c>
      <c r="P3646" s="5">
        <v>16072.735485912413</v>
      </c>
      <c r="Q3646" s="5">
        <v>20883.852062640355</v>
      </c>
      <c r="R3646" s="5">
        <v>81423.874800517297</v>
      </c>
    </row>
    <row r="3647" spans="9:18">
      <c r="I3647" s="4">
        <v>3632</v>
      </c>
      <c r="J3647" s="5">
        <v>12056.41843703942</v>
      </c>
      <c r="K3647" s="5">
        <v>20887.307279900142</v>
      </c>
      <c r="L3647" s="5">
        <v>15060.431658965737</v>
      </c>
      <c r="M3647" s="5">
        <v>19262.243095117232</v>
      </c>
      <c r="N3647" s="5">
        <v>26152.705108198839</v>
      </c>
      <c r="O3647" s="5">
        <v>4231.3144655921506</v>
      </c>
      <c r="P3647" s="5">
        <v>12790.85158217316</v>
      </c>
      <c r="Q3647" s="5">
        <v>12451.066014448154</v>
      </c>
      <c r="R3647" s="5">
        <v>41056.152565483346</v>
      </c>
    </row>
    <row r="3648" spans="9:18">
      <c r="I3648" s="4">
        <v>3633</v>
      </c>
      <c r="J3648" s="5">
        <v>18650.249281571734</v>
      </c>
      <c r="K3648" s="5">
        <v>95171.967522309933</v>
      </c>
      <c r="L3648" s="5">
        <v>14649.721476864312</v>
      </c>
      <c r="M3648" s="5">
        <v>17370.588707072598</v>
      </c>
      <c r="N3648" s="5">
        <v>21933.097106966918</v>
      </c>
      <c r="O3648" s="5">
        <v>20930.098352661731</v>
      </c>
      <c r="P3648" s="5">
        <v>27708.613526855763</v>
      </c>
      <c r="Q3648" s="5">
        <v>8880.8074399558282</v>
      </c>
      <c r="R3648" s="5">
        <v>33290.909836056817</v>
      </c>
    </row>
    <row r="3649" spans="9:18">
      <c r="I3649" s="4">
        <v>3634</v>
      </c>
      <c r="J3649" s="5">
        <v>14960.076233580705</v>
      </c>
      <c r="K3649" s="5">
        <v>18218.584572172625</v>
      </c>
      <c r="L3649" s="5">
        <v>14811.370758813007</v>
      </c>
      <c r="M3649" s="5">
        <v>14660.631931099009</v>
      </c>
      <c r="N3649" s="5">
        <v>16148.901635865295</v>
      </c>
      <c r="O3649" s="5">
        <v>8121.6248378263163</v>
      </c>
      <c r="P3649" s="5">
        <v>35213.322626437533</v>
      </c>
      <c r="Q3649" s="5">
        <v>48866.209623168346</v>
      </c>
      <c r="R3649" s="5">
        <v>44707.053087992797</v>
      </c>
    </row>
    <row r="3650" spans="9:18">
      <c r="I3650" s="4">
        <v>3635</v>
      </c>
      <c r="J3650" s="5">
        <v>12035.382213755307</v>
      </c>
      <c r="K3650" s="5">
        <v>15698.764831033119</v>
      </c>
      <c r="L3650" s="5">
        <v>15161.007794371622</v>
      </c>
      <c r="M3650" s="5">
        <v>31472.019071027709</v>
      </c>
      <c r="N3650" s="5">
        <v>11684.605182472778</v>
      </c>
      <c r="O3650" s="5">
        <v>3171.3006415671193</v>
      </c>
      <c r="P3650" s="5">
        <v>27452.975716953504</v>
      </c>
      <c r="Q3650" s="5">
        <v>53055.59182561023</v>
      </c>
      <c r="R3650" s="5">
        <v>17991.870496434763</v>
      </c>
    </row>
    <row r="3651" spans="9:18">
      <c r="I3651" s="4">
        <v>3636</v>
      </c>
      <c r="J3651" s="5">
        <v>16016.491239086423</v>
      </c>
      <c r="K3651" s="5">
        <v>11149.572204897504</v>
      </c>
      <c r="L3651" s="5">
        <v>18215.751370765771</v>
      </c>
      <c r="M3651" s="5">
        <v>23449.501569180404</v>
      </c>
      <c r="N3651" s="5">
        <v>12297.015342318469</v>
      </c>
      <c r="O3651" s="5">
        <v>24422.445067017139</v>
      </c>
      <c r="P3651" s="5">
        <v>3831.1492650071077</v>
      </c>
      <c r="Q3651" s="5">
        <v>53055.59182561023</v>
      </c>
      <c r="R3651" s="5">
        <v>34970.397641695177</v>
      </c>
    </row>
    <row r="3652" spans="9:18">
      <c r="I3652" s="4">
        <v>3637</v>
      </c>
      <c r="J3652" s="5">
        <v>14750.660273177687</v>
      </c>
      <c r="K3652" s="5">
        <v>14611.618478071941</v>
      </c>
      <c r="L3652" s="5">
        <v>15161.007794371622</v>
      </c>
      <c r="M3652" s="5">
        <v>14217.48832834715</v>
      </c>
      <c r="N3652" s="5">
        <v>12523.573732460784</v>
      </c>
      <c r="O3652" s="5">
        <v>8121.6248378263163</v>
      </c>
      <c r="P3652" s="5">
        <v>14773.185437294762</v>
      </c>
      <c r="Q3652" s="5">
        <v>13099.063525342741</v>
      </c>
      <c r="R3652" s="5">
        <v>39727.513802035661</v>
      </c>
    </row>
    <row r="3653" spans="9:18">
      <c r="I3653" s="4">
        <v>3638</v>
      </c>
      <c r="J3653" s="5">
        <v>22370.105711697011</v>
      </c>
      <c r="K3653" s="5">
        <v>61827.107730316675</v>
      </c>
      <c r="L3653" s="5">
        <v>16014.071850041886</v>
      </c>
      <c r="M3653" s="5">
        <v>15202.972920708273</v>
      </c>
      <c r="N3653" s="5">
        <v>39672.376281023731</v>
      </c>
      <c r="O3653" s="5">
        <v>42492.261063288854</v>
      </c>
      <c r="P3653" s="5">
        <v>95486.196907583406</v>
      </c>
      <c r="Q3653" s="5">
        <v>8880.8074399558282</v>
      </c>
      <c r="R3653" s="5">
        <v>40368.364083205248</v>
      </c>
    </row>
    <row r="3654" spans="9:18">
      <c r="I3654" s="4">
        <v>3639</v>
      </c>
      <c r="J3654" s="5">
        <v>14420.293087375476</v>
      </c>
      <c r="K3654" s="5">
        <v>13719.930466819731</v>
      </c>
      <c r="L3654" s="5">
        <v>17845.207337527903</v>
      </c>
      <c r="M3654" s="5">
        <v>12987.517521908694</v>
      </c>
      <c r="N3654" s="5">
        <v>23008.246229813707</v>
      </c>
      <c r="O3654" s="5">
        <v>35865.625349531729</v>
      </c>
      <c r="P3654" s="5">
        <v>9482.0186426688688</v>
      </c>
      <c r="Q3654" s="5">
        <v>96632.959478514502</v>
      </c>
      <c r="R3654" s="5">
        <v>6360.7905155660001</v>
      </c>
    </row>
    <row r="3655" spans="9:18">
      <c r="I3655" s="4">
        <v>3640</v>
      </c>
      <c r="J3655" s="5">
        <v>15873.12561080002</v>
      </c>
      <c r="K3655" s="5">
        <v>14136.873097602549</v>
      </c>
      <c r="L3655" s="5">
        <v>15225.811035017256</v>
      </c>
      <c r="M3655" s="5">
        <v>32751.734100446065</v>
      </c>
      <c r="N3655" s="5">
        <v>28426.778914975595</v>
      </c>
      <c r="O3655" s="5">
        <v>8801.3667015774663</v>
      </c>
      <c r="P3655" s="5">
        <v>31127.87225845682</v>
      </c>
      <c r="Q3655" s="5">
        <v>96632.959478514502</v>
      </c>
      <c r="R3655" s="5">
        <v>2180.6148629084787</v>
      </c>
    </row>
    <row r="3656" spans="9:18">
      <c r="I3656" s="4">
        <v>3641</v>
      </c>
      <c r="J3656" s="5">
        <v>16305.770155972396</v>
      </c>
      <c r="K3656" s="5">
        <v>13520.836427679104</v>
      </c>
      <c r="L3656" s="5">
        <v>29265.217478369766</v>
      </c>
      <c r="M3656" s="5">
        <v>36301.422888051464</v>
      </c>
      <c r="N3656" s="5">
        <v>11684.605182472778</v>
      </c>
      <c r="O3656" s="5">
        <v>13613.378495715853</v>
      </c>
      <c r="P3656" s="5">
        <v>55119.366528283317</v>
      </c>
      <c r="Q3656" s="5">
        <v>8474.2603471579441</v>
      </c>
      <c r="R3656" s="5">
        <v>17687.533637716911</v>
      </c>
    </row>
    <row r="3657" spans="9:18">
      <c r="I3657" s="4">
        <v>3642</v>
      </c>
      <c r="J3657" s="5">
        <v>28214.771032351968</v>
      </c>
      <c r="K3657" s="5">
        <v>9739.7813029644258</v>
      </c>
      <c r="L3657" s="5">
        <v>14175.160754078657</v>
      </c>
      <c r="M3657" s="5">
        <v>12987.517521908694</v>
      </c>
      <c r="N3657" s="5">
        <v>39406.658185292261</v>
      </c>
      <c r="O3657" s="5">
        <v>25604.597681740845</v>
      </c>
      <c r="P3657" s="5">
        <v>10966.822219855034</v>
      </c>
      <c r="Q3657" s="5">
        <v>31974.553851773013</v>
      </c>
      <c r="R3657" s="5">
        <v>24722.972470599001</v>
      </c>
    </row>
    <row r="3658" spans="9:18">
      <c r="I3658" s="4">
        <v>3643</v>
      </c>
      <c r="J3658" s="5">
        <v>19467.17453557903</v>
      </c>
      <c r="K3658" s="5">
        <v>20887.307279900142</v>
      </c>
      <c r="L3658" s="5">
        <v>16014.071850041886</v>
      </c>
      <c r="M3658" s="5">
        <v>13139.022167648376</v>
      </c>
      <c r="N3658" s="5">
        <v>22010.718648995869</v>
      </c>
      <c r="O3658" s="5">
        <v>27508.313315384185</v>
      </c>
      <c r="P3658" s="5">
        <v>29283.825979394511</v>
      </c>
      <c r="Q3658" s="5">
        <v>20883.852062640355</v>
      </c>
      <c r="R3658" s="5">
        <v>72640.340924600489</v>
      </c>
    </row>
    <row r="3659" spans="9:18">
      <c r="I3659" s="4">
        <v>3644</v>
      </c>
      <c r="J3659" s="5">
        <v>16145.071869702888</v>
      </c>
      <c r="K3659" s="5">
        <v>17003.901855709089</v>
      </c>
      <c r="L3659" s="5">
        <v>13417.453622029931</v>
      </c>
      <c r="M3659" s="5">
        <v>13065.820809359835</v>
      </c>
      <c r="N3659" s="5">
        <v>24020.875410266352</v>
      </c>
      <c r="O3659" s="5">
        <v>40942.522561879181</v>
      </c>
      <c r="P3659" s="5">
        <v>44646.134934589521</v>
      </c>
      <c r="Q3659" s="5">
        <v>13865.641566869812</v>
      </c>
      <c r="R3659" s="5">
        <v>46004.399892616471</v>
      </c>
    </row>
    <row r="3660" spans="9:18">
      <c r="I3660" s="4">
        <v>3645</v>
      </c>
      <c r="J3660" s="5">
        <v>33627.941293959229</v>
      </c>
      <c r="K3660" s="5">
        <v>13288.692555879701</v>
      </c>
      <c r="L3660" s="5">
        <v>14042.41908879921</v>
      </c>
      <c r="M3660" s="5">
        <v>14217.48832834715</v>
      </c>
      <c r="N3660" s="5">
        <v>22511.351424689696</v>
      </c>
      <c r="O3660" s="5">
        <v>41800.463215706819</v>
      </c>
      <c r="P3660" s="5">
        <v>9811.9720599964548</v>
      </c>
      <c r="Q3660" s="5">
        <v>20883.852062640355</v>
      </c>
      <c r="R3660" s="5">
        <v>89167.415757270224</v>
      </c>
    </row>
    <row r="3661" spans="9:18">
      <c r="I3661" s="4">
        <v>3646</v>
      </c>
      <c r="J3661" s="5">
        <v>16156.372629961115</v>
      </c>
      <c r="K3661" s="5">
        <v>43843.85059185313</v>
      </c>
      <c r="L3661" s="5">
        <v>24256.352541181568</v>
      </c>
      <c r="M3661" s="5">
        <v>32497.510405113037</v>
      </c>
      <c r="N3661" s="5">
        <v>37309.151967087455</v>
      </c>
      <c r="O3661" s="5">
        <v>24258.192244316608</v>
      </c>
      <c r="P3661" s="5">
        <v>38771.994792132391</v>
      </c>
      <c r="Q3661" s="5">
        <v>9138.5169630896526</v>
      </c>
      <c r="R3661" s="5">
        <v>7952.6989268572033</v>
      </c>
    </row>
    <row r="3662" spans="9:18">
      <c r="I3662" s="4">
        <v>3647</v>
      </c>
      <c r="J3662" s="5">
        <v>14680.308400328413</v>
      </c>
      <c r="K3662" s="5">
        <v>18086.448513145526</v>
      </c>
      <c r="L3662" s="5">
        <v>14691.846656953887</v>
      </c>
      <c r="M3662" s="5">
        <v>19795.661011456152</v>
      </c>
      <c r="N3662" s="5">
        <v>26152.705108198839</v>
      </c>
      <c r="O3662" s="5">
        <v>40304.23053285561</v>
      </c>
      <c r="P3662" s="5">
        <v>41657.50350099193</v>
      </c>
      <c r="Q3662" s="5">
        <v>17493.456269945855</v>
      </c>
      <c r="R3662" s="5">
        <v>29295.938844292672</v>
      </c>
    </row>
    <row r="3663" spans="9:18">
      <c r="I3663" s="4">
        <v>3648</v>
      </c>
      <c r="J3663" s="5">
        <v>14680.308400328413</v>
      </c>
      <c r="K3663" s="5">
        <v>15487.124352801369</v>
      </c>
      <c r="L3663" s="5">
        <v>14811.370758813007</v>
      </c>
      <c r="M3663" s="5">
        <v>16881.579299055</v>
      </c>
      <c r="N3663" s="5">
        <v>32184.535272543482</v>
      </c>
      <c r="O3663" s="5">
        <v>8801.3667015774663</v>
      </c>
      <c r="P3663" s="5">
        <v>106091.28270624072</v>
      </c>
      <c r="Q3663" s="5">
        <v>31618.396253255491</v>
      </c>
      <c r="R3663" s="5">
        <v>18349.337771428582</v>
      </c>
    </row>
    <row r="3664" spans="9:18">
      <c r="I3664" s="4">
        <v>3649</v>
      </c>
      <c r="J3664" s="5">
        <v>16166.107684907736</v>
      </c>
      <c r="K3664" s="5">
        <v>61827.107730316675</v>
      </c>
      <c r="L3664" s="5">
        <v>14649.721476864312</v>
      </c>
      <c r="M3664" s="5">
        <v>12619.198742021435</v>
      </c>
      <c r="N3664" s="5">
        <v>41563.89847100406</v>
      </c>
      <c r="O3664" s="5">
        <v>20721.57544042755</v>
      </c>
      <c r="P3664" s="5">
        <v>32155.527541400057</v>
      </c>
      <c r="Q3664" s="5">
        <v>96632.959478514502</v>
      </c>
      <c r="R3664" s="5">
        <v>10885.018205103002</v>
      </c>
    </row>
    <row r="3665" spans="9:18">
      <c r="I3665" s="4">
        <v>3650</v>
      </c>
      <c r="J3665" s="5">
        <v>11854.381651026555</v>
      </c>
      <c r="K3665" s="5">
        <v>53937.689698015136</v>
      </c>
      <c r="L3665" s="5">
        <v>20698.842353987733</v>
      </c>
      <c r="M3665" s="5">
        <v>32497.510405113037</v>
      </c>
      <c r="N3665" s="5">
        <v>18367.429489032103</v>
      </c>
      <c r="O3665" s="5">
        <v>27084.483614751469</v>
      </c>
      <c r="P3665" s="5">
        <v>27708.613526855763</v>
      </c>
      <c r="Q3665" s="5">
        <v>29432.473148002948</v>
      </c>
      <c r="R3665" s="5">
        <v>91403.228438796665</v>
      </c>
    </row>
    <row r="3666" spans="9:18">
      <c r="I3666" s="4">
        <v>3651</v>
      </c>
      <c r="J3666" s="5">
        <v>16710.807721801892</v>
      </c>
      <c r="K3666" s="5">
        <v>23934.551191616061</v>
      </c>
      <c r="L3666" s="5">
        <v>17243.440968229323</v>
      </c>
      <c r="M3666" s="5">
        <v>23067.94260629595</v>
      </c>
      <c r="N3666" s="5">
        <v>16148.901635865295</v>
      </c>
      <c r="O3666" s="5">
        <v>36759.655306288936</v>
      </c>
      <c r="P3666" s="5">
        <v>55152.110177667731</v>
      </c>
      <c r="Q3666" s="5">
        <v>16803.875627203233</v>
      </c>
      <c r="R3666" s="5">
        <v>51141.799458534304</v>
      </c>
    </row>
    <row r="3667" spans="9:18">
      <c r="I3667" s="4">
        <v>3652</v>
      </c>
      <c r="J3667" s="5">
        <v>15352.465904292809</v>
      </c>
      <c r="K3667" s="5">
        <v>95171.967522309933</v>
      </c>
      <c r="L3667" s="5">
        <v>15764.107424863063</v>
      </c>
      <c r="M3667" s="5">
        <v>20788.503422877813</v>
      </c>
      <c r="N3667" s="5">
        <v>25424.029865101274</v>
      </c>
      <c r="O3667" s="5">
        <v>25604.597681740845</v>
      </c>
      <c r="P3667" s="5">
        <v>3831.1492650071077</v>
      </c>
      <c r="Q3667" s="5">
        <v>4631.7430487757983</v>
      </c>
      <c r="R3667" s="5">
        <v>20303.08745527079</v>
      </c>
    </row>
    <row r="3668" spans="9:18">
      <c r="I3668" s="4">
        <v>3653</v>
      </c>
      <c r="J3668" s="5">
        <v>16088.430030489333</v>
      </c>
      <c r="K3668" s="5">
        <v>14854.898507619706</v>
      </c>
      <c r="L3668" s="5">
        <v>16071.260291253868</v>
      </c>
      <c r="M3668" s="5">
        <v>12426.949970383979</v>
      </c>
      <c r="N3668" s="5">
        <v>8555.1229659096207</v>
      </c>
      <c r="O3668" s="5">
        <v>16462.170789592048</v>
      </c>
      <c r="P3668" s="5">
        <v>10966.822219855034</v>
      </c>
      <c r="Q3668" s="5">
        <v>19541.409060825732</v>
      </c>
      <c r="R3668" s="5">
        <v>41056.152565483346</v>
      </c>
    </row>
    <row r="3669" spans="9:18">
      <c r="I3669" s="4">
        <v>3654</v>
      </c>
      <c r="J3669" s="5">
        <v>12056.41843703942</v>
      </c>
      <c r="K3669" s="5">
        <v>18086.448513145526</v>
      </c>
      <c r="L3669" s="5">
        <v>14175.160754078657</v>
      </c>
      <c r="M3669" s="5">
        <v>23449.501569180404</v>
      </c>
      <c r="N3669" s="5">
        <v>13745.376566850549</v>
      </c>
      <c r="O3669" s="5">
        <v>27084.483614751469</v>
      </c>
      <c r="P3669" s="5">
        <v>106091.28270624072</v>
      </c>
      <c r="Q3669" s="5">
        <v>22145.301831504508</v>
      </c>
      <c r="R3669" s="5">
        <v>8720.6503563381029</v>
      </c>
    </row>
    <row r="3670" spans="9:18">
      <c r="I3670" s="4">
        <v>3655</v>
      </c>
      <c r="J3670" s="5">
        <v>49463.324094345015</v>
      </c>
      <c r="K3670" s="5">
        <v>12423.491400404893</v>
      </c>
      <c r="L3670" s="5">
        <v>15764.107424863063</v>
      </c>
      <c r="M3670" s="5">
        <v>16881.579299055</v>
      </c>
      <c r="N3670" s="5">
        <v>9209.4418830788036</v>
      </c>
      <c r="O3670" s="5">
        <v>40581.847217937895</v>
      </c>
      <c r="P3670" s="5">
        <v>23769.190223735484</v>
      </c>
      <c r="Q3670" s="5">
        <v>4631.7430487757983</v>
      </c>
      <c r="R3670" s="5">
        <v>86510.608303273053</v>
      </c>
    </row>
    <row r="3671" spans="9:18">
      <c r="I3671" s="4">
        <v>3656</v>
      </c>
      <c r="J3671" s="5">
        <v>14420.293087375476</v>
      </c>
      <c r="K3671" s="5">
        <v>15782.544184844044</v>
      </c>
      <c r="L3671" s="5">
        <v>14691.846656953887</v>
      </c>
      <c r="M3671" s="5">
        <v>12934.591863415189</v>
      </c>
      <c r="N3671" s="5">
        <v>24769.339976495565</v>
      </c>
      <c r="O3671" s="5">
        <v>66253.993323243907</v>
      </c>
      <c r="P3671" s="5">
        <v>27820.721938889761</v>
      </c>
      <c r="Q3671" s="5">
        <v>31855.809428519857</v>
      </c>
      <c r="R3671" s="5">
        <v>114016.93673542379</v>
      </c>
    </row>
    <row r="3672" spans="9:18">
      <c r="I3672" s="4">
        <v>3657</v>
      </c>
      <c r="J3672" s="5">
        <v>14538.277247583976</v>
      </c>
      <c r="K3672" s="5">
        <v>32294.121255311245</v>
      </c>
      <c r="L3672" s="5">
        <v>13417.453622029931</v>
      </c>
      <c r="M3672" s="5">
        <v>21272.00214469912</v>
      </c>
      <c r="N3672" s="5">
        <v>11952.903761138405</v>
      </c>
      <c r="O3672" s="5">
        <v>45451.954570113048</v>
      </c>
      <c r="P3672" s="5">
        <v>28537.545734403488</v>
      </c>
      <c r="Q3672" s="5">
        <v>19315.033835554255</v>
      </c>
      <c r="R3672" s="5">
        <v>30571.564004538617</v>
      </c>
    </row>
    <row r="3673" spans="9:18">
      <c r="I3673" s="4">
        <v>3658</v>
      </c>
      <c r="J3673" s="5">
        <v>12888.204629170894</v>
      </c>
      <c r="K3673" s="5">
        <v>95171.967522309933</v>
      </c>
      <c r="L3673" s="5">
        <v>15832.5469007027</v>
      </c>
      <c r="M3673" s="5">
        <v>18177.175180585615</v>
      </c>
      <c r="N3673" s="5">
        <v>23008.246229813707</v>
      </c>
      <c r="O3673" s="5">
        <v>24247.516962783076</v>
      </c>
      <c r="P3673" s="5">
        <v>5836.7810663002319</v>
      </c>
      <c r="Q3673" s="5">
        <v>13099.063525342741</v>
      </c>
      <c r="R3673" s="5">
        <v>33863.04333215439</v>
      </c>
    </row>
    <row r="3674" spans="9:18">
      <c r="I3674" s="4">
        <v>3659</v>
      </c>
      <c r="J3674" s="5">
        <v>14680.308400328413</v>
      </c>
      <c r="K3674" s="5">
        <v>13331.01856102917</v>
      </c>
      <c r="L3674" s="5">
        <v>13037.115556745504</v>
      </c>
      <c r="M3674" s="5">
        <v>31472.019071027709</v>
      </c>
      <c r="N3674" s="5">
        <v>40377.252444397986</v>
      </c>
      <c r="O3674" s="5">
        <v>16524.769946939996</v>
      </c>
      <c r="P3674" s="5">
        <v>12790.85158217316</v>
      </c>
      <c r="Q3674" s="5">
        <v>11928.872068442162</v>
      </c>
      <c r="R3674" s="5">
        <v>55106.806585409526</v>
      </c>
    </row>
    <row r="3675" spans="9:18">
      <c r="I3675" s="4">
        <v>3660</v>
      </c>
      <c r="J3675" s="5">
        <v>13595.404057849493</v>
      </c>
      <c r="K3675" s="5">
        <v>11149.572204897504</v>
      </c>
      <c r="L3675" s="5">
        <v>16106.634875163341</v>
      </c>
      <c r="M3675" s="5">
        <v>10451.914120098167</v>
      </c>
      <c r="N3675" s="5">
        <v>48565.498233359976</v>
      </c>
      <c r="O3675" s="5">
        <v>94068.324736096256</v>
      </c>
      <c r="P3675" s="5">
        <v>12639.596794453437</v>
      </c>
      <c r="Q3675" s="5">
        <v>10151.908492905288</v>
      </c>
      <c r="R3675" s="5">
        <v>50287.76786557267</v>
      </c>
    </row>
    <row r="3676" spans="9:18">
      <c r="I3676" s="4">
        <v>3661</v>
      </c>
      <c r="J3676" s="5">
        <v>11036.461796239426</v>
      </c>
      <c r="K3676" s="5">
        <v>14611.618478071941</v>
      </c>
      <c r="L3676" s="5">
        <v>16014.071850041886</v>
      </c>
      <c r="M3676" s="5">
        <v>11860.862376247747</v>
      </c>
      <c r="N3676" s="5">
        <v>17811.114014514766</v>
      </c>
      <c r="O3676" s="5">
        <v>40304.23053285561</v>
      </c>
      <c r="P3676" s="5">
        <v>27452.975716953504</v>
      </c>
      <c r="Q3676" s="5">
        <v>43417.41805414496</v>
      </c>
      <c r="R3676" s="5">
        <v>31715.273557891396</v>
      </c>
    </row>
    <row r="3677" spans="9:18">
      <c r="I3677" s="4">
        <v>3662</v>
      </c>
      <c r="J3677" s="5">
        <v>14741.240040396578</v>
      </c>
      <c r="K3677" s="5">
        <v>14095.75230105142</v>
      </c>
      <c r="L3677" s="5">
        <v>18810.091753970282</v>
      </c>
      <c r="M3677" s="5">
        <v>18691.941789825862</v>
      </c>
      <c r="N3677" s="5">
        <v>21933.097106966918</v>
      </c>
      <c r="O3677" s="5">
        <v>13550.031670770122</v>
      </c>
      <c r="P3677" s="5">
        <v>33715.790977629549</v>
      </c>
      <c r="Q3677" s="5">
        <v>27789.973552634947</v>
      </c>
      <c r="R3677" s="5">
        <v>41418.225609677866</v>
      </c>
    </row>
    <row r="3678" spans="9:18">
      <c r="I3678" s="4">
        <v>3663</v>
      </c>
      <c r="J3678" s="5">
        <v>13663.281817546009</v>
      </c>
      <c r="K3678" s="5">
        <v>14021.934268028277</v>
      </c>
      <c r="L3678" s="5">
        <v>15300.182042823812</v>
      </c>
      <c r="M3678" s="5">
        <v>11529.920007560097</v>
      </c>
      <c r="N3678" s="5">
        <v>11751.639947035985</v>
      </c>
      <c r="O3678" s="5">
        <v>94068.324736096256</v>
      </c>
      <c r="P3678" s="5">
        <v>5735.6883097179207</v>
      </c>
      <c r="Q3678" s="5">
        <v>16591.881190929333</v>
      </c>
      <c r="R3678" s="5">
        <v>84289.422255274636</v>
      </c>
    </row>
    <row r="3679" spans="9:18">
      <c r="I3679" s="4">
        <v>3664</v>
      </c>
      <c r="J3679" s="5">
        <v>28214.771032351968</v>
      </c>
      <c r="K3679" s="5">
        <v>7753.2116148734594</v>
      </c>
      <c r="L3679" s="5">
        <v>13417.453622029931</v>
      </c>
      <c r="M3679" s="5">
        <v>14660.631931099009</v>
      </c>
      <c r="N3679" s="5">
        <v>17811.114014514766</v>
      </c>
      <c r="O3679" s="5">
        <v>19492.655596593511</v>
      </c>
      <c r="P3679" s="5">
        <v>9965.8330787532959</v>
      </c>
      <c r="Q3679" s="5">
        <v>10151.908492905288</v>
      </c>
      <c r="R3679" s="5">
        <v>123773.40402252052</v>
      </c>
    </row>
    <row r="3680" spans="9:18">
      <c r="I3680" s="4">
        <v>3665</v>
      </c>
      <c r="J3680" s="5">
        <v>17005.744061105343</v>
      </c>
      <c r="K3680" s="5">
        <v>34058.671324159091</v>
      </c>
      <c r="L3680" s="5">
        <v>14042.41908879921</v>
      </c>
      <c r="M3680" s="5">
        <v>30830.81083227017</v>
      </c>
      <c r="N3680" s="5">
        <v>17811.114014514766</v>
      </c>
      <c r="O3680" s="5">
        <v>15124.35050053727</v>
      </c>
      <c r="P3680" s="5">
        <v>9965.8330787532959</v>
      </c>
      <c r="Q3680" s="5">
        <v>52421.574537857021</v>
      </c>
      <c r="R3680" s="5">
        <v>6360.7905155660001</v>
      </c>
    </row>
    <row r="3681" spans="9:18">
      <c r="I3681" s="4">
        <v>3666</v>
      </c>
      <c r="J3681" s="5">
        <v>16710.807721801892</v>
      </c>
      <c r="K3681" s="5">
        <v>14878.52734402675</v>
      </c>
      <c r="L3681" s="5">
        <v>16106.634875163341</v>
      </c>
      <c r="M3681" s="5">
        <v>16001.653036457456</v>
      </c>
      <c r="N3681" s="5">
        <v>21931.347680292267</v>
      </c>
      <c r="O3681" s="5">
        <v>9708.4497800977806</v>
      </c>
      <c r="P3681" s="5">
        <v>22708.601480587709</v>
      </c>
      <c r="Q3681" s="5">
        <v>6386.5227360487288</v>
      </c>
      <c r="R3681" s="5">
        <v>12194.45251033065</v>
      </c>
    </row>
    <row r="3682" spans="9:18">
      <c r="I3682" s="4">
        <v>3667</v>
      </c>
      <c r="J3682" s="5">
        <v>15352.465904292809</v>
      </c>
      <c r="K3682" s="5">
        <v>32073.547537933715</v>
      </c>
      <c r="L3682" s="5">
        <v>17128.574519497746</v>
      </c>
      <c r="M3682" s="5">
        <v>15346.383801976139</v>
      </c>
      <c r="N3682" s="5">
        <v>15804.474686449519</v>
      </c>
      <c r="O3682" s="5">
        <v>51330.340277512776</v>
      </c>
      <c r="P3682" s="5">
        <v>23769.190223735484</v>
      </c>
      <c r="Q3682" s="5">
        <v>8474.2603471579441</v>
      </c>
      <c r="R3682" s="5">
        <v>23583.884732956092</v>
      </c>
    </row>
    <row r="3683" spans="9:18">
      <c r="I3683" s="4">
        <v>3668</v>
      </c>
      <c r="J3683" s="5">
        <v>14420.293087375476</v>
      </c>
      <c r="K3683" s="5">
        <v>8223.1266007477425</v>
      </c>
      <c r="L3683" s="5">
        <v>15651.346103181355</v>
      </c>
      <c r="M3683" s="5">
        <v>12426.949970383979</v>
      </c>
      <c r="N3683" s="5">
        <v>11788.341482962171</v>
      </c>
      <c r="O3683" s="5">
        <v>30608.431994348266</v>
      </c>
      <c r="P3683" s="5">
        <v>26541.896041444568</v>
      </c>
      <c r="Q3683" s="5">
        <v>18097.768262249352</v>
      </c>
      <c r="R3683" s="5">
        <v>86510.608303273053</v>
      </c>
    </row>
    <row r="3684" spans="9:18">
      <c r="I3684" s="4">
        <v>3669</v>
      </c>
      <c r="J3684" s="5">
        <v>34933.039312618188</v>
      </c>
      <c r="K3684" s="5">
        <v>16934.093371663999</v>
      </c>
      <c r="L3684" s="5">
        <v>16955.349467865559</v>
      </c>
      <c r="M3684" s="5">
        <v>10142.860128720422</v>
      </c>
      <c r="N3684" s="5">
        <v>11684.605182472778</v>
      </c>
      <c r="O3684" s="5">
        <v>67717.30633712461</v>
      </c>
      <c r="P3684" s="5">
        <v>77603.711720266961</v>
      </c>
      <c r="Q3684" s="5">
        <v>31902.904306425251</v>
      </c>
      <c r="R3684" s="5">
        <v>86510.608303273053</v>
      </c>
    </row>
    <row r="3685" spans="9:18">
      <c r="I3685" s="4">
        <v>3670</v>
      </c>
      <c r="J3685" s="5">
        <v>73074.062486361407</v>
      </c>
      <c r="K3685" s="5">
        <v>13719.930466819731</v>
      </c>
      <c r="L3685" s="5">
        <v>14815.394001212817</v>
      </c>
      <c r="M3685" s="5">
        <v>16842.379179328669</v>
      </c>
      <c r="N3685" s="5">
        <v>11604.12831603515</v>
      </c>
      <c r="O3685" s="5">
        <v>9708.4497800977806</v>
      </c>
      <c r="P3685" s="5">
        <v>39054.462981000084</v>
      </c>
      <c r="Q3685" s="5">
        <v>21421.044775857536</v>
      </c>
      <c r="R3685" s="5">
        <v>114016.93673542379</v>
      </c>
    </row>
    <row r="3686" spans="9:18">
      <c r="I3686" s="4">
        <v>3671</v>
      </c>
      <c r="J3686" s="5">
        <v>34933.039312618188</v>
      </c>
      <c r="K3686" s="5">
        <v>23934.551191616061</v>
      </c>
      <c r="L3686" s="5">
        <v>13037.115556745504</v>
      </c>
      <c r="M3686" s="5">
        <v>14217.48832834715</v>
      </c>
      <c r="N3686" s="5">
        <v>57711.498171893618</v>
      </c>
      <c r="O3686" s="5">
        <v>18637.945795127704</v>
      </c>
      <c r="P3686" s="5">
        <v>35569.894390728325</v>
      </c>
      <c r="Q3686" s="5">
        <v>92068.726035424203</v>
      </c>
      <c r="R3686" s="5">
        <v>39263.770877572199</v>
      </c>
    </row>
    <row r="3687" spans="9:18">
      <c r="I3687" s="4">
        <v>3672</v>
      </c>
      <c r="J3687" s="5">
        <v>15554.996700302558</v>
      </c>
      <c r="K3687" s="5">
        <v>14878.52734402675</v>
      </c>
      <c r="L3687" s="5">
        <v>16616.161224349555</v>
      </c>
      <c r="M3687" s="5">
        <v>23067.94260629595</v>
      </c>
      <c r="N3687" s="5">
        <v>9209.4418830788036</v>
      </c>
      <c r="O3687" s="5">
        <v>77417.02098927302</v>
      </c>
      <c r="P3687" s="5">
        <v>3017.2887813579896</v>
      </c>
      <c r="Q3687" s="5">
        <v>31019.493883163672</v>
      </c>
      <c r="R3687" s="5">
        <v>51141.799458534304</v>
      </c>
    </row>
    <row r="3688" spans="9:18">
      <c r="I3688" s="4">
        <v>3673</v>
      </c>
      <c r="J3688" s="5">
        <v>11936.262457073821</v>
      </c>
      <c r="K3688" s="5">
        <v>14611.618478071941</v>
      </c>
      <c r="L3688" s="5">
        <v>16106.634875163341</v>
      </c>
      <c r="M3688" s="5">
        <v>11680.747299075838</v>
      </c>
      <c r="N3688" s="5">
        <v>22511.351424689696</v>
      </c>
      <c r="O3688" s="5">
        <v>3171.3006415671193</v>
      </c>
      <c r="P3688" s="5">
        <v>77603.711720266961</v>
      </c>
      <c r="Q3688" s="5">
        <v>15663.43865741136</v>
      </c>
      <c r="R3688" s="5">
        <v>182942.88598316166</v>
      </c>
    </row>
    <row r="3689" spans="9:18">
      <c r="I3689" s="4">
        <v>3674</v>
      </c>
      <c r="J3689" s="5">
        <v>20768.286261788198</v>
      </c>
      <c r="K3689" s="5">
        <v>29672.680843304515</v>
      </c>
      <c r="L3689" s="5">
        <v>16616.161224349555</v>
      </c>
      <c r="M3689" s="5">
        <v>30785.663999045999</v>
      </c>
      <c r="N3689" s="5">
        <v>12523.573732460784</v>
      </c>
      <c r="O3689" s="5">
        <v>24247.516962783076</v>
      </c>
      <c r="P3689" s="5">
        <v>32167.874670939738</v>
      </c>
      <c r="Q3689" s="5">
        <v>8474.2603471579441</v>
      </c>
      <c r="R3689" s="5">
        <v>8130.5639219412278</v>
      </c>
    </row>
    <row r="3690" spans="9:18">
      <c r="I3690" s="4">
        <v>3675</v>
      </c>
      <c r="J3690" s="5">
        <v>14749.343145806102</v>
      </c>
      <c r="K3690" s="5">
        <v>23543.914024953676</v>
      </c>
      <c r="L3690" s="5">
        <v>16472.138192556791</v>
      </c>
      <c r="M3690" s="5">
        <v>19097.39635881727</v>
      </c>
      <c r="N3690" s="5">
        <v>17811.114014514766</v>
      </c>
      <c r="O3690" s="5">
        <v>55264.438774006347</v>
      </c>
      <c r="P3690" s="5">
        <v>17737.38315098183</v>
      </c>
      <c r="Q3690" s="5">
        <v>64585.328088516922</v>
      </c>
      <c r="R3690" s="5">
        <v>65420.116221752483</v>
      </c>
    </row>
    <row r="3691" spans="9:18">
      <c r="I3691" s="4">
        <v>3676</v>
      </c>
      <c r="J3691" s="5">
        <v>14741.240040396578</v>
      </c>
      <c r="K3691" s="5">
        <v>18086.448513145526</v>
      </c>
      <c r="L3691" s="5">
        <v>16472.138192556791</v>
      </c>
      <c r="M3691" s="5">
        <v>10142.860128720422</v>
      </c>
      <c r="N3691" s="5">
        <v>36962.805083900916</v>
      </c>
      <c r="O3691" s="5">
        <v>13550.031670770122</v>
      </c>
      <c r="P3691" s="5">
        <v>17996.895987204196</v>
      </c>
      <c r="Q3691" s="5">
        <v>31019.493883163672</v>
      </c>
      <c r="R3691" s="5">
        <v>30571.564004538617</v>
      </c>
    </row>
    <row r="3692" spans="9:18">
      <c r="I3692" s="4">
        <v>3677</v>
      </c>
      <c r="J3692" s="5">
        <v>26634.853073396614</v>
      </c>
      <c r="K3692" s="5">
        <v>14095.75230105142</v>
      </c>
      <c r="L3692" s="5">
        <v>15126.980926457318</v>
      </c>
      <c r="M3692" s="5">
        <v>10451.914120098167</v>
      </c>
      <c r="N3692" s="5">
        <v>23998.040874392525</v>
      </c>
      <c r="O3692" s="5">
        <v>4231.3144655921506</v>
      </c>
      <c r="P3692" s="5">
        <v>34768.042801665702</v>
      </c>
      <c r="Q3692" s="5">
        <v>42044.890065817184</v>
      </c>
      <c r="R3692" s="5">
        <v>41056.152565483346</v>
      </c>
    </row>
    <row r="3693" spans="9:18">
      <c r="I3693" s="4">
        <v>3678</v>
      </c>
      <c r="J3693" s="5">
        <v>21717.214093683677</v>
      </c>
      <c r="K3693" s="5">
        <v>23934.551191616061</v>
      </c>
      <c r="L3693" s="5">
        <v>17073.17760523731</v>
      </c>
      <c r="M3693" s="5">
        <v>23908.621352410395</v>
      </c>
      <c r="N3693" s="5">
        <v>22735.120948269971</v>
      </c>
      <c r="O3693" s="5">
        <v>19430.912633256889</v>
      </c>
      <c r="P3693" s="5">
        <v>10733.318076105543</v>
      </c>
      <c r="Q3693" s="5">
        <v>14064.158297039334</v>
      </c>
      <c r="R3693" s="5">
        <v>6360.7905155660001</v>
      </c>
    </row>
    <row r="3694" spans="9:18">
      <c r="I3694" s="4">
        <v>3679</v>
      </c>
      <c r="J3694" s="5">
        <v>28169.050633834027</v>
      </c>
      <c r="K3694" s="5">
        <v>11149.572204897504</v>
      </c>
      <c r="L3694" s="5">
        <v>16071.478531535273</v>
      </c>
      <c r="M3694" s="5">
        <v>26477.996319655329</v>
      </c>
      <c r="N3694" s="5">
        <v>23283.854578052265</v>
      </c>
      <c r="O3694" s="5">
        <v>40304.23053285561</v>
      </c>
      <c r="P3694" s="5">
        <v>34768.042801665702</v>
      </c>
      <c r="Q3694" s="5">
        <v>52545.991451361173</v>
      </c>
      <c r="R3694" s="5">
        <v>23583.884732956092</v>
      </c>
    </row>
    <row r="3695" spans="9:18">
      <c r="I3695" s="4">
        <v>3680</v>
      </c>
      <c r="J3695" s="5">
        <v>14749.343145806102</v>
      </c>
      <c r="K3695" s="5">
        <v>17128.860847126922</v>
      </c>
      <c r="L3695" s="5">
        <v>17073.17760523731</v>
      </c>
      <c r="M3695" s="5">
        <v>21272.00214469912</v>
      </c>
      <c r="N3695" s="5">
        <v>63974.903847153939</v>
      </c>
      <c r="O3695" s="5">
        <v>35865.625349531729</v>
      </c>
      <c r="P3695" s="5">
        <v>28537.545734403488</v>
      </c>
      <c r="Q3695" s="5">
        <v>14064.158297039334</v>
      </c>
      <c r="R3695" s="5">
        <v>44707.053087992797</v>
      </c>
    </row>
    <row r="3696" spans="9:18">
      <c r="I3696" s="4">
        <v>3681</v>
      </c>
      <c r="J3696" s="5">
        <v>14017.326487344162</v>
      </c>
      <c r="K3696" s="5">
        <v>16674.541027260992</v>
      </c>
      <c r="L3696" s="5">
        <v>13417.453622029931</v>
      </c>
      <c r="M3696" s="5">
        <v>23908.621352410395</v>
      </c>
      <c r="N3696" s="5">
        <v>23283.854578052265</v>
      </c>
      <c r="O3696" s="5">
        <v>30608.431994348266</v>
      </c>
      <c r="P3696" s="5">
        <v>29283.825979394511</v>
      </c>
      <c r="Q3696" s="5">
        <v>7457.1844090365566</v>
      </c>
      <c r="R3696" s="5">
        <v>50287.76786557267</v>
      </c>
    </row>
    <row r="3697" spans="9:18">
      <c r="I3697" s="4">
        <v>3682</v>
      </c>
      <c r="J3697" s="5">
        <v>14344.692898101612</v>
      </c>
      <c r="K3697" s="5">
        <v>14021.934268028277</v>
      </c>
      <c r="L3697" s="5">
        <v>19078.910217042379</v>
      </c>
      <c r="M3697" s="5">
        <v>20550.782384061673</v>
      </c>
      <c r="N3697" s="5">
        <v>21617.945168312468</v>
      </c>
      <c r="O3697" s="5">
        <v>32474.063027682765</v>
      </c>
      <c r="P3697" s="5">
        <v>40377.463755170742</v>
      </c>
      <c r="Q3697" s="5">
        <v>52545.991451361173</v>
      </c>
      <c r="R3697" s="5">
        <v>26783.439354489365</v>
      </c>
    </row>
    <row r="3698" spans="9:18">
      <c r="I3698" s="4">
        <v>3683</v>
      </c>
      <c r="J3698" s="5">
        <v>21150.169973104224</v>
      </c>
      <c r="K3698" s="5">
        <v>7753.2116148734594</v>
      </c>
      <c r="L3698" s="5">
        <v>27289.607394458035</v>
      </c>
      <c r="M3698" s="5">
        <v>29041.83725675238</v>
      </c>
      <c r="N3698" s="5">
        <v>32184.535272543482</v>
      </c>
      <c r="O3698" s="5">
        <v>27084.483614751469</v>
      </c>
      <c r="P3698" s="5">
        <v>23769.190223735484</v>
      </c>
      <c r="Q3698" s="5">
        <v>16591.881190929333</v>
      </c>
      <c r="R3698" s="5">
        <v>7118.1729476780347</v>
      </c>
    </row>
    <row r="3699" spans="9:18">
      <c r="I3699" s="4">
        <v>3684</v>
      </c>
      <c r="J3699" s="5">
        <v>12888.204629170894</v>
      </c>
      <c r="K3699" s="5">
        <v>95171.967522309933</v>
      </c>
      <c r="L3699" s="5">
        <v>18602.881797624486</v>
      </c>
      <c r="M3699" s="5">
        <v>19433.64679949253</v>
      </c>
      <c r="N3699" s="5">
        <v>63974.903847153939</v>
      </c>
      <c r="O3699" s="5">
        <v>13519.384207850644</v>
      </c>
      <c r="P3699" s="5">
        <v>95486.196907583406</v>
      </c>
      <c r="Q3699" s="5">
        <v>59134.059519022907</v>
      </c>
      <c r="R3699" s="5">
        <v>27349.63499959607</v>
      </c>
    </row>
    <row r="3700" spans="9:18">
      <c r="I3700" s="4">
        <v>3685</v>
      </c>
      <c r="J3700" s="5">
        <v>22812.564910649318</v>
      </c>
      <c r="K3700" s="5">
        <v>16873.752266014431</v>
      </c>
      <c r="L3700" s="5">
        <v>15664.99858445921</v>
      </c>
      <c r="M3700" s="5">
        <v>12619.198742021435</v>
      </c>
      <c r="N3700" s="5">
        <v>22511.351424689696</v>
      </c>
      <c r="O3700" s="5">
        <v>21930.527973988665</v>
      </c>
      <c r="P3700" s="5">
        <v>63015.124693769802</v>
      </c>
      <c r="Q3700" s="5">
        <v>16803.875627203233</v>
      </c>
      <c r="R3700" s="5">
        <v>72561.496699005787</v>
      </c>
    </row>
    <row r="3701" spans="9:18">
      <c r="I3701" s="4">
        <v>3686</v>
      </c>
      <c r="J3701" s="5">
        <v>21150.169973104224</v>
      </c>
      <c r="K3701" s="5">
        <v>12777.667398488715</v>
      </c>
      <c r="L3701" s="5">
        <v>15471.738323660695</v>
      </c>
      <c r="M3701" s="5">
        <v>19151.339770278159</v>
      </c>
      <c r="N3701" s="5">
        <v>17214.078970533748</v>
      </c>
      <c r="O3701" s="5">
        <v>8801.3667015774663</v>
      </c>
      <c r="P3701" s="5">
        <v>63015.124693769802</v>
      </c>
      <c r="Q3701" s="5">
        <v>19541.409060825732</v>
      </c>
      <c r="R3701" s="5">
        <v>182942.88598316166</v>
      </c>
    </row>
    <row r="3702" spans="9:18">
      <c r="I3702" s="4">
        <v>3687</v>
      </c>
      <c r="J3702" s="5">
        <v>28214.771032351968</v>
      </c>
      <c r="K3702" s="5">
        <v>13652.224205833634</v>
      </c>
      <c r="L3702" s="5">
        <v>16071.260291253868</v>
      </c>
      <c r="M3702" s="5">
        <v>21272.00214469912</v>
      </c>
      <c r="N3702" s="5">
        <v>37309.151967087455</v>
      </c>
      <c r="O3702" s="5">
        <v>30608.431994348266</v>
      </c>
      <c r="P3702" s="5">
        <v>3831.1492650071077</v>
      </c>
      <c r="Q3702" s="5">
        <v>31618.396253255491</v>
      </c>
      <c r="R3702" s="5">
        <v>72561.496699005787</v>
      </c>
    </row>
    <row r="3703" spans="9:18">
      <c r="I3703" s="4">
        <v>3688</v>
      </c>
      <c r="J3703" s="5">
        <v>11854.381651026555</v>
      </c>
      <c r="K3703" s="5">
        <v>14878.52734402675</v>
      </c>
      <c r="L3703" s="5">
        <v>20698.842353987733</v>
      </c>
      <c r="M3703" s="5">
        <v>14660.631931099009</v>
      </c>
      <c r="N3703" s="5">
        <v>15804.474686449519</v>
      </c>
      <c r="O3703" s="5">
        <v>40581.847217937895</v>
      </c>
      <c r="P3703" s="5">
        <v>8069.5385577067918</v>
      </c>
      <c r="Q3703" s="5">
        <v>92068.726035424203</v>
      </c>
      <c r="R3703" s="5">
        <v>86510.608303273053</v>
      </c>
    </row>
    <row r="3704" spans="9:18">
      <c r="I3704" s="4">
        <v>3689</v>
      </c>
      <c r="J3704" s="5">
        <v>14749.343145806102</v>
      </c>
      <c r="K3704" s="5">
        <v>18218.584572172625</v>
      </c>
      <c r="L3704" s="5">
        <v>22319.409576580376</v>
      </c>
      <c r="M3704" s="5">
        <v>9623.0342442006167</v>
      </c>
      <c r="N3704" s="5">
        <v>39672.376281023731</v>
      </c>
      <c r="O3704" s="5">
        <v>11282.178219986479</v>
      </c>
      <c r="P3704" s="5">
        <v>40377.463755170742</v>
      </c>
      <c r="Q3704" s="5">
        <v>43417.41805414496</v>
      </c>
      <c r="R3704" s="5">
        <v>89167.415757270224</v>
      </c>
    </row>
    <row r="3705" spans="9:18">
      <c r="I3705" s="4">
        <v>3690</v>
      </c>
      <c r="J3705" s="5">
        <v>49463.324094345015</v>
      </c>
      <c r="K3705" s="5">
        <v>9769.3659785458403</v>
      </c>
      <c r="L3705" s="5">
        <v>17243.440968229323</v>
      </c>
      <c r="M3705" s="5">
        <v>14217.48832834715</v>
      </c>
      <c r="N3705" s="5">
        <v>14921.795973817481</v>
      </c>
      <c r="O3705" s="5">
        <v>13519.384207850644</v>
      </c>
      <c r="P3705" s="5">
        <v>40377.463755170742</v>
      </c>
      <c r="Q3705" s="5">
        <v>9138.5169630896526</v>
      </c>
      <c r="R3705" s="5">
        <v>27349.63499959607</v>
      </c>
    </row>
    <row r="3706" spans="9:18">
      <c r="I3706" s="4">
        <v>3691</v>
      </c>
      <c r="J3706" s="5">
        <v>31559.699247539775</v>
      </c>
      <c r="K3706" s="5">
        <v>95171.967522309933</v>
      </c>
      <c r="L3706" s="5">
        <v>17683.765335572589</v>
      </c>
      <c r="M3706" s="5">
        <v>18879.640760542785</v>
      </c>
      <c r="N3706" s="5">
        <v>22735.120948269971</v>
      </c>
      <c r="O3706" s="5">
        <v>51330.340277512776</v>
      </c>
      <c r="P3706" s="5">
        <v>77603.711720266961</v>
      </c>
      <c r="Q3706" s="5">
        <v>17493.456269945855</v>
      </c>
      <c r="R3706" s="5">
        <v>40368.364083205248</v>
      </c>
    </row>
    <row r="3707" spans="9:18">
      <c r="I3707" s="4">
        <v>3692</v>
      </c>
      <c r="J3707" s="5">
        <v>20768.286261788198</v>
      </c>
      <c r="K3707" s="5">
        <v>15768.312122029349</v>
      </c>
      <c r="L3707" s="5">
        <v>17845.207337527903</v>
      </c>
      <c r="M3707" s="5">
        <v>19890.009981657669</v>
      </c>
      <c r="N3707" s="5">
        <v>29468.83360104046</v>
      </c>
      <c r="O3707" s="5">
        <v>16826.763259351828</v>
      </c>
      <c r="P3707" s="5">
        <v>3017.2887813579896</v>
      </c>
      <c r="Q3707" s="5">
        <v>37497.234505125656</v>
      </c>
      <c r="R3707" s="5">
        <v>93933.045103013996</v>
      </c>
    </row>
    <row r="3708" spans="9:18">
      <c r="I3708" s="4">
        <v>3693</v>
      </c>
      <c r="J3708" s="5">
        <v>28085.9245102444</v>
      </c>
      <c r="K3708" s="5">
        <v>18086.448513145526</v>
      </c>
      <c r="L3708" s="5">
        <v>13417.453622029931</v>
      </c>
      <c r="M3708" s="5">
        <v>29058.117767351498</v>
      </c>
      <c r="N3708" s="5">
        <v>23008.246229813707</v>
      </c>
      <c r="O3708" s="5">
        <v>67717.30633712461</v>
      </c>
      <c r="P3708" s="5">
        <v>28537.545734403488</v>
      </c>
      <c r="Q3708" s="5">
        <v>7457.1844090365566</v>
      </c>
      <c r="R3708" s="5">
        <v>40368.364083205248</v>
      </c>
    </row>
    <row r="3709" spans="9:18">
      <c r="I3709" s="4">
        <v>3694</v>
      </c>
      <c r="J3709" s="5">
        <v>14538.277247583976</v>
      </c>
      <c r="K3709" s="5">
        <v>21218.439146892688</v>
      </c>
      <c r="L3709" s="5">
        <v>16106.634875163341</v>
      </c>
      <c r="M3709" s="5">
        <v>21913.431401527439</v>
      </c>
      <c r="N3709" s="5">
        <v>23283.854578052265</v>
      </c>
      <c r="O3709" s="5">
        <v>33720.545907536376</v>
      </c>
      <c r="P3709" s="5">
        <v>77603.711720266961</v>
      </c>
      <c r="Q3709" s="5">
        <v>10151.908492905288</v>
      </c>
      <c r="R3709" s="5">
        <v>86510.608303273053</v>
      </c>
    </row>
    <row r="3710" spans="9:18">
      <c r="I3710" s="4">
        <v>3695</v>
      </c>
      <c r="J3710" s="5">
        <v>14420.293087375476</v>
      </c>
      <c r="K3710" s="5">
        <v>16273.14570113692</v>
      </c>
      <c r="L3710" s="5">
        <v>15060.431658965737</v>
      </c>
      <c r="M3710" s="5">
        <v>18879.640760542785</v>
      </c>
      <c r="N3710" s="5">
        <v>24853.247795632611</v>
      </c>
      <c r="O3710" s="5">
        <v>20991.103410982985</v>
      </c>
      <c r="P3710" s="5">
        <v>54292.749740228588</v>
      </c>
      <c r="Q3710" s="5">
        <v>22145.301831504508</v>
      </c>
      <c r="R3710" s="5">
        <v>30571.564004538617</v>
      </c>
    </row>
    <row r="3711" spans="9:18">
      <c r="I3711" s="4">
        <v>3696</v>
      </c>
      <c r="J3711" s="5">
        <v>27392.038553726634</v>
      </c>
      <c r="K3711" s="5">
        <v>23934.551191616061</v>
      </c>
      <c r="L3711" s="5">
        <v>14264.23790876064</v>
      </c>
      <c r="M3711" s="5">
        <v>30830.81083227017</v>
      </c>
      <c r="N3711" s="5">
        <v>23008.246229813707</v>
      </c>
      <c r="O3711" s="5">
        <v>10746.295275180995</v>
      </c>
      <c r="P3711" s="5">
        <v>45161.732159568586</v>
      </c>
      <c r="Q3711" s="5">
        <v>31019.493883163672</v>
      </c>
      <c r="R3711" s="5">
        <v>9913.4206865238284</v>
      </c>
    </row>
    <row r="3712" spans="9:18">
      <c r="I3712" s="4">
        <v>3697</v>
      </c>
      <c r="J3712" s="5">
        <v>15786.811016780619</v>
      </c>
      <c r="K3712" s="5">
        <v>15129.619337591721</v>
      </c>
      <c r="L3712" s="5">
        <v>13867.07093008449</v>
      </c>
      <c r="M3712" s="5">
        <v>13022.686998540772</v>
      </c>
      <c r="N3712" s="5">
        <v>11604.12831603515</v>
      </c>
      <c r="O3712" s="5">
        <v>32474.063027682765</v>
      </c>
      <c r="P3712" s="5">
        <v>18862.487147419793</v>
      </c>
      <c r="Q3712" s="5">
        <v>148345.62878828164</v>
      </c>
      <c r="R3712" s="5">
        <v>14079.827908007112</v>
      </c>
    </row>
    <row r="3713" spans="9:18">
      <c r="I3713" s="4">
        <v>3698</v>
      </c>
      <c r="J3713" s="5">
        <v>27392.038553726634</v>
      </c>
      <c r="K3713" s="5">
        <v>9739.7813029644258</v>
      </c>
      <c r="L3713" s="5">
        <v>13037.115556745504</v>
      </c>
      <c r="M3713" s="5">
        <v>11860.862376247747</v>
      </c>
      <c r="N3713" s="5">
        <v>14335.478134989447</v>
      </c>
      <c r="O3713" s="5">
        <v>4231.3144655921506</v>
      </c>
      <c r="P3713" s="5">
        <v>14376.883105731285</v>
      </c>
      <c r="Q3713" s="5">
        <v>71213.172792303565</v>
      </c>
      <c r="R3713" s="5">
        <v>87776.138236389699</v>
      </c>
    </row>
    <row r="3714" spans="9:18">
      <c r="I3714" s="4">
        <v>3699</v>
      </c>
      <c r="J3714" s="5">
        <v>11116.191595722205</v>
      </c>
      <c r="K3714" s="5">
        <v>23934.551191616061</v>
      </c>
      <c r="L3714" s="5">
        <v>17482.478480142941</v>
      </c>
      <c r="M3714" s="5">
        <v>11529.920007560097</v>
      </c>
      <c r="N3714" s="5">
        <v>23008.246229813707</v>
      </c>
      <c r="O3714" s="5">
        <v>31172.963108652857</v>
      </c>
      <c r="P3714" s="5">
        <v>25258.981945036445</v>
      </c>
      <c r="Q3714" s="5">
        <v>20883.852062640355</v>
      </c>
      <c r="R3714" s="5">
        <v>2180.6148629084787</v>
      </c>
    </row>
    <row r="3715" spans="9:18">
      <c r="I3715" s="4">
        <v>3700</v>
      </c>
      <c r="J3715" s="5">
        <v>14741.240040396578</v>
      </c>
      <c r="K3715" s="5">
        <v>32073.547537933715</v>
      </c>
      <c r="L3715" s="5">
        <v>14175.160754078657</v>
      </c>
      <c r="M3715" s="5">
        <v>29041.83725675238</v>
      </c>
      <c r="N3715" s="5">
        <v>11952.903761138405</v>
      </c>
      <c r="O3715" s="5">
        <v>13519.384207850644</v>
      </c>
      <c r="P3715" s="5">
        <v>106091.28270624072</v>
      </c>
      <c r="Q3715" s="5">
        <v>8880.8074399558282</v>
      </c>
      <c r="R3715" s="5">
        <v>18230.645544621442</v>
      </c>
    </row>
    <row r="3716" spans="9:18">
      <c r="I3716" s="4">
        <v>3701</v>
      </c>
      <c r="J3716" s="5">
        <v>11116.191595722205</v>
      </c>
      <c r="K3716" s="5">
        <v>14021.934268028277</v>
      </c>
      <c r="L3716" s="5">
        <v>14364.472927446199</v>
      </c>
      <c r="M3716" s="5">
        <v>18043.539897080744</v>
      </c>
      <c r="N3716" s="5">
        <v>15130.853682762778</v>
      </c>
      <c r="O3716" s="5">
        <v>40304.23053285561</v>
      </c>
      <c r="P3716" s="5">
        <v>49519.098753410741</v>
      </c>
      <c r="Q3716" s="5">
        <v>3272.4685014937832</v>
      </c>
      <c r="R3716" s="5">
        <v>46004.399892616471</v>
      </c>
    </row>
    <row r="3717" spans="9:18">
      <c r="I3717" s="4">
        <v>3702</v>
      </c>
      <c r="J3717" s="5">
        <v>14017.326487344162</v>
      </c>
      <c r="K3717" s="5">
        <v>56656.842992470461</v>
      </c>
      <c r="L3717" s="5">
        <v>17578.712723867691</v>
      </c>
      <c r="M3717" s="5">
        <v>23913.435663027711</v>
      </c>
      <c r="N3717" s="5">
        <v>63974.903847153939</v>
      </c>
      <c r="O3717" s="5">
        <v>27084.483614751469</v>
      </c>
      <c r="P3717" s="5">
        <v>63015.124693769802</v>
      </c>
      <c r="Q3717" s="5">
        <v>16803.875627203233</v>
      </c>
      <c r="R3717" s="5">
        <v>1535.701520095213</v>
      </c>
    </row>
    <row r="3718" spans="9:18">
      <c r="I3718" s="4">
        <v>3703</v>
      </c>
      <c r="J3718" s="5">
        <v>14076.209333698853</v>
      </c>
      <c r="K3718" s="5">
        <v>15487.124352801369</v>
      </c>
      <c r="L3718" s="5">
        <v>16017.890956041876</v>
      </c>
      <c r="M3718" s="5">
        <v>12619.198742021435</v>
      </c>
      <c r="N3718" s="5">
        <v>23746.795665493762</v>
      </c>
      <c r="O3718" s="5">
        <v>28431.436490368542</v>
      </c>
      <c r="P3718" s="5">
        <v>54100.778483493887</v>
      </c>
      <c r="Q3718" s="5">
        <v>11173.074396969254</v>
      </c>
      <c r="R3718" s="5">
        <v>54594.567438884274</v>
      </c>
    </row>
    <row r="3719" spans="9:18">
      <c r="I3719" s="4">
        <v>3704</v>
      </c>
      <c r="J3719" s="5">
        <v>19121.054099180623</v>
      </c>
      <c r="K3719" s="5">
        <v>21958.925144875713</v>
      </c>
      <c r="L3719" s="5">
        <v>15225.811035017256</v>
      </c>
      <c r="M3719" s="5">
        <v>19890.009981657669</v>
      </c>
      <c r="N3719" s="5">
        <v>15251.140047572881</v>
      </c>
      <c r="O3719" s="5">
        <v>45451.954570113048</v>
      </c>
      <c r="P3719" s="5">
        <v>22708.601480587709</v>
      </c>
      <c r="Q3719" s="5">
        <v>3909.239690544402</v>
      </c>
      <c r="R3719" s="5">
        <v>55012.315589742022</v>
      </c>
    </row>
    <row r="3720" spans="9:18">
      <c r="I3720" s="4">
        <v>3705</v>
      </c>
      <c r="J3720" s="5">
        <v>19467.17453557903</v>
      </c>
      <c r="K3720" s="5">
        <v>9739.7813029644258</v>
      </c>
      <c r="L3720" s="5">
        <v>14364.472927446199</v>
      </c>
      <c r="M3720" s="5">
        <v>18043.539897080744</v>
      </c>
      <c r="N3720" s="5">
        <v>19125.360074567652</v>
      </c>
      <c r="O3720" s="5">
        <v>9956.4031238965053</v>
      </c>
      <c r="P3720" s="5">
        <v>18963.234565965948</v>
      </c>
      <c r="Q3720" s="5">
        <v>8832.660767995616</v>
      </c>
      <c r="R3720" s="5">
        <v>7784.2246210242874</v>
      </c>
    </row>
    <row r="3721" spans="9:18">
      <c r="I3721" s="4">
        <v>3706</v>
      </c>
      <c r="J3721" s="5">
        <v>11036.461796239426</v>
      </c>
      <c r="K3721" s="5">
        <v>14351.415257675473</v>
      </c>
      <c r="L3721" s="5">
        <v>15746.942257105531</v>
      </c>
      <c r="M3721" s="5">
        <v>15346.383801976139</v>
      </c>
      <c r="N3721" s="5">
        <v>11788.341482962171</v>
      </c>
      <c r="O3721" s="5">
        <v>40581.847217937895</v>
      </c>
      <c r="P3721" s="5">
        <v>32155.527541400057</v>
      </c>
      <c r="Q3721" s="5">
        <v>68168.482468129529</v>
      </c>
      <c r="R3721" s="5">
        <v>86510.608303273053</v>
      </c>
    </row>
    <row r="3722" spans="9:18">
      <c r="I3722" s="4">
        <v>3707</v>
      </c>
      <c r="J3722" s="5">
        <v>19048.674633640545</v>
      </c>
      <c r="K3722" s="5">
        <v>61827.107730316675</v>
      </c>
      <c r="L3722" s="5">
        <v>15664.99858445921</v>
      </c>
      <c r="M3722" s="5">
        <v>20041.623430301417</v>
      </c>
      <c r="N3722" s="5">
        <v>22735.120948269971</v>
      </c>
      <c r="O3722" s="5">
        <v>12110.196126281628</v>
      </c>
      <c r="P3722" s="5">
        <v>9047.5556949992188</v>
      </c>
      <c r="Q3722" s="5">
        <v>59964.86015574776</v>
      </c>
      <c r="R3722" s="5">
        <v>12194.45251033065</v>
      </c>
    </row>
    <row r="3723" spans="9:18">
      <c r="I3723" s="4">
        <v>3708</v>
      </c>
      <c r="J3723" s="5">
        <v>43272.831879770602</v>
      </c>
      <c r="K3723" s="5">
        <v>14351.415257675473</v>
      </c>
      <c r="L3723" s="5">
        <v>19189.275558866306</v>
      </c>
      <c r="M3723" s="5">
        <v>23913.435663027711</v>
      </c>
      <c r="N3723" s="5">
        <v>23043.345403059295</v>
      </c>
      <c r="O3723" s="5">
        <v>20489.622805425737</v>
      </c>
      <c r="P3723" s="5">
        <v>8069.5385577067918</v>
      </c>
      <c r="Q3723" s="5">
        <v>30266.563414010914</v>
      </c>
      <c r="R3723" s="5">
        <v>12116.34255245842</v>
      </c>
    </row>
    <row r="3724" spans="9:18">
      <c r="I3724" s="4">
        <v>3709</v>
      </c>
      <c r="J3724" s="5">
        <v>15064.079707240266</v>
      </c>
      <c r="K3724" s="5">
        <v>13559.080695844099</v>
      </c>
      <c r="L3724" s="5">
        <v>14344.859750762502</v>
      </c>
      <c r="M3724" s="5">
        <v>10111.451009425113</v>
      </c>
      <c r="N3724" s="5">
        <v>27841.916587595573</v>
      </c>
      <c r="O3724" s="5">
        <v>19492.655596593511</v>
      </c>
      <c r="P3724" s="5">
        <v>95486.196907583406</v>
      </c>
      <c r="Q3724" s="5">
        <v>2356.8990887111336</v>
      </c>
      <c r="R3724" s="5">
        <v>19133.693426869788</v>
      </c>
    </row>
    <row r="3725" spans="9:18">
      <c r="I3725" s="4">
        <v>3710</v>
      </c>
      <c r="J3725" s="5">
        <v>16416.142496463777</v>
      </c>
      <c r="K3725" s="5">
        <v>14021.934268028277</v>
      </c>
      <c r="L3725" s="5">
        <v>15471.738323660695</v>
      </c>
      <c r="M3725" s="5">
        <v>33862.836621974391</v>
      </c>
      <c r="N3725" s="5">
        <v>13511.694619545402</v>
      </c>
      <c r="O3725" s="5">
        <v>10369.402667058452</v>
      </c>
      <c r="P3725" s="5">
        <v>16072.735485912413</v>
      </c>
      <c r="Q3725" s="5">
        <v>35525.432376048877</v>
      </c>
      <c r="R3725" s="5">
        <v>96845.299789249824</v>
      </c>
    </row>
    <row r="3726" spans="9:18">
      <c r="I3726" s="4">
        <v>3711</v>
      </c>
      <c r="J3726" s="5">
        <v>9368.8270679249108</v>
      </c>
      <c r="K3726" s="5">
        <v>14854.898507619706</v>
      </c>
      <c r="L3726" s="5">
        <v>16577.562442697115</v>
      </c>
      <c r="M3726" s="5">
        <v>9623.0342442006167</v>
      </c>
      <c r="N3726" s="5">
        <v>22511.351424689696</v>
      </c>
      <c r="O3726" s="5">
        <v>11282.178219986479</v>
      </c>
      <c r="P3726" s="5">
        <v>25258.981945036445</v>
      </c>
      <c r="Q3726" s="5">
        <v>56069.347629295014</v>
      </c>
      <c r="R3726" s="5">
        <v>51141.799458534304</v>
      </c>
    </row>
    <row r="3727" spans="9:18">
      <c r="I3727" s="4">
        <v>3712</v>
      </c>
      <c r="J3727" s="5">
        <v>11854.381651026555</v>
      </c>
      <c r="K3727" s="5">
        <v>31910.762633549082</v>
      </c>
      <c r="L3727" s="5">
        <v>16472.138192556791</v>
      </c>
      <c r="M3727" s="5">
        <v>16842.379179328669</v>
      </c>
      <c r="N3727" s="5">
        <v>15786.177386596903</v>
      </c>
      <c r="O3727" s="5">
        <v>9708.4497800977806</v>
      </c>
      <c r="P3727" s="5">
        <v>41657.50350099193</v>
      </c>
      <c r="Q3727" s="5">
        <v>64585.328088516922</v>
      </c>
      <c r="R3727" s="5">
        <v>5865.9802599669383</v>
      </c>
    </row>
    <row r="3728" spans="9:18">
      <c r="I3728" s="4">
        <v>3713</v>
      </c>
      <c r="J3728" s="5">
        <v>12452.764985867625</v>
      </c>
      <c r="K3728" s="5">
        <v>15347.101709242541</v>
      </c>
      <c r="L3728" s="5">
        <v>19189.275558866306</v>
      </c>
      <c r="M3728" s="5">
        <v>14660.631931099009</v>
      </c>
      <c r="N3728" s="5">
        <v>15786.177386596903</v>
      </c>
      <c r="O3728" s="5">
        <v>53028.643350899503</v>
      </c>
      <c r="P3728" s="5">
        <v>26126.807131356076</v>
      </c>
      <c r="Q3728" s="5">
        <v>44911.749632594299</v>
      </c>
      <c r="R3728" s="5">
        <v>17304.847214362417</v>
      </c>
    </row>
    <row r="3729" spans="9:18">
      <c r="I3729" s="4">
        <v>3714</v>
      </c>
      <c r="J3729" s="5">
        <v>16733.020222212988</v>
      </c>
      <c r="K3729" s="5">
        <v>12026.500118162745</v>
      </c>
      <c r="L3729" s="5">
        <v>14815.394001212817</v>
      </c>
      <c r="M3729" s="5">
        <v>19097.39635881727</v>
      </c>
      <c r="N3729" s="5">
        <v>51261.622558090799</v>
      </c>
      <c r="O3729" s="5">
        <v>8121.6248378263163</v>
      </c>
      <c r="P3729" s="5">
        <v>10733.318076105543</v>
      </c>
      <c r="Q3729" s="5">
        <v>129470.11441833655</v>
      </c>
      <c r="R3729" s="5">
        <v>10885.018205103002</v>
      </c>
    </row>
    <row r="3730" spans="9:18">
      <c r="I3730" s="4">
        <v>3715</v>
      </c>
      <c r="J3730" s="5">
        <v>14017.326487344162</v>
      </c>
      <c r="K3730" s="5">
        <v>11206.053243692098</v>
      </c>
      <c r="L3730" s="5">
        <v>22018.381599979773</v>
      </c>
      <c r="M3730" s="5">
        <v>12735.841453044006</v>
      </c>
      <c r="N3730" s="5">
        <v>63974.903847153939</v>
      </c>
      <c r="O3730" s="5">
        <v>20991.103410982985</v>
      </c>
      <c r="P3730" s="5">
        <v>106091.28270624072</v>
      </c>
      <c r="Q3730" s="5">
        <v>12451.066014448154</v>
      </c>
      <c r="R3730" s="5">
        <v>19133.693426869788</v>
      </c>
    </row>
    <row r="3731" spans="9:18">
      <c r="I3731" s="4">
        <v>3716</v>
      </c>
      <c r="J3731" s="5">
        <v>27392.038553726634</v>
      </c>
      <c r="K3731" s="5">
        <v>34058.671324159091</v>
      </c>
      <c r="L3731" s="5">
        <v>16577.562442697115</v>
      </c>
      <c r="M3731" s="5">
        <v>21072.983263501868</v>
      </c>
      <c r="N3731" s="5">
        <v>57711.498171893618</v>
      </c>
      <c r="O3731" s="5">
        <v>15124.35050053727</v>
      </c>
      <c r="P3731" s="5">
        <v>14773.185437294762</v>
      </c>
      <c r="Q3731" s="5">
        <v>29432.473148002948</v>
      </c>
      <c r="R3731" s="5">
        <v>18720.450716365784</v>
      </c>
    </row>
    <row r="3732" spans="9:18">
      <c r="I3732" s="4">
        <v>3717</v>
      </c>
      <c r="J3732" s="5">
        <v>12888.204629170894</v>
      </c>
      <c r="K3732" s="5">
        <v>56656.842992470461</v>
      </c>
      <c r="L3732" s="5">
        <v>14264.23790876064</v>
      </c>
      <c r="M3732" s="5">
        <v>31460.745851561904</v>
      </c>
      <c r="N3732" s="5">
        <v>13909.728487455486</v>
      </c>
      <c r="O3732" s="5">
        <v>27195.510785031525</v>
      </c>
      <c r="P3732" s="5">
        <v>22708.601480587709</v>
      </c>
      <c r="Q3732" s="5">
        <v>9645.8788061228515</v>
      </c>
      <c r="R3732" s="5">
        <v>3989.7956692889929</v>
      </c>
    </row>
    <row r="3733" spans="9:18">
      <c r="I3733" s="4">
        <v>3718</v>
      </c>
      <c r="J3733" s="5">
        <v>19467.17453557903</v>
      </c>
      <c r="K3733" s="5">
        <v>14136.873097602549</v>
      </c>
      <c r="L3733" s="5">
        <v>21428.663623484812</v>
      </c>
      <c r="M3733" s="5">
        <v>12934.591863415189</v>
      </c>
      <c r="N3733" s="5">
        <v>10882.757905166785</v>
      </c>
      <c r="O3733" s="5">
        <v>32474.063027682765</v>
      </c>
      <c r="P3733" s="5">
        <v>54923.423457863879</v>
      </c>
      <c r="Q3733" s="5">
        <v>28797.29222718185</v>
      </c>
      <c r="R3733" s="5">
        <v>7394.6358885760465</v>
      </c>
    </row>
    <row r="3734" spans="9:18">
      <c r="I3734" s="4">
        <v>3719</v>
      </c>
      <c r="J3734" s="5">
        <v>15873.12561080002</v>
      </c>
      <c r="K3734" s="5">
        <v>14497.035717129334</v>
      </c>
      <c r="L3734" s="5">
        <v>14649.721476864312</v>
      </c>
      <c r="M3734" s="5">
        <v>19890.009981657669</v>
      </c>
      <c r="N3734" s="5">
        <v>11684.605182472778</v>
      </c>
      <c r="O3734" s="5">
        <v>36759.655306288936</v>
      </c>
      <c r="P3734" s="5">
        <v>26541.896041444568</v>
      </c>
      <c r="Q3734" s="5">
        <v>3272.4685014937832</v>
      </c>
      <c r="R3734" s="5">
        <v>182942.88598316166</v>
      </c>
    </row>
    <row r="3735" spans="9:18">
      <c r="I3735" s="4">
        <v>3720</v>
      </c>
      <c r="J3735" s="5">
        <v>28214.771032351968</v>
      </c>
      <c r="K3735" s="5">
        <v>18086.448513145526</v>
      </c>
      <c r="L3735" s="5">
        <v>21725.131459372977</v>
      </c>
      <c r="M3735" s="5">
        <v>25580.243606220469</v>
      </c>
      <c r="N3735" s="5">
        <v>25424.029865101274</v>
      </c>
      <c r="O3735" s="5">
        <v>40581.847217937895</v>
      </c>
      <c r="P3735" s="5">
        <v>66904.018529955298</v>
      </c>
      <c r="Q3735" s="5">
        <v>31855.809428519857</v>
      </c>
      <c r="R3735" s="5">
        <v>38898.713625068609</v>
      </c>
    </row>
    <row r="3736" spans="9:18">
      <c r="I3736" s="4">
        <v>3721</v>
      </c>
      <c r="J3736" s="5">
        <v>12452.764985867625</v>
      </c>
      <c r="K3736" s="5">
        <v>16605.655749562578</v>
      </c>
      <c r="L3736" s="5">
        <v>17073.17760523731</v>
      </c>
      <c r="M3736" s="5">
        <v>18177.175180585615</v>
      </c>
      <c r="N3736" s="5">
        <v>27833.630848857778</v>
      </c>
      <c r="O3736" s="5">
        <v>66253.993323243907</v>
      </c>
      <c r="P3736" s="5">
        <v>95486.196907583406</v>
      </c>
      <c r="Q3736" s="5">
        <v>31855.809428519857</v>
      </c>
      <c r="R3736" s="5">
        <v>81423.874800517297</v>
      </c>
    </row>
    <row r="3737" spans="9:18">
      <c r="I3737" s="4">
        <v>3722</v>
      </c>
      <c r="J3737" s="5">
        <v>16145.071869702888</v>
      </c>
      <c r="K3737" s="5">
        <v>15428.770955406064</v>
      </c>
      <c r="L3737" s="5">
        <v>27289.607394458035</v>
      </c>
      <c r="M3737" s="5">
        <v>17370.588707072598</v>
      </c>
      <c r="N3737" s="5">
        <v>25549.748582175915</v>
      </c>
      <c r="O3737" s="5">
        <v>20930.098352661731</v>
      </c>
      <c r="P3737" s="5">
        <v>39054.462981000084</v>
      </c>
      <c r="Q3737" s="5">
        <v>13099.063525342741</v>
      </c>
      <c r="R3737" s="5">
        <v>114016.93673542379</v>
      </c>
    </row>
    <row r="3738" spans="9:18">
      <c r="I3738" s="4">
        <v>3723</v>
      </c>
      <c r="J3738" s="5">
        <v>14538.277247583976</v>
      </c>
      <c r="K3738" s="5">
        <v>18218.584572172625</v>
      </c>
      <c r="L3738" s="5">
        <v>14649.721476864312</v>
      </c>
      <c r="M3738" s="5">
        <v>26477.996319655329</v>
      </c>
      <c r="N3738" s="5">
        <v>45581.602064432409</v>
      </c>
      <c r="O3738" s="5">
        <v>16572.483389649329</v>
      </c>
      <c r="P3738" s="5">
        <v>25258.981945036445</v>
      </c>
      <c r="Q3738" s="5">
        <v>19541.409060825732</v>
      </c>
      <c r="R3738" s="5">
        <v>181970.23111012415</v>
      </c>
    </row>
    <row r="3739" spans="9:18">
      <c r="I3739" s="4">
        <v>3724</v>
      </c>
      <c r="J3739" s="5">
        <v>9405.362381917912</v>
      </c>
      <c r="K3739" s="5">
        <v>14136.873097602549</v>
      </c>
      <c r="L3739" s="5">
        <v>21954.536591034263</v>
      </c>
      <c r="M3739" s="5">
        <v>18177.175180585615</v>
      </c>
      <c r="N3739" s="5">
        <v>39406.658185292261</v>
      </c>
      <c r="O3739" s="5">
        <v>10369.402667058452</v>
      </c>
      <c r="P3739" s="5">
        <v>39054.462981000084</v>
      </c>
      <c r="Q3739" s="5">
        <v>13214.632802255031</v>
      </c>
      <c r="R3739" s="5">
        <v>50287.76786557267</v>
      </c>
    </row>
    <row r="3740" spans="9:18">
      <c r="I3740" s="4">
        <v>3725</v>
      </c>
      <c r="J3740" s="5">
        <v>11936.262457073821</v>
      </c>
      <c r="K3740" s="5">
        <v>9769.3659785458403</v>
      </c>
      <c r="L3740" s="5">
        <v>13622.976145621742</v>
      </c>
      <c r="M3740" s="5">
        <v>15346.383801976139</v>
      </c>
      <c r="N3740" s="5">
        <v>14240.123545764454</v>
      </c>
      <c r="O3740" s="5">
        <v>24258.192244316608</v>
      </c>
      <c r="P3740" s="5">
        <v>10733.318076105543</v>
      </c>
      <c r="Q3740" s="5">
        <v>79566.621912742485</v>
      </c>
      <c r="R3740" s="5">
        <v>2180.6148629084787</v>
      </c>
    </row>
    <row r="3741" spans="9:18">
      <c r="I3741" s="4">
        <v>3726</v>
      </c>
      <c r="J3741" s="5">
        <v>15081.728672246438</v>
      </c>
      <c r="K3741" s="5">
        <v>14878.52734402675</v>
      </c>
      <c r="L3741" s="5">
        <v>21954.536591034263</v>
      </c>
      <c r="M3741" s="5">
        <v>30785.663999045999</v>
      </c>
      <c r="N3741" s="5">
        <v>17811.114014514766</v>
      </c>
      <c r="O3741" s="5">
        <v>16524.769946939996</v>
      </c>
      <c r="P3741" s="5">
        <v>16072.735485912413</v>
      </c>
      <c r="Q3741" s="5">
        <v>15663.43865741136</v>
      </c>
      <c r="R3741" s="5">
        <v>17304.847214362417</v>
      </c>
    </row>
    <row r="3742" spans="9:18">
      <c r="I3742" s="4">
        <v>3727</v>
      </c>
      <c r="J3742" s="5">
        <v>43272.831879770602</v>
      </c>
      <c r="K3742" s="5">
        <v>15768.312122029349</v>
      </c>
      <c r="L3742" s="5">
        <v>17578.712723867691</v>
      </c>
      <c r="M3742" s="5">
        <v>7334.8610818348589</v>
      </c>
      <c r="N3742" s="5">
        <v>22735.120948269971</v>
      </c>
      <c r="O3742" s="5">
        <v>24369.28567093279</v>
      </c>
      <c r="P3742" s="5">
        <v>9826.8369575407578</v>
      </c>
      <c r="Q3742" s="5">
        <v>2356.8990887111336</v>
      </c>
      <c r="R3742" s="5">
        <v>33290.909836056817</v>
      </c>
    </row>
    <row r="3743" spans="9:18">
      <c r="I3743" s="4">
        <v>3728</v>
      </c>
      <c r="J3743" s="5">
        <v>19048.674633640545</v>
      </c>
      <c r="K3743" s="5">
        <v>15768.312122029349</v>
      </c>
      <c r="L3743" s="5">
        <v>22162.138529251199</v>
      </c>
      <c r="M3743" s="5">
        <v>18691.941789825862</v>
      </c>
      <c r="N3743" s="5">
        <v>24314.043643333731</v>
      </c>
      <c r="O3743" s="5">
        <v>53504.725169095313</v>
      </c>
      <c r="P3743" s="5">
        <v>23769.190223735484</v>
      </c>
      <c r="Q3743" s="5">
        <v>20987.925664394581</v>
      </c>
      <c r="R3743" s="5">
        <v>7952.6989268572033</v>
      </c>
    </row>
    <row r="3744" spans="9:18">
      <c r="I3744" s="4">
        <v>3729</v>
      </c>
      <c r="J3744" s="5">
        <v>9368.8270679249108</v>
      </c>
      <c r="K3744" s="5">
        <v>23934.551191616061</v>
      </c>
      <c r="L3744" s="5">
        <v>22162.138529251199</v>
      </c>
      <c r="M3744" s="5">
        <v>20185.026038758231</v>
      </c>
      <c r="N3744" s="5">
        <v>11684.605182472778</v>
      </c>
      <c r="O3744" s="5">
        <v>14371.728352806511</v>
      </c>
      <c r="P3744" s="5">
        <v>3017.2887813579896</v>
      </c>
      <c r="Q3744" s="5">
        <v>31974.553851773013</v>
      </c>
      <c r="R3744" s="5">
        <v>54594.567438884274</v>
      </c>
    </row>
    <row r="3745" spans="9:18">
      <c r="I3745" s="4">
        <v>3730</v>
      </c>
      <c r="J3745" s="5">
        <v>43272.831879770602</v>
      </c>
      <c r="K3745" s="5">
        <v>16674.541027260992</v>
      </c>
      <c r="L3745" s="5">
        <v>13023.361770761438</v>
      </c>
      <c r="M3745" s="5">
        <v>13616.35938654862</v>
      </c>
      <c r="N3745" s="5">
        <v>20558.672182394013</v>
      </c>
      <c r="O3745" s="5">
        <v>3171.3006415671193</v>
      </c>
      <c r="P3745" s="5">
        <v>5836.7810663002319</v>
      </c>
      <c r="Q3745" s="5">
        <v>71213.172792303565</v>
      </c>
      <c r="R3745" s="5">
        <v>62674.060343500474</v>
      </c>
    </row>
    <row r="3746" spans="9:18">
      <c r="I3746" s="4">
        <v>3731</v>
      </c>
      <c r="J3746" s="5">
        <v>12056.41843703942</v>
      </c>
      <c r="K3746" s="5">
        <v>14136.873097602549</v>
      </c>
      <c r="L3746" s="5">
        <v>15487.970507365942</v>
      </c>
      <c r="M3746" s="5">
        <v>10451.914120098167</v>
      </c>
      <c r="N3746" s="5">
        <v>9209.4418830788036</v>
      </c>
      <c r="O3746" s="5">
        <v>8024.6340027919978</v>
      </c>
      <c r="P3746" s="5">
        <v>44646.134934589521</v>
      </c>
      <c r="Q3746" s="5">
        <v>25156.033327562815</v>
      </c>
      <c r="R3746" s="5">
        <v>72640.340924600489</v>
      </c>
    </row>
    <row r="3747" spans="9:18">
      <c r="I3747" s="4">
        <v>3732</v>
      </c>
      <c r="J3747" s="5">
        <v>13841.207384998772</v>
      </c>
      <c r="K3747" s="5">
        <v>14017.262946034314</v>
      </c>
      <c r="L3747" s="5">
        <v>17482.478480142941</v>
      </c>
      <c r="M3747" s="5">
        <v>41403.687663920646</v>
      </c>
      <c r="N3747" s="5">
        <v>26152.705108198839</v>
      </c>
      <c r="O3747" s="5">
        <v>35286.662852302201</v>
      </c>
      <c r="P3747" s="5">
        <v>5836.7810663002319</v>
      </c>
      <c r="Q3747" s="5">
        <v>48866.209623168346</v>
      </c>
      <c r="R3747" s="5">
        <v>14706.681111065362</v>
      </c>
    </row>
    <row r="3748" spans="9:18">
      <c r="I3748" s="4">
        <v>3733</v>
      </c>
      <c r="J3748" s="5">
        <v>19467.17453557903</v>
      </c>
      <c r="K3748" s="5">
        <v>14674.169276244838</v>
      </c>
      <c r="L3748" s="5">
        <v>14316.474075738101</v>
      </c>
      <c r="M3748" s="5">
        <v>37411.178129764201</v>
      </c>
      <c r="N3748" s="5">
        <v>9209.4418830788036</v>
      </c>
      <c r="O3748" s="5">
        <v>20721.57544042755</v>
      </c>
      <c r="P3748" s="5">
        <v>31127.87225845682</v>
      </c>
      <c r="Q3748" s="5">
        <v>9138.5169630896526</v>
      </c>
      <c r="R3748" s="5">
        <v>20236.767651156802</v>
      </c>
    </row>
    <row r="3749" spans="9:18">
      <c r="I3749" s="4">
        <v>3734</v>
      </c>
      <c r="J3749" s="5">
        <v>21717.214093683677</v>
      </c>
      <c r="K3749" s="5">
        <v>15631.937142257386</v>
      </c>
      <c r="L3749" s="5">
        <v>14316.474075738101</v>
      </c>
      <c r="M3749" s="5">
        <v>37411.178129764201</v>
      </c>
      <c r="N3749" s="5">
        <v>13511.694619545402</v>
      </c>
      <c r="O3749" s="5">
        <v>24369.28567093279</v>
      </c>
      <c r="P3749" s="5">
        <v>5836.7810663002319</v>
      </c>
      <c r="Q3749" s="5">
        <v>6386.5227360487288</v>
      </c>
      <c r="R3749" s="5">
        <v>41418.225609677866</v>
      </c>
    </row>
    <row r="3750" spans="9:18">
      <c r="I3750" s="4">
        <v>3735</v>
      </c>
      <c r="J3750" s="5">
        <v>73074.062486361407</v>
      </c>
      <c r="K3750" s="5">
        <v>35488.449387009874</v>
      </c>
      <c r="L3750" s="5">
        <v>17920.486090689363</v>
      </c>
      <c r="M3750" s="5">
        <v>29041.83725675238</v>
      </c>
      <c r="N3750" s="5">
        <v>20292.069765667391</v>
      </c>
      <c r="O3750" s="5">
        <v>16572.483389649329</v>
      </c>
      <c r="P3750" s="5">
        <v>40377.463755170742</v>
      </c>
      <c r="Q3750" s="5">
        <v>43417.41805414496</v>
      </c>
      <c r="R3750" s="5">
        <v>7879.038918914337</v>
      </c>
    </row>
    <row r="3751" spans="9:18">
      <c r="I3751" s="4">
        <v>3736</v>
      </c>
      <c r="J3751" s="5">
        <v>16305.770155972396</v>
      </c>
      <c r="K3751" s="5">
        <v>21958.925144875713</v>
      </c>
      <c r="L3751" s="5">
        <v>27144.958215276103</v>
      </c>
      <c r="M3751" s="5">
        <v>21332.072353846772</v>
      </c>
      <c r="N3751" s="5">
        <v>37309.151967087455</v>
      </c>
      <c r="O3751" s="5">
        <v>79848.944504816522</v>
      </c>
      <c r="P3751" s="5">
        <v>20403.656304140692</v>
      </c>
      <c r="Q3751" s="5">
        <v>8880.8074399558282</v>
      </c>
      <c r="R3751" s="5">
        <v>24722.972470599001</v>
      </c>
    </row>
    <row r="3752" spans="9:18">
      <c r="I3752" s="4">
        <v>3737</v>
      </c>
      <c r="J3752" s="5">
        <v>14710.037865351254</v>
      </c>
      <c r="K3752" s="5">
        <v>14136.873097602549</v>
      </c>
      <c r="L3752" s="5">
        <v>16577.562442697115</v>
      </c>
      <c r="M3752" s="5">
        <v>31554.722481137964</v>
      </c>
      <c r="N3752" s="5">
        <v>21617.945168312468</v>
      </c>
      <c r="O3752" s="5">
        <v>19492.655596593511</v>
      </c>
      <c r="P3752" s="5">
        <v>17974.179326980211</v>
      </c>
      <c r="Q3752" s="5">
        <v>16591.881190929333</v>
      </c>
      <c r="R3752" s="5">
        <v>40368.364083205248</v>
      </c>
    </row>
    <row r="3753" spans="9:18">
      <c r="I3753" s="4">
        <v>3738</v>
      </c>
      <c r="J3753" s="5">
        <v>11116.191595722205</v>
      </c>
      <c r="K3753" s="5">
        <v>14878.52734402675</v>
      </c>
      <c r="L3753" s="5">
        <v>15664.99858445921</v>
      </c>
      <c r="M3753" s="5">
        <v>16881.579299055</v>
      </c>
      <c r="N3753" s="5">
        <v>16418.492928415813</v>
      </c>
      <c r="O3753" s="5">
        <v>32474.063027682765</v>
      </c>
      <c r="P3753" s="5">
        <v>13452.921824087563</v>
      </c>
      <c r="Q3753" s="5">
        <v>7349.2234634219121</v>
      </c>
      <c r="R3753" s="5">
        <v>46004.399892616471</v>
      </c>
    </row>
    <row r="3754" spans="9:18">
      <c r="I3754" s="4">
        <v>3739</v>
      </c>
      <c r="J3754" s="5">
        <v>14076.209333698853</v>
      </c>
      <c r="K3754" s="5">
        <v>16674.541027260992</v>
      </c>
      <c r="L3754" s="5">
        <v>15764.107424863063</v>
      </c>
      <c r="M3754" s="5">
        <v>10142.860128720422</v>
      </c>
      <c r="N3754" s="5">
        <v>23283.854578052265</v>
      </c>
      <c r="O3754" s="5">
        <v>10746.295275180995</v>
      </c>
      <c r="P3754" s="5">
        <v>55119.366528283317</v>
      </c>
      <c r="Q3754" s="5">
        <v>14064.158297039334</v>
      </c>
      <c r="R3754" s="5">
        <v>96845.299789249824</v>
      </c>
    </row>
    <row r="3755" spans="9:18">
      <c r="I3755" s="4">
        <v>3740</v>
      </c>
      <c r="J3755" s="5">
        <v>14741.240040396578</v>
      </c>
      <c r="K3755" s="5">
        <v>56656.842992470461</v>
      </c>
      <c r="L3755" s="5">
        <v>17578.712723867691</v>
      </c>
      <c r="M3755" s="5">
        <v>11680.747299075838</v>
      </c>
      <c r="N3755" s="5">
        <v>29468.83360104046</v>
      </c>
      <c r="O3755" s="5">
        <v>24369.28567093279</v>
      </c>
      <c r="P3755" s="5">
        <v>41657.50350099193</v>
      </c>
      <c r="Q3755" s="5">
        <v>28078.365156847896</v>
      </c>
      <c r="R3755" s="5">
        <v>59414.886464347241</v>
      </c>
    </row>
    <row r="3756" spans="9:18">
      <c r="I3756" s="4">
        <v>3741</v>
      </c>
      <c r="J3756" s="5">
        <v>12888.204629170894</v>
      </c>
      <c r="K3756" s="5">
        <v>30552.499930043898</v>
      </c>
      <c r="L3756" s="5">
        <v>15060.431658965737</v>
      </c>
      <c r="M3756" s="5">
        <v>13616.35938654862</v>
      </c>
      <c r="N3756" s="5">
        <v>11788.341482962171</v>
      </c>
      <c r="O3756" s="5">
        <v>45451.954570113048</v>
      </c>
      <c r="P3756" s="5">
        <v>9633.1652908310007</v>
      </c>
      <c r="Q3756" s="5">
        <v>37497.234505125656</v>
      </c>
      <c r="R3756" s="5">
        <v>123773.40402252052</v>
      </c>
    </row>
    <row r="3757" spans="9:18">
      <c r="I3757" s="4">
        <v>3742</v>
      </c>
      <c r="J3757" s="5">
        <v>19048.674633640545</v>
      </c>
      <c r="K3757" s="5">
        <v>15428.770955406064</v>
      </c>
      <c r="L3757" s="5">
        <v>17128.574519497746</v>
      </c>
      <c r="M3757" s="5">
        <v>37411.178129764201</v>
      </c>
      <c r="N3757" s="5">
        <v>11952.903761138405</v>
      </c>
      <c r="O3757" s="5">
        <v>8801.3667015774663</v>
      </c>
      <c r="P3757" s="5">
        <v>5836.7810663002319</v>
      </c>
      <c r="Q3757" s="5">
        <v>54060.5331097772</v>
      </c>
      <c r="R3757" s="5">
        <v>12116.34255245842</v>
      </c>
    </row>
    <row r="3758" spans="9:18">
      <c r="I3758" s="4">
        <v>3743</v>
      </c>
      <c r="J3758" s="5">
        <v>17592.832480262863</v>
      </c>
      <c r="K3758" s="5">
        <v>8124.7965732661823</v>
      </c>
      <c r="L3758" s="5">
        <v>14610.165745300763</v>
      </c>
      <c r="M3758" s="5">
        <v>19042.78605337895</v>
      </c>
      <c r="N3758" s="5">
        <v>25549.748582175915</v>
      </c>
      <c r="O3758" s="5">
        <v>26268.613803794757</v>
      </c>
      <c r="P3758" s="5">
        <v>24349.301972630979</v>
      </c>
      <c r="Q3758" s="5">
        <v>4631.7430487757983</v>
      </c>
      <c r="R3758" s="5">
        <v>19133.693426869788</v>
      </c>
    </row>
    <row r="3759" spans="9:18">
      <c r="I3759" s="4">
        <v>3744</v>
      </c>
      <c r="J3759" s="5">
        <v>21888.821432026474</v>
      </c>
      <c r="K3759" s="5">
        <v>17903.387243834499</v>
      </c>
      <c r="L3759" s="5">
        <v>14264.23790876064</v>
      </c>
      <c r="M3759" s="5">
        <v>18691.941789825862</v>
      </c>
      <c r="N3759" s="5">
        <v>24020.875410266352</v>
      </c>
      <c r="O3759" s="5">
        <v>5909.5347260996277</v>
      </c>
      <c r="P3759" s="5">
        <v>46514.467673254068</v>
      </c>
      <c r="Q3759" s="5">
        <v>79566.621912742485</v>
      </c>
      <c r="R3759" s="5">
        <v>13258.538726001538</v>
      </c>
    </row>
    <row r="3760" spans="9:18">
      <c r="I3760" s="4">
        <v>3745</v>
      </c>
      <c r="J3760" s="5">
        <v>14420.293087375476</v>
      </c>
      <c r="K3760" s="5">
        <v>32294.121255311245</v>
      </c>
      <c r="L3760" s="5">
        <v>15471.738323660695</v>
      </c>
      <c r="M3760" s="5">
        <v>29834.240613550006</v>
      </c>
      <c r="N3760" s="5">
        <v>23043.345403059295</v>
      </c>
      <c r="O3760" s="5">
        <v>35865.625349531729</v>
      </c>
      <c r="P3760" s="5">
        <v>18963.234565965948</v>
      </c>
      <c r="Q3760" s="5">
        <v>10151.908492905288</v>
      </c>
      <c r="R3760" s="5">
        <v>24831.679362998926</v>
      </c>
    </row>
    <row r="3761" spans="9:18">
      <c r="I3761" s="4">
        <v>3746</v>
      </c>
      <c r="J3761" s="5">
        <v>15648.665245032147</v>
      </c>
      <c r="K3761" s="5">
        <v>20887.307279900142</v>
      </c>
      <c r="L3761" s="5">
        <v>14796.875457021113</v>
      </c>
      <c r="M3761" s="5">
        <v>16842.379179328669</v>
      </c>
      <c r="N3761" s="5">
        <v>13511.694619545402</v>
      </c>
      <c r="O3761" s="5">
        <v>59207.798737851255</v>
      </c>
      <c r="P3761" s="5">
        <v>46514.467673254068</v>
      </c>
      <c r="Q3761" s="5">
        <v>27018.509959127641</v>
      </c>
      <c r="R3761" s="5">
        <v>81423.874800517297</v>
      </c>
    </row>
    <row r="3762" spans="9:18">
      <c r="I3762" s="4">
        <v>3747</v>
      </c>
      <c r="J3762" s="5">
        <v>28214.771032351968</v>
      </c>
      <c r="K3762" s="5">
        <v>14095.75230105142</v>
      </c>
      <c r="L3762" s="5">
        <v>22319.409576580376</v>
      </c>
      <c r="M3762" s="5">
        <v>13139.022167648376</v>
      </c>
      <c r="N3762" s="5">
        <v>39672.376281023731</v>
      </c>
      <c r="O3762" s="5">
        <v>24247.516962783076</v>
      </c>
      <c r="P3762" s="5">
        <v>33715.790977629549</v>
      </c>
      <c r="Q3762" s="5">
        <v>17234.335939857254</v>
      </c>
      <c r="R3762" s="5">
        <v>18349.337771428582</v>
      </c>
    </row>
    <row r="3763" spans="9:18">
      <c r="I3763" s="4">
        <v>3748</v>
      </c>
      <c r="J3763" s="5">
        <v>14741.240040396578</v>
      </c>
      <c r="K3763" s="5">
        <v>21187.174639714212</v>
      </c>
      <c r="L3763" s="5">
        <v>14146.191653372813</v>
      </c>
      <c r="M3763" s="5">
        <v>12987.517521908694</v>
      </c>
      <c r="N3763" s="5">
        <v>39672.376281023731</v>
      </c>
      <c r="O3763" s="5">
        <v>35286.662852302201</v>
      </c>
      <c r="P3763" s="5">
        <v>14316.965520592317</v>
      </c>
      <c r="Q3763" s="5">
        <v>28797.29222718185</v>
      </c>
      <c r="R3763" s="5">
        <v>7784.2246210242874</v>
      </c>
    </row>
    <row r="3764" spans="9:18">
      <c r="I3764" s="4">
        <v>3749</v>
      </c>
      <c r="J3764" s="5">
        <v>14749.343145806102</v>
      </c>
      <c r="K3764" s="5">
        <v>8124.7965732661823</v>
      </c>
      <c r="L3764" s="5">
        <v>15161.007794371622</v>
      </c>
      <c r="M3764" s="5">
        <v>18816.787977140237</v>
      </c>
      <c r="N3764" s="5">
        <v>14240.123545764454</v>
      </c>
      <c r="O3764" s="5">
        <v>49114.195066822271</v>
      </c>
      <c r="P3764" s="5">
        <v>27452.975716953504</v>
      </c>
      <c r="Q3764" s="5">
        <v>35525.432376048877</v>
      </c>
      <c r="R3764" s="5">
        <v>91403.228438796665</v>
      </c>
    </row>
    <row r="3765" spans="9:18">
      <c r="I3765" s="4">
        <v>3750</v>
      </c>
      <c r="J3765" s="5">
        <v>34933.039312618188</v>
      </c>
      <c r="K3765" s="5">
        <v>15051.330276415061</v>
      </c>
      <c r="L3765" s="5">
        <v>15487.970507365942</v>
      </c>
      <c r="M3765" s="5">
        <v>13065.820809359835</v>
      </c>
      <c r="N3765" s="5">
        <v>51261.622558090799</v>
      </c>
      <c r="O3765" s="5">
        <v>13117.417685535194</v>
      </c>
      <c r="P3765" s="5">
        <v>20391.123772341358</v>
      </c>
      <c r="Q3765" s="5">
        <v>8502.450657922871</v>
      </c>
      <c r="R3765" s="5">
        <v>20236.767651156802</v>
      </c>
    </row>
    <row r="3766" spans="9:18">
      <c r="I3766" s="4">
        <v>3751</v>
      </c>
      <c r="J3766" s="5">
        <v>14749.343145806102</v>
      </c>
      <c r="K3766" s="5">
        <v>21958.925144875713</v>
      </c>
      <c r="L3766" s="5">
        <v>27289.607394458035</v>
      </c>
      <c r="M3766" s="5">
        <v>18043.539897080744</v>
      </c>
      <c r="N3766" s="5">
        <v>9989.086510768735</v>
      </c>
      <c r="O3766" s="5">
        <v>66253.993323243907</v>
      </c>
      <c r="P3766" s="5">
        <v>20403.656304140692</v>
      </c>
      <c r="Q3766" s="5">
        <v>53055.59182561023</v>
      </c>
      <c r="R3766" s="5">
        <v>302760.11878714536</v>
      </c>
    </row>
    <row r="3767" spans="9:18">
      <c r="I3767" s="4">
        <v>3752</v>
      </c>
      <c r="J3767" s="5">
        <v>28169.050633834027</v>
      </c>
      <c r="K3767" s="5">
        <v>13520.836427679104</v>
      </c>
      <c r="L3767" s="5">
        <v>23760.785349782636</v>
      </c>
      <c r="M3767" s="5">
        <v>22326.253555179093</v>
      </c>
      <c r="N3767" s="5">
        <v>24769.339976495565</v>
      </c>
      <c r="O3767" s="5">
        <v>77417.02098927302</v>
      </c>
      <c r="P3767" s="5">
        <v>35569.894390728325</v>
      </c>
      <c r="Q3767" s="5">
        <v>37802.358878968138</v>
      </c>
      <c r="R3767" s="5">
        <v>12130.167062525341</v>
      </c>
    </row>
    <row r="3768" spans="9:18">
      <c r="I3768" s="4">
        <v>3753</v>
      </c>
      <c r="J3768" s="5">
        <v>28214.771032351968</v>
      </c>
      <c r="K3768" s="5">
        <v>11558.357574452555</v>
      </c>
      <c r="L3768" s="5">
        <v>14796.875457021113</v>
      </c>
      <c r="M3768" s="5">
        <v>23454.775510296178</v>
      </c>
      <c r="N3768" s="5">
        <v>8104.6265149430556</v>
      </c>
      <c r="O3768" s="5">
        <v>13550.031670770122</v>
      </c>
      <c r="P3768" s="5">
        <v>9965.8330787532959</v>
      </c>
      <c r="Q3768" s="5">
        <v>31902.904306425251</v>
      </c>
      <c r="R3768" s="5">
        <v>23583.884732956092</v>
      </c>
    </row>
    <row r="3769" spans="9:18">
      <c r="I3769" s="4">
        <v>3754</v>
      </c>
      <c r="J3769" s="5">
        <v>28590.354879265724</v>
      </c>
      <c r="K3769" s="5">
        <v>14017.262946034314</v>
      </c>
      <c r="L3769" s="5">
        <v>17243.440968229323</v>
      </c>
      <c r="M3769" s="5">
        <v>21712.71007234112</v>
      </c>
      <c r="N3769" s="5">
        <v>24769.339976495565</v>
      </c>
      <c r="O3769" s="5">
        <v>16505.600261180331</v>
      </c>
      <c r="P3769" s="5">
        <v>54100.778483493887</v>
      </c>
      <c r="Q3769" s="5">
        <v>9138.5169630896526</v>
      </c>
      <c r="R3769" s="5">
        <v>14079.827908007112</v>
      </c>
    </row>
    <row r="3770" spans="9:18">
      <c r="I3770" s="4">
        <v>3755</v>
      </c>
      <c r="J3770" s="5">
        <v>15648.665245032147</v>
      </c>
      <c r="K3770" s="5">
        <v>23543.914024953676</v>
      </c>
      <c r="L3770" s="5">
        <v>15923.549351835489</v>
      </c>
      <c r="M3770" s="5">
        <v>19430.369425783585</v>
      </c>
      <c r="N3770" s="5">
        <v>9989.086510768735</v>
      </c>
      <c r="O3770" s="5">
        <v>13966.178986479143</v>
      </c>
      <c r="P3770" s="5">
        <v>20391.123772341358</v>
      </c>
      <c r="Q3770" s="5">
        <v>9796.0979856104404</v>
      </c>
      <c r="R3770" s="5">
        <v>31715.273557891396</v>
      </c>
    </row>
    <row r="3771" spans="9:18">
      <c r="I3771" s="4">
        <v>3756</v>
      </c>
      <c r="J3771" s="5">
        <v>45301.532027110363</v>
      </c>
      <c r="K3771" s="5">
        <v>14136.873097602549</v>
      </c>
      <c r="L3771" s="5">
        <v>14264.23790876064</v>
      </c>
      <c r="M3771" s="5">
        <v>32751.734100446065</v>
      </c>
      <c r="N3771" s="5">
        <v>15786.177386596903</v>
      </c>
      <c r="O3771" s="5">
        <v>25604.597681740845</v>
      </c>
      <c r="P3771" s="5">
        <v>44646.134934589521</v>
      </c>
      <c r="Q3771" s="5">
        <v>8502.450657922871</v>
      </c>
      <c r="R3771" s="5">
        <v>23583.884732956092</v>
      </c>
    </row>
    <row r="3772" spans="9:18">
      <c r="I3772" s="4">
        <v>3757</v>
      </c>
      <c r="J3772" s="5">
        <v>20002.201347927807</v>
      </c>
      <c r="K3772" s="5">
        <v>13520.836427679104</v>
      </c>
      <c r="L3772" s="5">
        <v>14264.23790876064</v>
      </c>
      <c r="M3772" s="5">
        <v>17349.963215818931</v>
      </c>
      <c r="N3772" s="5">
        <v>24853.247795632611</v>
      </c>
      <c r="O3772" s="5">
        <v>40942.522561879181</v>
      </c>
      <c r="P3772" s="5">
        <v>95486.196907583406</v>
      </c>
      <c r="Q3772" s="5">
        <v>25156.033327562815</v>
      </c>
      <c r="R3772" s="5">
        <v>8130.5639219412278</v>
      </c>
    </row>
    <row r="3773" spans="9:18">
      <c r="I3773" s="4">
        <v>3758</v>
      </c>
      <c r="J3773" s="5">
        <v>16088.430030489333</v>
      </c>
      <c r="K3773" s="5">
        <v>14497.035717129334</v>
      </c>
      <c r="L3773" s="5">
        <v>17073.17760523731</v>
      </c>
      <c r="M3773" s="5">
        <v>19433.64679949253</v>
      </c>
      <c r="N3773" s="5">
        <v>17214.078970533748</v>
      </c>
      <c r="O3773" s="5">
        <v>24258.192244316608</v>
      </c>
      <c r="P3773" s="5">
        <v>14316.965520592317</v>
      </c>
      <c r="Q3773" s="5">
        <v>53055.59182561023</v>
      </c>
      <c r="R3773" s="5">
        <v>10885.018205103002</v>
      </c>
    </row>
    <row r="3774" spans="9:18">
      <c r="I3774" s="4">
        <v>3759</v>
      </c>
      <c r="J3774" s="5">
        <v>16511.332839561353</v>
      </c>
      <c r="K3774" s="5">
        <v>14854.898507619706</v>
      </c>
      <c r="L3774" s="5">
        <v>15161.007794371622</v>
      </c>
      <c r="M3774" s="5">
        <v>21072.983263501868</v>
      </c>
      <c r="N3774" s="5">
        <v>21933.097106966918</v>
      </c>
      <c r="O3774" s="5">
        <v>13840.304699955392</v>
      </c>
      <c r="P3774" s="5">
        <v>22708.601480587709</v>
      </c>
      <c r="Q3774" s="5">
        <v>27018.509959127641</v>
      </c>
      <c r="R3774" s="5">
        <v>31715.273557891396</v>
      </c>
    </row>
    <row r="3775" spans="9:18">
      <c r="I3775" s="4">
        <v>3760</v>
      </c>
      <c r="J3775" s="5">
        <v>12056.41843703942</v>
      </c>
      <c r="K3775" s="5">
        <v>32294.121255311245</v>
      </c>
      <c r="L3775" s="5">
        <v>19359.475411188432</v>
      </c>
      <c r="M3775" s="5">
        <v>20788.503422877813</v>
      </c>
      <c r="N3775" s="5">
        <v>8104.6265149430556</v>
      </c>
      <c r="O3775" s="5">
        <v>40942.522561879181</v>
      </c>
      <c r="P3775" s="5">
        <v>3017.2887813579896</v>
      </c>
      <c r="Q3775" s="5">
        <v>48866.209623168346</v>
      </c>
      <c r="R3775" s="5">
        <v>46004.399892616471</v>
      </c>
    </row>
    <row r="3776" spans="9:18">
      <c r="I3776" s="4">
        <v>3761</v>
      </c>
      <c r="J3776" s="5">
        <v>11843.28062342474</v>
      </c>
      <c r="K3776" s="5">
        <v>12026.500118162745</v>
      </c>
      <c r="L3776" s="5">
        <v>15359.132481533357</v>
      </c>
      <c r="M3776" s="5">
        <v>19097.39635881727</v>
      </c>
      <c r="N3776" s="5">
        <v>19225.139878706803</v>
      </c>
      <c r="O3776" s="5">
        <v>30876.675913171162</v>
      </c>
      <c r="P3776" s="5">
        <v>17737.38315098183</v>
      </c>
      <c r="Q3776" s="5">
        <v>16803.875627203233</v>
      </c>
      <c r="R3776" s="5">
        <v>50287.76786557267</v>
      </c>
    </row>
    <row r="3777" spans="9:18">
      <c r="I3777" s="4">
        <v>3762</v>
      </c>
      <c r="J3777" s="5">
        <v>22812.564910649318</v>
      </c>
      <c r="K3777" s="5">
        <v>23934.551191616061</v>
      </c>
      <c r="L3777" s="5">
        <v>25389.332759288587</v>
      </c>
      <c r="M3777" s="5">
        <v>21833.004790208965</v>
      </c>
      <c r="N3777" s="5">
        <v>26152.705108198839</v>
      </c>
      <c r="O3777" s="5">
        <v>20721.57544042755</v>
      </c>
      <c r="P3777" s="5">
        <v>14327.191387816954</v>
      </c>
      <c r="Q3777" s="5">
        <v>35525.432376048877</v>
      </c>
      <c r="R3777" s="5">
        <v>90296.353221228885</v>
      </c>
    </row>
    <row r="3778" spans="9:18">
      <c r="I3778" s="4">
        <v>3763</v>
      </c>
      <c r="J3778" s="5">
        <v>12056.41843703942</v>
      </c>
      <c r="K3778" s="5">
        <v>22732.797143159998</v>
      </c>
      <c r="L3778" s="5">
        <v>14811.370758813007</v>
      </c>
      <c r="M3778" s="5">
        <v>29058.117767351498</v>
      </c>
      <c r="N3778" s="5">
        <v>8104.6265149430556</v>
      </c>
      <c r="O3778" s="5">
        <v>25802.481365323994</v>
      </c>
      <c r="P3778" s="5">
        <v>106091.28270624072</v>
      </c>
      <c r="Q3778" s="5">
        <v>148345.62878828164</v>
      </c>
      <c r="R3778" s="5">
        <v>14706.681111065362</v>
      </c>
    </row>
    <row r="3779" spans="9:18">
      <c r="I3779" s="4">
        <v>3764</v>
      </c>
      <c r="J3779" s="5">
        <v>15417.870921574262</v>
      </c>
      <c r="K3779" s="5">
        <v>15487.124352801369</v>
      </c>
      <c r="L3779" s="5">
        <v>21954.536591034263</v>
      </c>
      <c r="M3779" s="5">
        <v>14432.283063351901</v>
      </c>
      <c r="N3779" s="5">
        <v>6130.3882288404347</v>
      </c>
      <c r="O3779" s="5">
        <v>27062.73412298776</v>
      </c>
      <c r="P3779" s="5">
        <v>63015.124693769802</v>
      </c>
      <c r="Q3779" s="5">
        <v>31974.553851773013</v>
      </c>
      <c r="R3779" s="5">
        <v>18720.450716365784</v>
      </c>
    </row>
    <row r="3780" spans="9:18">
      <c r="I3780" s="4">
        <v>3765</v>
      </c>
      <c r="J3780" s="5">
        <v>34933.039312618188</v>
      </c>
      <c r="K3780" s="5">
        <v>14674.169276244838</v>
      </c>
      <c r="L3780" s="5">
        <v>20698.842353987733</v>
      </c>
      <c r="M3780" s="5">
        <v>42282.977640783138</v>
      </c>
      <c r="N3780" s="5">
        <v>19125.360074567652</v>
      </c>
      <c r="O3780" s="5">
        <v>40942.522561879181</v>
      </c>
      <c r="P3780" s="5">
        <v>16072.735485912413</v>
      </c>
      <c r="Q3780" s="5">
        <v>30495.121067047665</v>
      </c>
      <c r="R3780" s="5">
        <v>40368.364083205248</v>
      </c>
    </row>
    <row r="3781" spans="9:18">
      <c r="I3781" s="4">
        <v>3766</v>
      </c>
      <c r="J3781" s="5">
        <v>26634.853073396614</v>
      </c>
      <c r="K3781" s="5">
        <v>15391.837334808681</v>
      </c>
      <c r="L3781" s="5">
        <v>13417.453622029931</v>
      </c>
      <c r="M3781" s="5">
        <v>36301.422888051464</v>
      </c>
      <c r="N3781" s="5">
        <v>17891.96347244953</v>
      </c>
      <c r="O3781" s="5">
        <v>24247.516962783076</v>
      </c>
      <c r="P3781" s="5">
        <v>17974.179326980211</v>
      </c>
      <c r="Q3781" s="5">
        <v>22895.455950885695</v>
      </c>
      <c r="R3781" s="5">
        <v>39263.770877572199</v>
      </c>
    </row>
    <row r="3782" spans="9:18">
      <c r="I3782" s="4">
        <v>3767</v>
      </c>
      <c r="J3782" s="5">
        <v>14344.692898101612</v>
      </c>
      <c r="K3782" s="5">
        <v>9739.7813029644258</v>
      </c>
      <c r="L3782" s="5">
        <v>24256.352541181568</v>
      </c>
      <c r="M3782" s="5">
        <v>31472.019071027709</v>
      </c>
      <c r="N3782" s="5">
        <v>59876.136849941562</v>
      </c>
      <c r="O3782" s="5">
        <v>25604.597681740845</v>
      </c>
      <c r="P3782" s="5">
        <v>46514.467673254068</v>
      </c>
      <c r="Q3782" s="5">
        <v>43417.41805414496</v>
      </c>
      <c r="R3782" s="5">
        <v>2071.5141323269809</v>
      </c>
    </row>
    <row r="3783" spans="9:18">
      <c r="I3783" s="4">
        <v>3768</v>
      </c>
      <c r="J3783" s="5">
        <v>14076.209333698853</v>
      </c>
      <c r="K3783" s="5">
        <v>35488.449387009874</v>
      </c>
      <c r="L3783" s="5">
        <v>14146.191653372813</v>
      </c>
      <c r="M3783" s="5">
        <v>7334.8610818348589</v>
      </c>
      <c r="N3783" s="5">
        <v>24853.247795632611</v>
      </c>
      <c r="O3783" s="5">
        <v>35286.662852302201</v>
      </c>
      <c r="P3783" s="5">
        <v>39054.462981000084</v>
      </c>
      <c r="Q3783" s="5">
        <v>37497.234505125656</v>
      </c>
      <c r="R3783" s="5">
        <v>26783.439354489365</v>
      </c>
    </row>
    <row r="3784" spans="9:18">
      <c r="I3784" s="4">
        <v>3769</v>
      </c>
      <c r="J3784" s="5">
        <v>16166.107684907736</v>
      </c>
      <c r="K3784" s="5">
        <v>11149.572204897504</v>
      </c>
      <c r="L3784" s="5">
        <v>16293.265064857471</v>
      </c>
      <c r="M3784" s="5">
        <v>17116.951435661951</v>
      </c>
      <c r="N3784" s="5">
        <v>26565.664379767408</v>
      </c>
      <c r="O3784" s="5">
        <v>30876.675913171162</v>
      </c>
      <c r="P3784" s="5">
        <v>55119.366528283317</v>
      </c>
      <c r="Q3784" s="5">
        <v>35525.432376048877</v>
      </c>
      <c r="R3784" s="5">
        <v>35232.418639121184</v>
      </c>
    </row>
    <row r="3785" spans="9:18">
      <c r="I3785" s="4">
        <v>3770</v>
      </c>
      <c r="J3785" s="5">
        <v>31053.540961463306</v>
      </c>
      <c r="K3785" s="5">
        <v>6949.5708823216592</v>
      </c>
      <c r="L3785" s="5">
        <v>16293.265064857471</v>
      </c>
      <c r="M3785" s="5">
        <v>36301.422888051464</v>
      </c>
      <c r="N3785" s="5">
        <v>41563.89847100406</v>
      </c>
      <c r="O3785" s="5">
        <v>51330.340277512776</v>
      </c>
      <c r="P3785" s="5">
        <v>10180.109839011631</v>
      </c>
      <c r="Q3785" s="5">
        <v>37277.391668005912</v>
      </c>
      <c r="R3785" s="5">
        <v>14706.681111065362</v>
      </c>
    </row>
    <row r="3786" spans="9:18">
      <c r="I3786" s="4">
        <v>3771</v>
      </c>
      <c r="J3786" s="5">
        <v>14076.209333698853</v>
      </c>
      <c r="K3786" s="5">
        <v>14878.52734402675</v>
      </c>
      <c r="L3786" s="5">
        <v>15126.980926457318</v>
      </c>
      <c r="M3786" s="5">
        <v>21833.004790208965</v>
      </c>
      <c r="N3786" s="5">
        <v>21909.120225822895</v>
      </c>
      <c r="O3786" s="5">
        <v>25644.588869829797</v>
      </c>
      <c r="P3786" s="5">
        <v>14376.883105731285</v>
      </c>
      <c r="Q3786" s="5">
        <v>6386.5227360487288</v>
      </c>
      <c r="R3786" s="5">
        <v>1535.701520095213</v>
      </c>
    </row>
    <row r="3787" spans="9:18">
      <c r="I3787" s="4">
        <v>3772</v>
      </c>
      <c r="J3787" s="5">
        <v>13841.207384998772</v>
      </c>
      <c r="K3787" s="5">
        <v>11507.182177474708</v>
      </c>
      <c r="L3787" s="5">
        <v>25007.552172398639</v>
      </c>
      <c r="M3787" s="5">
        <v>23449.501569180404</v>
      </c>
      <c r="N3787" s="5">
        <v>23008.246229813707</v>
      </c>
      <c r="O3787" s="5">
        <v>67717.30633712461</v>
      </c>
      <c r="P3787" s="5">
        <v>95486.196907583406</v>
      </c>
      <c r="Q3787" s="5">
        <v>52421.574537857021</v>
      </c>
      <c r="R3787" s="5">
        <v>10885.018205103002</v>
      </c>
    </row>
    <row r="3788" spans="9:18">
      <c r="I3788" s="4">
        <v>3773</v>
      </c>
      <c r="J3788" s="5">
        <v>11936.262457073821</v>
      </c>
      <c r="K3788" s="5">
        <v>21187.174639714212</v>
      </c>
      <c r="L3788" s="5">
        <v>15746.942257105531</v>
      </c>
      <c r="M3788" s="5">
        <v>30785.663999045999</v>
      </c>
      <c r="N3788" s="5">
        <v>11751.639947035985</v>
      </c>
      <c r="O3788" s="5">
        <v>19492.655596593511</v>
      </c>
      <c r="P3788" s="5">
        <v>16072.735485912413</v>
      </c>
      <c r="Q3788" s="5">
        <v>96632.959478514502</v>
      </c>
      <c r="R3788" s="5">
        <v>90296.353221228885</v>
      </c>
    </row>
    <row r="3789" spans="9:18">
      <c r="I3789" s="4">
        <v>3774</v>
      </c>
      <c r="J3789" s="5">
        <v>16305.770155972396</v>
      </c>
      <c r="K3789" s="5">
        <v>13520.836427679104</v>
      </c>
      <c r="L3789" s="5">
        <v>16451.333928028147</v>
      </c>
      <c r="M3789" s="5">
        <v>15202.972920708273</v>
      </c>
      <c r="N3789" s="5">
        <v>22868.569282757788</v>
      </c>
      <c r="O3789" s="5">
        <v>10369.402667058452</v>
      </c>
      <c r="P3789" s="5">
        <v>46514.467673254068</v>
      </c>
      <c r="Q3789" s="5">
        <v>28776.080424849053</v>
      </c>
      <c r="R3789" s="5">
        <v>18720.450716365784</v>
      </c>
    </row>
    <row r="3790" spans="9:18">
      <c r="I3790" s="4">
        <v>3775</v>
      </c>
      <c r="J3790" s="5">
        <v>15623.733864199699</v>
      </c>
      <c r="K3790" s="5">
        <v>13288.692555879701</v>
      </c>
      <c r="L3790" s="5">
        <v>25007.552172398639</v>
      </c>
      <c r="M3790" s="5">
        <v>18691.941789825862</v>
      </c>
      <c r="N3790" s="5">
        <v>11684.605182472778</v>
      </c>
      <c r="O3790" s="5">
        <v>51330.340277512776</v>
      </c>
      <c r="P3790" s="5">
        <v>39054.462981000084</v>
      </c>
      <c r="Q3790" s="5">
        <v>22895.455950885695</v>
      </c>
      <c r="R3790" s="5">
        <v>87776.138236389699</v>
      </c>
    </row>
    <row r="3791" spans="9:18">
      <c r="I3791" s="4">
        <v>3776</v>
      </c>
      <c r="J3791" s="5">
        <v>16788.081681455456</v>
      </c>
      <c r="K3791" s="5">
        <v>15768.312122029349</v>
      </c>
      <c r="L3791" s="5">
        <v>18602.881797624486</v>
      </c>
      <c r="M3791" s="5">
        <v>19433.64679949253</v>
      </c>
      <c r="N3791" s="5">
        <v>15130.853682762778</v>
      </c>
      <c r="O3791" s="5">
        <v>25604.597681740845</v>
      </c>
      <c r="P3791" s="5">
        <v>83536.241167211992</v>
      </c>
      <c r="Q3791" s="5">
        <v>11173.074396969254</v>
      </c>
      <c r="R3791" s="5">
        <v>182942.88598316166</v>
      </c>
    </row>
    <row r="3792" spans="9:18">
      <c r="I3792" s="4">
        <v>3777</v>
      </c>
      <c r="J3792" s="5">
        <v>16710.807721801892</v>
      </c>
      <c r="K3792" s="5">
        <v>16199.334613834633</v>
      </c>
      <c r="L3792" s="5">
        <v>15746.942257105531</v>
      </c>
      <c r="M3792" s="5">
        <v>10142.860128720422</v>
      </c>
      <c r="N3792" s="5">
        <v>24769.339976495565</v>
      </c>
      <c r="O3792" s="5">
        <v>55264.438774006347</v>
      </c>
      <c r="P3792" s="5">
        <v>13452.921824087563</v>
      </c>
      <c r="Q3792" s="5">
        <v>7349.2234634219121</v>
      </c>
      <c r="R3792" s="5">
        <v>182942.88598316166</v>
      </c>
    </row>
    <row r="3793" spans="9:18">
      <c r="I3793" s="4">
        <v>3778</v>
      </c>
      <c r="J3793" s="5">
        <v>31053.540961463306</v>
      </c>
      <c r="K3793" s="5">
        <v>14579.232378315752</v>
      </c>
      <c r="L3793" s="5">
        <v>15759.954187048656</v>
      </c>
      <c r="M3793" s="5">
        <v>17349.963215818931</v>
      </c>
      <c r="N3793" s="5">
        <v>25549.748582175915</v>
      </c>
      <c r="O3793" s="5">
        <v>6199.3195463515376</v>
      </c>
      <c r="P3793" s="5">
        <v>46514.467673254068</v>
      </c>
      <c r="Q3793" s="5">
        <v>22483.395143121877</v>
      </c>
      <c r="R3793" s="5">
        <v>5865.9802599669383</v>
      </c>
    </row>
    <row r="3794" spans="9:18">
      <c r="I3794" s="4">
        <v>3779</v>
      </c>
      <c r="J3794" s="5">
        <v>14680.308400328413</v>
      </c>
      <c r="K3794" s="5">
        <v>32294.121255311245</v>
      </c>
      <c r="L3794" s="5">
        <v>14344.859750762502</v>
      </c>
      <c r="M3794" s="5">
        <v>13642.678686731051</v>
      </c>
      <c r="N3794" s="5">
        <v>23746.795665493762</v>
      </c>
      <c r="O3794" s="5">
        <v>8801.3667015774663</v>
      </c>
      <c r="P3794" s="5">
        <v>27820.721938889761</v>
      </c>
      <c r="Q3794" s="5">
        <v>73941.636731325911</v>
      </c>
      <c r="R3794" s="5">
        <v>7784.2246210242874</v>
      </c>
    </row>
    <row r="3795" spans="9:18">
      <c r="I3795" s="4">
        <v>3780</v>
      </c>
      <c r="J3795" s="5">
        <v>14749.343145806102</v>
      </c>
      <c r="K3795" s="5">
        <v>14611.618478071941</v>
      </c>
      <c r="L3795" s="5">
        <v>13037.115556745504</v>
      </c>
      <c r="M3795" s="5">
        <v>20229.919588372999</v>
      </c>
      <c r="N3795" s="5">
        <v>24769.339976495565</v>
      </c>
      <c r="O3795" s="5">
        <v>27195.510785031525</v>
      </c>
      <c r="P3795" s="5">
        <v>17643.087208586294</v>
      </c>
      <c r="Q3795" s="5">
        <v>15623.622662102793</v>
      </c>
      <c r="R3795" s="5">
        <v>18349.337771428582</v>
      </c>
    </row>
    <row r="3796" spans="9:18">
      <c r="I3796" s="4">
        <v>3781</v>
      </c>
      <c r="J3796" s="5">
        <v>73074.062486361407</v>
      </c>
      <c r="K3796" s="5">
        <v>30552.499930043898</v>
      </c>
      <c r="L3796" s="5">
        <v>15664.99858445921</v>
      </c>
      <c r="M3796" s="5">
        <v>20550.782384061673</v>
      </c>
      <c r="N3796" s="5">
        <v>9209.4418830788036</v>
      </c>
      <c r="O3796" s="5">
        <v>27503.656957929088</v>
      </c>
      <c r="P3796" s="5">
        <v>3831.1492650071077</v>
      </c>
      <c r="Q3796" s="5">
        <v>44911.749632594299</v>
      </c>
      <c r="R3796" s="5">
        <v>39788.288251916689</v>
      </c>
    </row>
    <row r="3797" spans="9:18">
      <c r="I3797" s="4">
        <v>3782</v>
      </c>
      <c r="J3797" s="5">
        <v>12035.382213755307</v>
      </c>
      <c r="K3797" s="5">
        <v>21218.439146892688</v>
      </c>
      <c r="L3797" s="5">
        <v>13867.07093008449</v>
      </c>
      <c r="M3797" s="5">
        <v>29834.240613550006</v>
      </c>
      <c r="N3797" s="5">
        <v>14921.795973817481</v>
      </c>
      <c r="O3797" s="5">
        <v>9320.7026593487881</v>
      </c>
      <c r="P3797" s="5">
        <v>5836.7810663002319</v>
      </c>
      <c r="Q3797" s="5">
        <v>18097.768262249352</v>
      </c>
      <c r="R3797" s="5">
        <v>38898.713625068609</v>
      </c>
    </row>
    <row r="3798" spans="9:18">
      <c r="I3798" s="4">
        <v>3783</v>
      </c>
      <c r="J3798" s="5">
        <v>13663.281817546009</v>
      </c>
      <c r="K3798" s="5">
        <v>11206.053243692098</v>
      </c>
      <c r="L3798" s="5">
        <v>15759.954187048656</v>
      </c>
      <c r="M3798" s="5">
        <v>14217.48832834715</v>
      </c>
      <c r="N3798" s="5">
        <v>21933.097106966918</v>
      </c>
      <c r="O3798" s="5">
        <v>10746.295275180995</v>
      </c>
      <c r="P3798" s="5">
        <v>9826.8369575407578</v>
      </c>
      <c r="Q3798" s="5">
        <v>37101.531383212743</v>
      </c>
      <c r="R3798" s="5">
        <v>7879.038918914337</v>
      </c>
    </row>
    <row r="3799" spans="9:18">
      <c r="I3799" s="4">
        <v>3784</v>
      </c>
      <c r="J3799" s="5">
        <v>21717.214093683677</v>
      </c>
      <c r="K3799" s="5">
        <v>7753.2116148734594</v>
      </c>
      <c r="L3799" s="5">
        <v>16293.265064857471</v>
      </c>
      <c r="M3799" s="5">
        <v>21332.072353846772</v>
      </c>
      <c r="N3799" s="5">
        <v>15251.140047572881</v>
      </c>
      <c r="O3799" s="5">
        <v>67717.30633712461</v>
      </c>
      <c r="P3799" s="5">
        <v>29283.825979394511</v>
      </c>
      <c r="Q3799" s="5">
        <v>16803.875627203233</v>
      </c>
      <c r="R3799" s="5">
        <v>17687.533637716911</v>
      </c>
    </row>
    <row r="3800" spans="9:18">
      <c r="I3800" s="4">
        <v>3785</v>
      </c>
      <c r="J3800" s="5">
        <v>16733.020222212988</v>
      </c>
      <c r="K3800" s="5">
        <v>13288.692555879701</v>
      </c>
      <c r="L3800" s="5">
        <v>15161.007794371622</v>
      </c>
      <c r="M3800" s="5">
        <v>19430.369425783585</v>
      </c>
      <c r="N3800" s="5">
        <v>21617.945168312468</v>
      </c>
      <c r="O3800" s="5">
        <v>40304.23053285561</v>
      </c>
      <c r="P3800" s="5">
        <v>9826.8369575407578</v>
      </c>
      <c r="Q3800" s="5">
        <v>43417.41805414496</v>
      </c>
      <c r="R3800" s="5">
        <v>20303.08745527079</v>
      </c>
    </row>
    <row r="3801" spans="9:18">
      <c r="I3801" s="4">
        <v>3786</v>
      </c>
      <c r="J3801" s="5">
        <v>14538.277247583976</v>
      </c>
      <c r="K3801" s="5">
        <v>16081.362509465702</v>
      </c>
      <c r="L3801" s="5">
        <v>15759.954187048656</v>
      </c>
      <c r="M3801" s="5">
        <v>12987.517521908694</v>
      </c>
      <c r="N3801" s="5">
        <v>11635.644856128632</v>
      </c>
      <c r="O3801" s="5">
        <v>25802.481365323994</v>
      </c>
      <c r="P3801" s="5">
        <v>9482.0186426688688</v>
      </c>
      <c r="Q3801" s="5">
        <v>27789.973552634947</v>
      </c>
      <c r="R3801" s="5">
        <v>39727.513802035661</v>
      </c>
    </row>
    <row r="3802" spans="9:18">
      <c r="I3802" s="4">
        <v>3787</v>
      </c>
      <c r="J3802" s="5">
        <v>20768.286261788198</v>
      </c>
      <c r="K3802" s="5">
        <v>13520.836427679104</v>
      </c>
      <c r="L3802" s="5">
        <v>14264.23790876064</v>
      </c>
      <c r="M3802" s="5">
        <v>26477.996319655329</v>
      </c>
      <c r="N3802" s="5">
        <v>22010.718648995869</v>
      </c>
      <c r="O3802" s="5">
        <v>13550.031670770122</v>
      </c>
      <c r="P3802" s="5">
        <v>9826.8369575407578</v>
      </c>
      <c r="Q3802" s="5">
        <v>42044.890065817184</v>
      </c>
      <c r="R3802" s="5">
        <v>55106.806585409526</v>
      </c>
    </row>
    <row r="3803" spans="9:18">
      <c r="I3803" s="4">
        <v>3788</v>
      </c>
      <c r="J3803" s="5">
        <v>23517.429992060665</v>
      </c>
      <c r="K3803" s="5">
        <v>95171.967522309933</v>
      </c>
      <c r="L3803" s="5">
        <v>15126.980926457318</v>
      </c>
      <c r="M3803" s="5">
        <v>22815.60259636537</v>
      </c>
      <c r="N3803" s="5">
        <v>57711.498171893618</v>
      </c>
      <c r="O3803" s="5">
        <v>10738.305003664611</v>
      </c>
      <c r="P3803" s="5">
        <v>29283.825979394511</v>
      </c>
      <c r="Q3803" s="5">
        <v>68168.482468129529</v>
      </c>
      <c r="R3803" s="5">
        <v>46004.399892616471</v>
      </c>
    </row>
    <row r="3804" spans="9:18">
      <c r="I3804" s="4">
        <v>3789</v>
      </c>
      <c r="J3804" s="5">
        <v>14344.692898101612</v>
      </c>
      <c r="K3804" s="5">
        <v>35488.449387009874</v>
      </c>
      <c r="L3804" s="5">
        <v>13358.459356674217</v>
      </c>
      <c r="M3804" s="5">
        <v>19430.369425783585</v>
      </c>
      <c r="N3804" s="5">
        <v>22511.351424689696</v>
      </c>
      <c r="O3804" s="5">
        <v>28431.436490368542</v>
      </c>
      <c r="P3804" s="5">
        <v>21039.927746191301</v>
      </c>
      <c r="Q3804" s="5">
        <v>71213.172792303565</v>
      </c>
      <c r="R3804" s="5">
        <v>86510.608303273053</v>
      </c>
    </row>
    <row r="3805" spans="9:18">
      <c r="I3805" s="4">
        <v>3790</v>
      </c>
      <c r="J3805" s="5">
        <v>26634.853073396614</v>
      </c>
      <c r="K3805" s="5">
        <v>15698.764831033119</v>
      </c>
      <c r="L3805" s="5">
        <v>18215.751370765771</v>
      </c>
      <c r="M3805" s="5">
        <v>13065.820809359835</v>
      </c>
      <c r="N3805" s="5">
        <v>22010.718648995869</v>
      </c>
      <c r="O3805" s="5">
        <v>83458.030763693328</v>
      </c>
      <c r="P3805" s="5">
        <v>3831.1492650071077</v>
      </c>
      <c r="Q3805" s="5">
        <v>73941.636731325911</v>
      </c>
      <c r="R3805" s="5">
        <v>84289.422255274636</v>
      </c>
    </row>
    <row r="3806" spans="9:18">
      <c r="I3806" s="4">
        <v>3791</v>
      </c>
      <c r="J3806" s="5">
        <v>15081.728672246438</v>
      </c>
      <c r="K3806" s="5">
        <v>23934.551191616061</v>
      </c>
      <c r="L3806" s="5">
        <v>18634.523182776735</v>
      </c>
      <c r="M3806" s="5">
        <v>12735.841453044006</v>
      </c>
      <c r="N3806" s="5">
        <v>24020.875410266352</v>
      </c>
      <c r="O3806" s="5">
        <v>94068.324736096256</v>
      </c>
      <c r="P3806" s="5">
        <v>48123.003747643132</v>
      </c>
      <c r="Q3806" s="5">
        <v>2356.8990887111336</v>
      </c>
      <c r="R3806" s="5">
        <v>7394.6358885760465</v>
      </c>
    </row>
    <row r="3807" spans="9:18">
      <c r="I3807" s="4">
        <v>3792</v>
      </c>
      <c r="J3807" s="5">
        <v>19121.054099180623</v>
      </c>
      <c r="K3807" s="5">
        <v>19467.955014411935</v>
      </c>
      <c r="L3807" s="5">
        <v>16577.562442697115</v>
      </c>
      <c r="M3807" s="5">
        <v>9623.0342442006167</v>
      </c>
      <c r="N3807" s="5">
        <v>13511.694619545402</v>
      </c>
      <c r="O3807" s="5">
        <v>10270.120415297655</v>
      </c>
      <c r="P3807" s="5">
        <v>20403.656304140692</v>
      </c>
      <c r="Q3807" s="5">
        <v>8832.660767995616</v>
      </c>
      <c r="R3807" s="5">
        <v>84289.422255274636</v>
      </c>
    </row>
    <row r="3808" spans="9:18">
      <c r="I3808" s="4">
        <v>3793</v>
      </c>
      <c r="J3808" s="5">
        <v>14594.990625703947</v>
      </c>
      <c r="K3808" s="5">
        <v>21218.439146892688</v>
      </c>
      <c r="L3808" s="5">
        <v>29265.217478369766</v>
      </c>
      <c r="M3808" s="5">
        <v>25580.243606220469</v>
      </c>
      <c r="N3808" s="5">
        <v>11751.639947035985</v>
      </c>
      <c r="O3808" s="5">
        <v>4231.3144655921506</v>
      </c>
      <c r="P3808" s="5">
        <v>77603.711720266961</v>
      </c>
      <c r="Q3808" s="5">
        <v>3909.239690544402</v>
      </c>
      <c r="R3808" s="5">
        <v>34970.397641695177</v>
      </c>
    </row>
    <row r="3809" spans="9:18">
      <c r="I3809" s="4">
        <v>3794</v>
      </c>
      <c r="J3809" s="5">
        <v>16088.430030489333</v>
      </c>
      <c r="K3809" s="5">
        <v>10931.803935361211</v>
      </c>
      <c r="L3809" s="5">
        <v>17243.440968229323</v>
      </c>
      <c r="M3809" s="5">
        <v>18043.539897080744</v>
      </c>
      <c r="N3809" s="5">
        <v>17891.96347244953</v>
      </c>
      <c r="O3809" s="5">
        <v>66253.993323243907</v>
      </c>
      <c r="P3809" s="5">
        <v>9482.0186426688688</v>
      </c>
      <c r="Q3809" s="5">
        <v>7457.1844090365566</v>
      </c>
      <c r="R3809" s="5">
        <v>33290.909836056817</v>
      </c>
    </row>
    <row r="3810" spans="9:18">
      <c r="I3810" s="4">
        <v>3795</v>
      </c>
      <c r="J3810" s="5">
        <v>16459.003095225507</v>
      </c>
      <c r="K3810" s="5">
        <v>15428.770955406064</v>
      </c>
      <c r="L3810" s="5">
        <v>15923.549351835489</v>
      </c>
      <c r="M3810" s="5">
        <v>16001.653036457456</v>
      </c>
      <c r="N3810" s="5">
        <v>21617.945168312468</v>
      </c>
      <c r="O3810" s="5">
        <v>10738.305003664611</v>
      </c>
      <c r="P3810" s="5">
        <v>22708.601480587709</v>
      </c>
      <c r="Q3810" s="5">
        <v>48866.209623168346</v>
      </c>
      <c r="R3810" s="5">
        <v>17304.847214362417</v>
      </c>
    </row>
    <row r="3811" spans="9:18">
      <c r="I3811" s="4">
        <v>3796</v>
      </c>
      <c r="J3811" s="5">
        <v>15623.733864199699</v>
      </c>
      <c r="K3811" s="5">
        <v>11403.533194020869</v>
      </c>
      <c r="L3811" s="5">
        <v>34748.877779456467</v>
      </c>
      <c r="M3811" s="5">
        <v>17349.963215818931</v>
      </c>
      <c r="N3811" s="5">
        <v>15804.474686449519</v>
      </c>
      <c r="O3811" s="5">
        <v>41653.890350944224</v>
      </c>
      <c r="P3811" s="5">
        <v>12639.596794453437</v>
      </c>
      <c r="Q3811" s="5">
        <v>9645.8788061228515</v>
      </c>
      <c r="R3811" s="5">
        <v>8046.7106309763258</v>
      </c>
    </row>
    <row r="3812" spans="9:18">
      <c r="I3812" s="4">
        <v>3797</v>
      </c>
      <c r="J3812" s="5">
        <v>16416.142496463777</v>
      </c>
      <c r="K3812" s="5">
        <v>14854.898507619706</v>
      </c>
      <c r="L3812" s="5">
        <v>15746.942257105531</v>
      </c>
      <c r="M3812" s="5">
        <v>20185.026038758231</v>
      </c>
      <c r="N3812" s="5">
        <v>15658.063692994532</v>
      </c>
      <c r="O3812" s="5">
        <v>16826.763259351828</v>
      </c>
      <c r="P3812" s="5">
        <v>45161.732159568586</v>
      </c>
      <c r="Q3812" s="5">
        <v>6386.5227360487288</v>
      </c>
      <c r="R3812" s="5">
        <v>84289.422255274636</v>
      </c>
    </row>
    <row r="3813" spans="9:18">
      <c r="I3813" s="4">
        <v>3798</v>
      </c>
      <c r="J3813" s="5">
        <v>18650.249281571734</v>
      </c>
      <c r="K3813" s="5">
        <v>16873.752266014431</v>
      </c>
      <c r="L3813" s="5">
        <v>14691.846656953887</v>
      </c>
      <c r="M3813" s="5">
        <v>21913.431401527439</v>
      </c>
      <c r="N3813" s="5">
        <v>22868.569282757788</v>
      </c>
      <c r="O3813" s="5">
        <v>27508.313315384185</v>
      </c>
      <c r="P3813" s="5">
        <v>16072.735485912413</v>
      </c>
      <c r="Q3813" s="5">
        <v>11928.872068442162</v>
      </c>
      <c r="R3813" s="5">
        <v>23583.884732956092</v>
      </c>
    </row>
    <row r="3814" spans="9:18">
      <c r="I3814" s="4">
        <v>3799</v>
      </c>
      <c r="J3814" s="5">
        <v>33627.941293959229</v>
      </c>
      <c r="K3814" s="5">
        <v>15051.330276415061</v>
      </c>
      <c r="L3814" s="5">
        <v>10896.494237357269</v>
      </c>
      <c r="M3814" s="5">
        <v>18043.539897080744</v>
      </c>
      <c r="N3814" s="5">
        <v>8104.6265149430556</v>
      </c>
      <c r="O3814" s="5">
        <v>27195.510785031525</v>
      </c>
      <c r="P3814" s="5">
        <v>44646.134934589521</v>
      </c>
      <c r="Q3814" s="5">
        <v>28078.365156847896</v>
      </c>
      <c r="R3814" s="5">
        <v>72640.340924600489</v>
      </c>
    </row>
    <row r="3815" spans="9:18">
      <c r="I3815" s="4">
        <v>3800</v>
      </c>
      <c r="J3815" s="5">
        <v>15648.665245032147</v>
      </c>
      <c r="K3815" s="5">
        <v>9739.7813029644258</v>
      </c>
      <c r="L3815" s="5">
        <v>34748.877779456467</v>
      </c>
      <c r="M3815" s="5">
        <v>12426.949970383979</v>
      </c>
      <c r="N3815" s="5">
        <v>8555.1229659096207</v>
      </c>
      <c r="O3815" s="5">
        <v>31172.963108652857</v>
      </c>
      <c r="P3815" s="5">
        <v>12790.85158217316</v>
      </c>
      <c r="Q3815" s="5">
        <v>9138.5169630896526</v>
      </c>
      <c r="R3815" s="5">
        <v>216919.53009911609</v>
      </c>
    </row>
    <row r="3816" spans="9:18">
      <c r="I3816" s="4">
        <v>3801</v>
      </c>
      <c r="J3816" s="5">
        <v>14680.308400328413</v>
      </c>
      <c r="K3816" s="5">
        <v>16952.949313901812</v>
      </c>
      <c r="L3816" s="5">
        <v>17578.712723867691</v>
      </c>
      <c r="M3816" s="5">
        <v>16842.379179328669</v>
      </c>
      <c r="N3816" s="5">
        <v>8555.1229659096207</v>
      </c>
      <c r="O3816" s="5">
        <v>94068.324736096256</v>
      </c>
      <c r="P3816" s="5">
        <v>95486.196907583406</v>
      </c>
      <c r="Q3816" s="5">
        <v>19315.033835554255</v>
      </c>
      <c r="R3816" s="5">
        <v>5865.9802599669383</v>
      </c>
    </row>
    <row r="3817" spans="9:18">
      <c r="I3817" s="4">
        <v>3802</v>
      </c>
      <c r="J3817" s="5">
        <v>13918.242013140338</v>
      </c>
      <c r="K3817" s="5">
        <v>9739.7813029644258</v>
      </c>
      <c r="L3817" s="5">
        <v>18215.751370765771</v>
      </c>
      <c r="M3817" s="5">
        <v>11860.862376247747</v>
      </c>
      <c r="N3817" s="5">
        <v>27833.630848857778</v>
      </c>
      <c r="O3817" s="5">
        <v>77417.02098927302</v>
      </c>
      <c r="P3817" s="5">
        <v>22708.601480587709</v>
      </c>
      <c r="Q3817" s="5">
        <v>9645.8788061228515</v>
      </c>
      <c r="R3817" s="5">
        <v>81423.874800517297</v>
      </c>
    </row>
    <row r="3818" spans="9:18">
      <c r="I3818" s="4">
        <v>3803</v>
      </c>
      <c r="J3818" s="5">
        <v>15648.665245032147</v>
      </c>
      <c r="K3818" s="5">
        <v>11507.182177474708</v>
      </c>
      <c r="L3818" s="5">
        <v>15359.132481533357</v>
      </c>
      <c r="M3818" s="5">
        <v>15586.009710351766</v>
      </c>
      <c r="N3818" s="5">
        <v>24314.043643333731</v>
      </c>
      <c r="O3818" s="5">
        <v>18637.945795127704</v>
      </c>
      <c r="P3818" s="5">
        <v>45161.732159568586</v>
      </c>
      <c r="Q3818" s="5">
        <v>56069.347629295014</v>
      </c>
      <c r="R3818" s="5">
        <v>31715.273557891396</v>
      </c>
    </row>
    <row r="3819" spans="9:18">
      <c r="I3819" s="4">
        <v>3804</v>
      </c>
      <c r="J3819" s="5">
        <v>22188.291830993156</v>
      </c>
      <c r="K3819" s="5">
        <v>14497.035717129334</v>
      </c>
      <c r="L3819" s="5">
        <v>10752.183901283248</v>
      </c>
      <c r="M3819" s="5">
        <v>19795.661011456152</v>
      </c>
      <c r="N3819" s="5">
        <v>22010.718648995869</v>
      </c>
      <c r="O3819" s="5">
        <v>8121.6248378263163</v>
      </c>
      <c r="P3819" s="5">
        <v>26126.807131356076</v>
      </c>
      <c r="Q3819" s="5">
        <v>22895.455950885695</v>
      </c>
      <c r="R3819" s="5">
        <v>72640.340924600489</v>
      </c>
    </row>
    <row r="3820" spans="9:18">
      <c r="I3820" s="4">
        <v>3805</v>
      </c>
      <c r="J3820" s="5">
        <v>14960.076233580705</v>
      </c>
      <c r="K3820" s="5">
        <v>13559.080695844099</v>
      </c>
      <c r="L3820" s="5">
        <v>13023.361770761438</v>
      </c>
      <c r="M3820" s="5">
        <v>19151.339770278159</v>
      </c>
      <c r="N3820" s="5">
        <v>21931.347680292267</v>
      </c>
      <c r="O3820" s="5">
        <v>21930.527973988665</v>
      </c>
      <c r="P3820" s="5">
        <v>14327.191387816954</v>
      </c>
      <c r="Q3820" s="5">
        <v>11173.074396969254</v>
      </c>
      <c r="R3820" s="5">
        <v>17991.870496434763</v>
      </c>
    </row>
    <row r="3821" spans="9:18">
      <c r="I3821" s="4">
        <v>3806</v>
      </c>
      <c r="J3821" s="5">
        <v>11936.262457073821</v>
      </c>
      <c r="K3821" s="5">
        <v>21527.93129974293</v>
      </c>
      <c r="L3821" s="5">
        <v>21428.663623484812</v>
      </c>
      <c r="M3821" s="5">
        <v>26477.996319655329</v>
      </c>
      <c r="N3821" s="5">
        <v>18367.429489032103</v>
      </c>
      <c r="O3821" s="5">
        <v>3171.3006415671193</v>
      </c>
      <c r="P3821" s="5">
        <v>27452.975716953504</v>
      </c>
      <c r="Q3821" s="5">
        <v>19541.409060825732</v>
      </c>
      <c r="R3821" s="5">
        <v>41056.152565483346</v>
      </c>
    </row>
    <row r="3822" spans="9:18">
      <c r="I3822" s="4">
        <v>3807</v>
      </c>
      <c r="J3822" s="5">
        <v>31053.540961463306</v>
      </c>
      <c r="K3822" s="5">
        <v>9739.7813029644258</v>
      </c>
      <c r="L3822" s="5">
        <v>27289.607394458035</v>
      </c>
      <c r="M3822" s="5">
        <v>17542.15972125496</v>
      </c>
      <c r="N3822" s="5">
        <v>13511.694619545402</v>
      </c>
      <c r="O3822" s="5">
        <v>14371.728352806511</v>
      </c>
      <c r="P3822" s="5">
        <v>12639.596794453437</v>
      </c>
      <c r="Q3822" s="5">
        <v>56069.347629295014</v>
      </c>
      <c r="R3822" s="5">
        <v>33290.909836056817</v>
      </c>
    </row>
    <row r="3823" spans="9:18">
      <c r="I3823" s="4">
        <v>3808</v>
      </c>
      <c r="J3823" s="5">
        <v>14594.990625703947</v>
      </c>
      <c r="K3823" s="5">
        <v>34058.671324159091</v>
      </c>
      <c r="L3823" s="5">
        <v>15664.99858445921</v>
      </c>
      <c r="M3823" s="5">
        <v>41698.977215629871</v>
      </c>
      <c r="N3823" s="5">
        <v>4770.4216775830728</v>
      </c>
      <c r="O3823" s="5">
        <v>20721.57544042755</v>
      </c>
      <c r="P3823" s="5">
        <v>32155.527541400057</v>
      </c>
      <c r="Q3823" s="5">
        <v>28797.29222718185</v>
      </c>
      <c r="R3823" s="5">
        <v>59414.886464347241</v>
      </c>
    </row>
    <row r="3824" spans="9:18">
      <c r="I3824" s="4">
        <v>3809</v>
      </c>
      <c r="J3824" s="5">
        <v>8580.4413740966302</v>
      </c>
      <c r="K3824" s="5">
        <v>13559.080695844099</v>
      </c>
      <c r="L3824" s="5">
        <v>18215.751370765771</v>
      </c>
      <c r="M3824" s="5">
        <v>23454.775510296178</v>
      </c>
      <c r="N3824" s="5">
        <v>15658.063692994532</v>
      </c>
      <c r="O3824" s="5">
        <v>40304.23053285561</v>
      </c>
      <c r="P3824" s="5">
        <v>106091.28270624072</v>
      </c>
      <c r="Q3824" s="5">
        <v>3272.4685014937832</v>
      </c>
      <c r="R3824" s="5">
        <v>30571.564004538617</v>
      </c>
    </row>
    <row r="3825" spans="9:18">
      <c r="I3825" s="4">
        <v>3810</v>
      </c>
      <c r="J3825" s="5">
        <v>17005.744061105343</v>
      </c>
      <c r="K3825" s="5">
        <v>56656.842992470461</v>
      </c>
      <c r="L3825" s="5">
        <v>22162.138529251199</v>
      </c>
      <c r="M3825" s="5">
        <v>21712.71007234112</v>
      </c>
      <c r="N3825" s="5">
        <v>46248.895746171031</v>
      </c>
      <c r="O3825" s="5">
        <v>20489.622805425737</v>
      </c>
      <c r="P3825" s="5">
        <v>35213.322626437533</v>
      </c>
      <c r="Q3825" s="5">
        <v>9138.5169630896526</v>
      </c>
      <c r="R3825" s="5">
        <v>29295.938844292672</v>
      </c>
    </row>
    <row r="3826" spans="9:18">
      <c r="I3826" s="4">
        <v>3811</v>
      </c>
      <c r="J3826" s="5">
        <v>9405.362381917912</v>
      </c>
      <c r="K3826" s="5">
        <v>23934.551191616061</v>
      </c>
      <c r="L3826" s="5">
        <v>19359.475411188432</v>
      </c>
      <c r="M3826" s="5">
        <v>23454.775510296178</v>
      </c>
      <c r="N3826" s="5">
        <v>9563.1256545330361</v>
      </c>
      <c r="O3826" s="5">
        <v>20489.622805425737</v>
      </c>
      <c r="P3826" s="5">
        <v>55152.110177667731</v>
      </c>
      <c r="Q3826" s="5">
        <v>129470.11441833655</v>
      </c>
      <c r="R3826" s="5">
        <v>54594.567438884274</v>
      </c>
    </row>
    <row r="3827" spans="9:18">
      <c r="I3827" s="4">
        <v>3812</v>
      </c>
      <c r="J3827" s="5">
        <v>17005.744061105343</v>
      </c>
      <c r="K3827" s="5">
        <v>95171.967522309933</v>
      </c>
      <c r="L3827" s="5">
        <v>14146.191653372813</v>
      </c>
      <c r="M3827" s="5">
        <v>22961.931350882205</v>
      </c>
      <c r="N3827" s="5">
        <v>24769.339976495565</v>
      </c>
      <c r="O3827" s="5">
        <v>16572.483389649329</v>
      </c>
      <c r="P3827" s="5">
        <v>13793.886507202402</v>
      </c>
      <c r="Q3827" s="5">
        <v>54060.5331097772</v>
      </c>
      <c r="R3827" s="5">
        <v>38898.713625068609</v>
      </c>
    </row>
    <row r="3828" spans="9:18">
      <c r="I3828" s="4">
        <v>3813</v>
      </c>
      <c r="J3828" s="5">
        <v>34933.039312618188</v>
      </c>
      <c r="K3828" s="5">
        <v>26110.948843472826</v>
      </c>
      <c r="L3828" s="5">
        <v>17683.765335572589</v>
      </c>
      <c r="M3828" s="5">
        <v>20041.623430301417</v>
      </c>
      <c r="N3828" s="5">
        <v>11251.634703629026</v>
      </c>
      <c r="O3828" s="5">
        <v>13550.031670770122</v>
      </c>
      <c r="P3828" s="5">
        <v>38024.168395914428</v>
      </c>
      <c r="Q3828" s="5">
        <v>71213.172792303565</v>
      </c>
      <c r="R3828" s="5">
        <v>46004.399892616471</v>
      </c>
    </row>
    <row r="3829" spans="9:18">
      <c r="I3829" s="4">
        <v>3814</v>
      </c>
      <c r="J3829" s="5">
        <v>28590.354879265724</v>
      </c>
      <c r="K3829" s="5">
        <v>11206.053243692098</v>
      </c>
      <c r="L3829" s="5">
        <v>17693.864646288712</v>
      </c>
      <c r="M3829" s="5">
        <v>29058.117767351498</v>
      </c>
      <c r="N3829" s="5">
        <v>22868.569282757788</v>
      </c>
      <c r="O3829" s="5">
        <v>9956.4031238965053</v>
      </c>
      <c r="P3829" s="5">
        <v>34768.042801665702</v>
      </c>
      <c r="Q3829" s="5">
        <v>20987.925664394581</v>
      </c>
      <c r="R3829" s="5">
        <v>7118.1729476780347</v>
      </c>
    </row>
    <row r="3830" spans="9:18">
      <c r="I3830" s="4">
        <v>3815</v>
      </c>
      <c r="J3830" s="5">
        <v>15786.811016780619</v>
      </c>
      <c r="K3830" s="5">
        <v>12026.500118162745</v>
      </c>
      <c r="L3830" s="5">
        <v>16293.265064857471</v>
      </c>
      <c r="M3830" s="5">
        <v>12987.517521908694</v>
      </c>
      <c r="N3830" s="5">
        <v>20583.564383988036</v>
      </c>
      <c r="O3830" s="5">
        <v>49114.195066822271</v>
      </c>
      <c r="P3830" s="5">
        <v>21813.848941464526</v>
      </c>
      <c r="Q3830" s="5">
        <v>96632.959478514502</v>
      </c>
      <c r="R3830" s="5">
        <v>122304.95880137496</v>
      </c>
    </row>
    <row r="3831" spans="9:18">
      <c r="I3831" s="4">
        <v>3816</v>
      </c>
      <c r="J3831" s="5">
        <v>15130.594750069789</v>
      </c>
      <c r="K3831" s="5">
        <v>15631.937142257386</v>
      </c>
      <c r="L3831" s="5">
        <v>13417.453622029931</v>
      </c>
      <c r="M3831" s="5">
        <v>16001.653036457456</v>
      </c>
      <c r="N3831" s="5">
        <v>59876.136849941562</v>
      </c>
      <c r="O3831" s="5">
        <v>5444.7598502623823</v>
      </c>
      <c r="P3831" s="5">
        <v>35569.894390728325</v>
      </c>
      <c r="Q3831" s="5">
        <v>19315.033835554255</v>
      </c>
      <c r="R3831" s="5">
        <v>114016.93673542379</v>
      </c>
    </row>
    <row r="3832" spans="9:18">
      <c r="I3832" s="4">
        <v>3817</v>
      </c>
      <c r="J3832" s="5">
        <v>22370.105711697011</v>
      </c>
      <c r="K3832" s="5">
        <v>13288.692555879701</v>
      </c>
      <c r="L3832" s="5">
        <v>18810.091753970282</v>
      </c>
      <c r="M3832" s="5">
        <v>22326.253555179093</v>
      </c>
      <c r="N3832" s="5">
        <v>8555.1229659096207</v>
      </c>
      <c r="O3832" s="5">
        <v>77417.02098927302</v>
      </c>
      <c r="P3832" s="5">
        <v>26126.807131356076</v>
      </c>
      <c r="Q3832" s="5">
        <v>8502.450657922871</v>
      </c>
      <c r="R3832" s="5">
        <v>81423.874800517297</v>
      </c>
    </row>
    <row r="3833" spans="9:18">
      <c r="I3833" s="4">
        <v>3818</v>
      </c>
      <c r="J3833" s="5">
        <v>28590.354879265724</v>
      </c>
      <c r="K3833" s="5">
        <v>14854.898507619706</v>
      </c>
      <c r="L3833" s="5">
        <v>16616.161224349555</v>
      </c>
      <c r="M3833" s="5">
        <v>21332.072353846772</v>
      </c>
      <c r="N3833" s="5">
        <v>8555.1229659096207</v>
      </c>
      <c r="O3833" s="5">
        <v>13613.378495715853</v>
      </c>
      <c r="P3833" s="5">
        <v>48123.003747643132</v>
      </c>
      <c r="Q3833" s="5">
        <v>35525.432376048877</v>
      </c>
      <c r="R3833" s="5">
        <v>50287.76786557267</v>
      </c>
    </row>
    <row r="3834" spans="9:18">
      <c r="I3834" s="4">
        <v>3819</v>
      </c>
      <c r="J3834" s="5">
        <v>34933.039312618188</v>
      </c>
      <c r="K3834" s="5">
        <v>20887.307279900142</v>
      </c>
      <c r="L3834" s="5">
        <v>16071.478531535273</v>
      </c>
      <c r="M3834" s="5">
        <v>36301.422888051464</v>
      </c>
      <c r="N3834" s="5">
        <v>23746.795665493762</v>
      </c>
      <c r="O3834" s="5">
        <v>24258.192244316608</v>
      </c>
      <c r="P3834" s="5">
        <v>18862.487147419793</v>
      </c>
      <c r="Q3834" s="5">
        <v>11173.074396969254</v>
      </c>
      <c r="R3834" s="5">
        <v>50287.76786557267</v>
      </c>
    </row>
    <row r="3835" spans="9:18">
      <c r="I3835" s="4">
        <v>3820</v>
      </c>
      <c r="J3835" s="5">
        <v>14594.990625703947</v>
      </c>
      <c r="K3835" s="5">
        <v>32294.121255311245</v>
      </c>
      <c r="L3835" s="5">
        <v>25389.332759288587</v>
      </c>
      <c r="M3835" s="5">
        <v>17542.15972125496</v>
      </c>
      <c r="N3835" s="5">
        <v>27841.916587595573</v>
      </c>
      <c r="O3835" s="5">
        <v>27068.054847826614</v>
      </c>
      <c r="P3835" s="5">
        <v>40377.463755170742</v>
      </c>
      <c r="Q3835" s="5">
        <v>52545.991451361173</v>
      </c>
      <c r="R3835" s="5">
        <v>33290.909836056817</v>
      </c>
    </row>
    <row r="3836" spans="9:18">
      <c r="I3836" s="4">
        <v>3821</v>
      </c>
      <c r="J3836" s="5">
        <v>34933.039312618188</v>
      </c>
      <c r="K3836" s="5">
        <v>43843.85059185313</v>
      </c>
      <c r="L3836" s="5">
        <v>16577.562442697115</v>
      </c>
      <c r="M3836" s="5">
        <v>19151.339770278159</v>
      </c>
      <c r="N3836" s="5">
        <v>22511.351424689696</v>
      </c>
      <c r="O3836" s="5">
        <v>53504.725169095313</v>
      </c>
      <c r="P3836" s="5">
        <v>10180.109839011631</v>
      </c>
      <c r="Q3836" s="5">
        <v>37802.358878968138</v>
      </c>
      <c r="R3836" s="5">
        <v>17991.870496434763</v>
      </c>
    </row>
    <row r="3837" spans="9:18">
      <c r="I3837" s="4">
        <v>3822</v>
      </c>
      <c r="J3837" s="5">
        <v>29760.443016608337</v>
      </c>
      <c r="K3837" s="5">
        <v>16081.362509465702</v>
      </c>
      <c r="L3837" s="5">
        <v>10896.494237357269</v>
      </c>
      <c r="M3837" s="5">
        <v>10451.914120098167</v>
      </c>
      <c r="N3837" s="5">
        <v>14240.123545764454</v>
      </c>
      <c r="O3837" s="5">
        <v>24422.445067017139</v>
      </c>
      <c r="P3837" s="5">
        <v>48123.003747643132</v>
      </c>
      <c r="Q3837" s="5">
        <v>59964.86015574776</v>
      </c>
      <c r="R3837" s="5">
        <v>18720.450716365784</v>
      </c>
    </row>
    <row r="3838" spans="9:18">
      <c r="I3838" s="4">
        <v>3823</v>
      </c>
      <c r="J3838" s="5">
        <v>31053.540961463306</v>
      </c>
      <c r="K3838" s="5">
        <v>21958.925144875713</v>
      </c>
      <c r="L3838" s="5">
        <v>14649.721476864312</v>
      </c>
      <c r="M3838" s="5">
        <v>7334.8610818348589</v>
      </c>
      <c r="N3838" s="5">
        <v>22735.120948269971</v>
      </c>
      <c r="O3838" s="5">
        <v>20721.57544042755</v>
      </c>
      <c r="P3838" s="5">
        <v>9826.8369575407578</v>
      </c>
      <c r="Q3838" s="5">
        <v>59134.059519022907</v>
      </c>
      <c r="R3838" s="5">
        <v>8130.5639219412278</v>
      </c>
    </row>
    <row r="3839" spans="9:18">
      <c r="I3839" s="4">
        <v>3824</v>
      </c>
      <c r="J3839" s="5">
        <v>14538.277247583976</v>
      </c>
      <c r="K3839" s="5">
        <v>11507.182177474708</v>
      </c>
      <c r="L3839" s="5">
        <v>21954.536591034263</v>
      </c>
      <c r="M3839" s="5">
        <v>6367.5407465007311</v>
      </c>
      <c r="N3839" s="5">
        <v>20718.434293991453</v>
      </c>
      <c r="O3839" s="5">
        <v>10676.618215263648</v>
      </c>
      <c r="P3839" s="5">
        <v>5735.6883097179207</v>
      </c>
      <c r="Q3839" s="5">
        <v>7349.2234634219121</v>
      </c>
      <c r="R3839" s="5">
        <v>3433.6677391851467</v>
      </c>
    </row>
    <row r="3840" spans="9:18">
      <c r="I3840" s="4">
        <v>3825</v>
      </c>
      <c r="J3840" s="5">
        <v>22812.564910649318</v>
      </c>
      <c r="K3840" s="5">
        <v>15782.544184844044</v>
      </c>
      <c r="L3840" s="5">
        <v>18602.881797624486</v>
      </c>
      <c r="M3840" s="5">
        <v>13642.678686731051</v>
      </c>
      <c r="N3840" s="5">
        <v>32184.535272543482</v>
      </c>
      <c r="O3840" s="5">
        <v>10369.402667058452</v>
      </c>
      <c r="P3840" s="5">
        <v>38024.168395914428</v>
      </c>
      <c r="Q3840" s="5">
        <v>17153.530968450712</v>
      </c>
      <c r="R3840" s="5">
        <v>6681.1887184356683</v>
      </c>
    </row>
    <row r="3841" spans="9:18">
      <c r="I3841" s="4">
        <v>3826</v>
      </c>
      <c r="J3841" s="5">
        <v>16145.071869702888</v>
      </c>
      <c r="K3841" s="5">
        <v>11206.053243692098</v>
      </c>
      <c r="L3841" s="5">
        <v>15225.811035017256</v>
      </c>
      <c r="M3841" s="5">
        <v>20550.782384061673</v>
      </c>
      <c r="N3841" s="5">
        <v>11751.639947035985</v>
      </c>
      <c r="O3841" s="5">
        <v>35865.625349531729</v>
      </c>
      <c r="P3841" s="5">
        <v>13452.921824087563</v>
      </c>
      <c r="Q3841" s="5">
        <v>20883.852062640355</v>
      </c>
      <c r="R3841" s="5">
        <v>17304.847214362417</v>
      </c>
    </row>
    <row r="3842" spans="9:18">
      <c r="I3842" s="4">
        <v>3827</v>
      </c>
      <c r="J3842" s="5">
        <v>29760.443016608337</v>
      </c>
      <c r="K3842" s="5">
        <v>11403.533194020869</v>
      </c>
      <c r="L3842" s="5">
        <v>16293.265064857471</v>
      </c>
      <c r="M3842" s="5">
        <v>23908.621352410395</v>
      </c>
      <c r="N3842" s="5">
        <v>22735.120948269971</v>
      </c>
      <c r="O3842" s="5">
        <v>55264.438774006347</v>
      </c>
      <c r="P3842" s="5">
        <v>26126.807131356076</v>
      </c>
      <c r="Q3842" s="5">
        <v>16803.875627203233</v>
      </c>
      <c r="R3842" s="5">
        <v>17304.847214362417</v>
      </c>
    </row>
    <row r="3843" spans="9:18">
      <c r="I3843" s="4">
        <v>3828</v>
      </c>
      <c r="J3843" s="5">
        <v>31559.699247539775</v>
      </c>
      <c r="K3843" s="5">
        <v>17495.743706488822</v>
      </c>
      <c r="L3843" s="5">
        <v>15161.007794371622</v>
      </c>
      <c r="M3843" s="5">
        <v>7334.8610818348589</v>
      </c>
      <c r="N3843" s="5">
        <v>37309.151967087455</v>
      </c>
      <c r="O3843" s="5">
        <v>9956.4031238965053</v>
      </c>
      <c r="P3843" s="5">
        <v>48123.003747643132</v>
      </c>
      <c r="Q3843" s="5">
        <v>22145.301831504508</v>
      </c>
      <c r="R3843" s="5">
        <v>17304.847214362417</v>
      </c>
    </row>
    <row r="3844" spans="9:18">
      <c r="I3844" s="4">
        <v>3829</v>
      </c>
      <c r="J3844" s="5">
        <v>27392.038553726634</v>
      </c>
      <c r="K3844" s="5">
        <v>9769.3659785458403</v>
      </c>
      <c r="L3844" s="5">
        <v>17243.440968229323</v>
      </c>
      <c r="M3844" s="5">
        <v>17370.588707072598</v>
      </c>
      <c r="N3844" s="5">
        <v>36962.805083900916</v>
      </c>
      <c r="O3844" s="5">
        <v>27084.483614751469</v>
      </c>
      <c r="P3844" s="5">
        <v>83536.241167211992</v>
      </c>
      <c r="Q3844" s="5">
        <v>37802.358878968138</v>
      </c>
      <c r="R3844" s="5">
        <v>31715.273557891396</v>
      </c>
    </row>
    <row r="3845" spans="9:18">
      <c r="I3845" s="4">
        <v>3830</v>
      </c>
      <c r="J3845" s="5">
        <v>14017.326487344162</v>
      </c>
      <c r="K3845" s="5">
        <v>8223.1266007477425</v>
      </c>
      <c r="L3845" s="5">
        <v>23561.450544884348</v>
      </c>
      <c r="M3845" s="5">
        <v>24981.974172352908</v>
      </c>
      <c r="N3845" s="5">
        <v>24020.875410266352</v>
      </c>
      <c r="O3845" s="5">
        <v>27062.73412298776</v>
      </c>
      <c r="P3845" s="5">
        <v>63015.124693769802</v>
      </c>
      <c r="Q3845" s="5">
        <v>31618.396253255491</v>
      </c>
      <c r="R3845" s="5">
        <v>16039.216896723072</v>
      </c>
    </row>
    <row r="3846" spans="9:18">
      <c r="I3846" s="4">
        <v>3831</v>
      </c>
      <c r="J3846" s="5">
        <v>11854.381651026555</v>
      </c>
      <c r="K3846" s="5">
        <v>17903.387243834499</v>
      </c>
      <c r="L3846" s="5">
        <v>17311.244744664215</v>
      </c>
      <c r="M3846" s="5">
        <v>16500.222621933419</v>
      </c>
      <c r="N3846" s="5">
        <v>6130.3882288404347</v>
      </c>
      <c r="O3846" s="5">
        <v>16524.769946939996</v>
      </c>
      <c r="P3846" s="5">
        <v>16650.229067545235</v>
      </c>
      <c r="Q3846" s="5">
        <v>12451.066014448154</v>
      </c>
      <c r="R3846" s="5">
        <v>114016.93673542379</v>
      </c>
    </row>
    <row r="3847" spans="9:18">
      <c r="I3847" s="4">
        <v>3832</v>
      </c>
      <c r="J3847" s="5">
        <v>9368.8270679249108</v>
      </c>
      <c r="K3847" s="5">
        <v>19467.955014411935</v>
      </c>
      <c r="L3847" s="5">
        <v>14316.474075738101</v>
      </c>
      <c r="M3847" s="5">
        <v>19433.64679949253</v>
      </c>
      <c r="N3847" s="5">
        <v>34295.124147811541</v>
      </c>
      <c r="O3847" s="5">
        <v>24422.445067017139</v>
      </c>
      <c r="P3847" s="5">
        <v>9965.8330787532959</v>
      </c>
      <c r="Q3847" s="5">
        <v>70295.978314632754</v>
      </c>
      <c r="R3847" s="5">
        <v>29295.938844292672</v>
      </c>
    </row>
    <row r="3848" spans="9:18">
      <c r="I3848" s="4">
        <v>3833</v>
      </c>
      <c r="J3848" s="5">
        <v>16733.020222212988</v>
      </c>
      <c r="K3848" s="5">
        <v>37822.375317881044</v>
      </c>
      <c r="L3848" s="5">
        <v>15746.942257105531</v>
      </c>
      <c r="M3848" s="5">
        <v>42282.977640783138</v>
      </c>
      <c r="N3848" s="5">
        <v>23008.246229813707</v>
      </c>
      <c r="O3848" s="5">
        <v>16505.600261180331</v>
      </c>
      <c r="P3848" s="5">
        <v>44816.412248582856</v>
      </c>
      <c r="Q3848" s="5">
        <v>8880.8074399558282</v>
      </c>
      <c r="R3848" s="5">
        <v>93933.045103013996</v>
      </c>
    </row>
    <row r="3849" spans="9:18">
      <c r="I3849" s="4">
        <v>3834</v>
      </c>
      <c r="J3849" s="5">
        <v>14671.176405938595</v>
      </c>
      <c r="K3849" s="5">
        <v>15487.124352801369</v>
      </c>
      <c r="L3849" s="5">
        <v>14344.859750762502</v>
      </c>
      <c r="M3849" s="5">
        <v>29041.83725675238</v>
      </c>
      <c r="N3849" s="5">
        <v>51261.622558090799</v>
      </c>
      <c r="O3849" s="5">
        <v>20489.622805425737</v>
      </c>
      <c r="P3849" s="5">
        <v>36724.352187786957</v>
      </c>
      <c r="Q3849" s="5">
        <v>8880.8074399558282</v>
      </c>
      <c r="R3849" s="5">
        <v>72561.496699005787</v>
      </c>
    </row>
    <row r="3850" spans="9:18">
      <c r="I3850" s="4">
        <v>3835</v>
      </c>
      <c r="J3850" s="5">
        <v>49463.324094345015</v>
      </c>
      <c r="K3850" s="5">
        <v>30552.499930043898</v>
      </c>
      <c r="L3850" s="5">
        <v>13358.459356674217</v>
      </c>
      <c r="M3850" s="5">
        <v>11529.920007560097</v>
      </c>
      <c r="N3850" s="5">
        <v>21617.945168312468</v>
      </c>
      <c r="O3850" s="5">
        <v>5444.7598502623823</v>
      </c>
      <c r="P3850" s="5">
        <v>10966.822219855034</v>
      </c>
      <c r="Q3850" s="5">
        <v>37497.234505125656</v>
      </c>
      <c r="R3850" s="5">
        <v>18230.645544621442</v>
      </c>
    </row>
    <row r="3851" spans="9:18">
      <c r="I3851" s="4">
        <v>3836</v>
      </c>
      <c r="J3851" s="5">
        <v>28169.050633834027</v>
      </c>
      <c r="K3851" s="5">
        <v>13520.836427679104</v>
      </c>
      <c r="L3851" s="5">
        <v>17920.486090689363</v>
      </c>
      <c r="M3851" s="5">
        <v>25580.243606220469</v>
      </c>
      <c r="N3851" s="5">
        <v>35826.921212852278</v>
      </c>
      <c r="O3851" s="5">
        <v>16505.600261180331</v>
      </c>
      <c r="P3851" s="5">
        <v>10733.318076105543</v>
      </c>
      <c r="Q3851" s="5">
        <v>56069.347629295014</v>
      </c>
      <c r="R3851" s="5">
        <v>76851.431017396084</v>
      </c>
    </row>
    <row r="3852" spans="9:18">
      <c r="I3852" s="4">
        <v>3837</v>
      </c>
      <c r="J3852" s="5">
        <v>14749.343145806102</v>
      </c>
      <c r="K3852" s="5">
        <v>11403.533194020869</v>
      </c>
      <c r="L3852" s="5">
        <v>17693.864646288712</v>
      </c>
      <c r="M3852" s="5">
        <v>29041.83725675238</v>
      </c>
      <c r="N3852" s="5">
        <v>36962.805083900916</v>
      </c>
      <c r="O3852" s="5">
        <v>35286.662852302201</v>
      </c>
      <c r="P3852" s="5">
        <v>33500.490132682797</v>
      </c>
      <c r="Q3852" s="5">
        <v>42044.890065817184</v>
      </c>
      <c r="R3852" s="5">
        <v>46004.399892616471</v>
      </c>
    </row>
    <row r="3853" spans="9:18">
      <c r="I3853" s="4">
        <v>3838</v>
      </c>
      <c r="J3853" s="5">
        <v>13447.638004246244</v>
      </c>
      <c r="K3853" s="5">
        <v>16952.949313901812</v>
      </c>
      <c r="L3853" s="5">
        <v>14811.370758813007</v>
      </c>
      <c r="M3853" s="5">
        <v>42282.977640783138</v>
      </c>
      <c r="N3853" s="5">
        <v>12592.300437162297</v>
      </c>
      <c r="O3853" s="5">
        <v>13840.304699955392</v>
      </c>
      <c r="P3853" s="5">
        <v>21039.927746191301</v>
      </c>
      <c r="Q3853" s="5">
        <v>16803.875627203233</v>
      </c>
      <c r="R3853" s="5">
        <v>2071.5141323269809</v>
      </c>
    </row>
    <row r="3854" spans="9:18">
      <c r="I3854" s="4">
        <v>3839</v>
      </c>
      <c r="J3854" s="5">
        <v>21888.821432026474</v>
      </c>
      <c r="K3854" s="5">
        <v>15631.937142257386</v>
      </c>
      <c r="L3854" s="5">
        <v>18634.523182776735</v>
      </c>
      <c r="M3854" s="5">
        <v>29834.240613550006</v>
      </c>
      <c r="N3854" s="5">
        <v>11952.903761138405</v>
      </c>
      <c r="O3854" s="5">
        <v>10676.618215263648</v>
      </c>
      <c r="P3854" s="5">
        <v>48123.003747643132</v>
      </c>
      <c r="Q3854" s="5">
        <v>10151.908492905288</v>
      </c>
      <c r="R3854" s="5">
        <v>123773.40402252052</v>
      </c>
    </row>
    <row r="3855" spans="9:18">
      <c r="I3855" s="4">
        <v>3840</v>
      </c>
      <c r="J3855" s="5">
        <v>11843.28062342474</v>
      </c>
      <c r="K3855" s="5">
        <v>15051.330276415061</v>
      </c>
      <c r="L3855" s="5">
        <v>15664.99858445921</v>
      </c>
      <c r="M3855" s="5">
        <v>18177.175180585615</v>
      </c>
      <c r="N3855" s="5">
        <v>15786.177386596903</v>
      </c>
      <c r="O3855" s="5">
        <v>27503.656957929088</v>
      </c>
      <c r="P3855" s="5">
        <v>46514.467673254068</v>
      </c>
      <c r="Q3855" s="5">
        <v>56069.347629295014</v>
      </c>
      <c r="R3855" s="5">
        <v>18230.645544621442</v>
      </c>
    </row>
    <row r="3856" spans="9:18">
      <c r="I3856" s="4">
        <v>3841</v>
      </c>
      <c r="J3856" s="5">
        <v>13663.281817546009</v>
      </c>
      <c r="K3856" s="5">
        <v>14351.415257675473</v>
      </c>
      <c r="L3856" s="5">
        <v>18634.523182776735</v>
      </c>
      <c r="M3856" s="5">
        <v>23449.501569180404</v>
      </c>
      <c r="N3856" s="5">
        <v>17891.96347244953</v>
      </c>
      <c r="O3856" s="5">
        <v>25644.588869829797</v>
      </c>
      <c r="P3856" s="5">
        <v>54292.749740228588</v>
      </c>
      <c r="Q3856" s="5">
        <v>3909.239690544402</v>
      </c>
      <c r="R3856" s="5">
        <v>16039.216896723072</v>
      </c>
    </row>
    <row r="3857" spans="9:18">
      <c r="I3857" s="4">
        <v>3842</v>
      </c>
      <c r="J3857" s="5">
        <v>14671.176405938595</v>
      </c>
      <c r="K3857" s="5">
        <v>20887.307279900142</v>
      </c>
      <c r="L3857" s="5">
        <v>14264.23790876064</v>
      </c>
      <c r="M3857" s="5">
        <v>9623.0342442006167</v>
      </c>
      <c r="N3857" s="5">
        <v>22010.718648995869</v>
      </c>
      <c r="O3857" s="5">
        <v>41800.463215706819</v>
      </c>
      <c r="P3857" s="5">
        <v>36724.352187786957</v>
      </c>
      <c r="Q3857" s="5">
        <v>8474.2603471579441</v>
      </c>
      <c r="R3857" s="5">
        <v>3311.4906988006405</v>
      </c>
    </row>
    <row r="3858" spans="9:18">
      <c r="I3858" s="4">
        <v>3843</v>
      </c>
      <c r="J3858" s="5">
        <v>12035.382213755307</v>
      </c>
      <c r="K3858" s="5">
        <v>23543.914024953676</v>
      </c>
      <c r="L3858" s="5">
        <v>17578.712723867691</v>
      </c>
      <c r="M3858" s="5">
        <v>14660.631931099009</v>
      </c>
      <c r="N3858" s="5">
        <v>16581.915858379376</v>
      </c>
      <c r="O3858" s="5">
        <v>9708.4497800977806</v>
      </c>
      <c r="P3858" s="5">
        <v>38024.168395914428</v>
      </c>
      <c r="Q3858" s="5">
        <v>148345.62878828164</v>
      </c>
      <c r="R3858" s="5">
        <v>18230.645544621442</v>
      </c>
    </row>
    <row r="3859" spans="9:18">
      <c r="I3859" s="4">
        <v>3844</v>
      </c>
      <c r="J3859" s="5">
        <v>22370.105711697011</v>
      </c>
      <c r="K3859" s="5">
        <v>23934.551191616061</v>
      </c>
      <c r="L3859" s="5">
        <v>19189.275558866306</v>
      </c>
      <c r="M3859" s="5">
        <v>16001.653036457456</v>
      </c>
      <c r="N3859" s="5">
        <v>25424.029865101274</v>
      </c>
      <c r="O3859" s="5">
        <v>20930.098352661731</v>
      </c>
      <c r="P3859" s="5">
        <v>55152.110177667731</v>
      </c>
      <c r="Q3859" s="5">
        <v>31902.904306425251</v>
      </c>
      <c r="R3859" s="5">
        <v>55012.315589742022</v>
      </c>
    </row>
    <row r="3860" spans="9:18">
      <c r="I3860" s="4">
        <v>3845</v>
      </c>
      <c r="J3860" s="5">
        <v>16416.142496463777</v>
      </c>
      <c r="K3860" s="5">
        <v>61827.107730316675</v>
      </c>
      <c r="L3860" s="5">
        <v>17073.17760523731</v>
      </c>
      <c r="M3860" s="5">
        <v>14432.283063351901</v>
      </c>
      <c r="N3860" s="5">
        <v>12297.015342318469</v>
      </c>
      <c r="O3860" s="5">
        <v>53028.643350899503</v>
      </c>
      <c r="P3860" s="5">
        <v>27820.721938889761</v>
      </c>
      <c r="Q3860" s="5">
        <v>8832.660767995616</v>
      </c>
      <c r="R3860" s="5">
        <v>114016.93673542379</v>
      </c>
    </row>
    <row r="3861" spans="9:18">
      <c r="I3861" s="4">
        <v>3846</v>
      </c>
      <c r="J3861" s="5">
        <v>17592.832480262863</v>
      </c>
      <c r="K3861" s="5">
        <v>95171.967522309933</v>
      </c>
      <c r="L3861" s="5">
        <v>15359.132481533357</v>
      </c>
      <c r="M3861" s="5">
        <v>23454.775510296178</v>
      </c>
      <c r="N3861" s="5">
        <v>9209.4418830788036</v>
      </c>
      <c r="O3861" s="5">
        <v>3171.3006415671193</v>
      </c>
      <c r="P3861" s="5">
        <v>40377.463755170742</v>
      </c>
      <c r="Q3861" s="5">
        <v>30495.121067047665</v>
      </c>
      <c r="R3861" s="5">
        <v>2180.6148629084787</v>
      </c>
    </row>
    <row r="3862" spans="9:18">
      <c r="I3862" s="4">
        <v>3847</v>
      </c>
      <c r="J3862" s="5">
        <v>15417.870921574262</v>
      </c>
      <c r="K3862" s="5">
        <v>30552.499930043898</v>
      </c>
      <c r="L3862" s="5">
        <v>14344.859750762502</v>
      </c>
      <c r="M3862" s="5">
        <v>20229.919588372999</v>
      </c>
      <c r="N3862" s="5">
        <v>20583.564383988036</v>
      </c>
      <c r="O3862" s="5">
        <v>10369.402667058452</v>
      </c>
      <c r="P3862" s="5">
        <v>5836.7810663002319</v>
      </c>
      <c r="Q3862" s="5">
        <v>13214.632802255031</v>
      </c>
      <c r="R3862" s="5">
        <v>81423.874800517297</v>
      </c>
    </row>
    <row r="3863" spans="9:18">
      <c r="I3863" s="4">
        <v>3848</v>
      </c>
      <c r="J3863" s="5">
        <v>20002.201347927807</v>
      </c>
      <c r="K3863" s="5">
        <v>35705.595198125673</v>
      </c>
      <c r="L3863" s="5">
        <v>15359.132481533357</v>
      </c>
      <c r="M3863" s="5">
        <v>12619.198742021435</v>
      </c>
      <c r="N3863" s="5">
        <v>34295.124147811541</v>
      </c>
      <c r="O3863" s="5">
        <v>24422.445067017139</v>
      </c>
      <c r="P3863" s="5">
        <v>12639.596794453437</v>
      </c>
      <c r="Q3863" s="5">
        <v>21421.044775857536</v>
      </c>
      <c r="R3863" s="5">
        <v>50287.76786557267</v>
      </c>
    </row>
    <row r="3864" spans="9:18">
      <c r="I3864" s="4">
        <v>3849</v>
      </c>
      <c r="J3864" s="5">
        <v>15352.465904292809</v>
      </c>
      <c r="K3864" s="5">
        <v>15631.937142257386</v>
      </c>
      <c r="L3864" s="5">
        <v>14264.23790876064</v>
      </c>
      <c r="M3864" s="5">
        <v>36301.422888051464</v>
      </c>
      <c r="N3864" s="5">
        <v>59876.136849941562</v>
      </c>
      <c r="O3864" s="5">
        <v>5444.7598502623823</v>
      </c>
      <c r="P3864" s="5">
        <v>38771.994792132391</v>
      </c>
      <c r="Q3864" s="5">
        <v>70295.978314632754</v>
      </c>
      <c r="R3864" s="5">
        <v>122304.95880137496</v>
      </c>
    </row>
    <row r="3865" spans="9:18">
      <c r="I3865" s="4">
        <v>3850</v>
      </c>
      <c r="J3865" s="5">
        <v>15786.811016780619</v>
      </c>
      <c r="K3865" s="5">
        <v>14017.262946034314</v>
      </c>
      <c r="L3865" s="5">
        <v>14146.191653372813</v>
      </c>
      <c r="M3865" s="5">
        <v>20229.919588372999</v>
      </c>
      <c r="N3865" s="5">
        <v>23583.581287126868</v>
      </c>
      <c r="O3865" s="5">
        <v>10270.120415297655</v>
      </c>
      <c r="P3865" s="5">
        <v>44646.134934589521</v>
      </c>
      <c r="Q3865" s="5">
        <v>37101.531383212743</v>
      </c>
      <c r="R3865" s="5">
        <v>72561.496699005787</v>
      </c>
    </row>
    <row r="3866" spans="9:18">
      <c r="I3866" s="4">
        <v>3851</v>
      </c>
      <c r="J3866" s="5">
        <v>15130.594750069789</v>
      </c>
      <c r="K3866" s="5">
        <v>11149.572204897504</v>
      </c>
      <c r="L3866" s="5">
        <v>14175.160754078657</v>
      </c>
      <c r="M3866" s="5">
        <v>17116.951435661951</v>
      </c>
      <c r="N3866" s="5">
        <v>15786.177386596903</v>
      </c>
      <c r="O3866" s="5">
        <v>27062.73412298776</v>
      </c>
      <c r="P3866" s="5">
        <v>5836.7810663002319</v>
      </c>
      <c r="Q3866" s="5">
        <v>9796.0979856104404</v>
      </c>
      <c r="R3866" s="5">
        <v>7118.1729476780347</v>
      </c>
    </row>
    <row r="3867" spans="9:18">
      <c r="I3867" s="4">
        <v>3852</v>
      </c>
      <c r="J3867" s="5">
        <v>11116.191595722205</v>
      </c>
      <c r="K3867" s="5">
        <v>22732.797143159998</v>
      </c>
      <c r="L3867" s="5">
        <v>22319.409576580376</v>
      </c>
      <c r="M3867" s="5">
        <v>21913.431401527439</v>
      </c>
      <c r="N3867" s="5">
        <v>15804.474686449519</v>
      </c>
      <c r="O3867" s="5">
        <v>35865.625349531729</v>
      </c>
      <c r="P3867" s="5">
        <v>8877.9712092977989</v>
      </c>
      <c r="Q3867" s="5">
        <v>8474.2603471579441</v>
      </c>
      <c r="R3867" s="5">
        <v>13258.538726001538</v>
      </c>
    </row>
    <row r="3868" spans="9:18">
      <c r="I3868" s="4">
        <v>3853</v>
      </c>
      <c r="J3868" s="5">
        <v>15786.811016780619</v>
      </c>
      <c r="K3868" s="5">
        <v>14095.75230105142</v>
      </c>
      <c r="L3868" s="5">
        <v>16472.138192556791</v>
      </c>
      <c r="M3868" s="5">
        <v>32497.510405113037</v>
      </c>
      <c r="N3868" s="5">
        <v>39672.376281023731</v>
      </c>
      <c r="O3868" s="5">
        <v>11282.178219986479</v>
      </c>
      <c r="P3868" s="5">
        <v>63015.124693769802</v>
      </c>
      <c r="Q3868" s="5">
        <v>8832.660767995616</v>
      </c>
      <c r="R3868" s="5">
        <v>50287.76786557267</v>
      </c>
    </row>
    <row r="3869" spans="9:18">
      <c r="I3869" s="4">
        <v>3854</v>
      </c>
      <c r="J3869" s="5">
        <v>11936.262457073821</v>
      </c>
      <c r="K3869" s="5">
        <v>11558.357574452555</v>
      </c>
      <c r="L3869" s="5">
        <v>13037.115556745504</v>
      </c>
      <c r="M3869" s="5">
        <v>19042.78605337895</v>
      </c>
      <c r="N3869" s="5">
        <v>21617.945168312468</v>
      </c>
      <c r="O3869" s="5">
        <v>8121.6248378263163</v>
      </c>
      <c r="P3869" s="5">
        <v>21933.779100635442</v>
      </c>
      <c r="Q3869" s="5">
        <v>22483.395143121877</v>
      </c>
      <c r="R3869" s="5">
        <v>9913.4206865238284</v>
      </c>
    </row>
    <row r="3870" spans="9:18">
      <c r="I3870" s="4">
        <v>3855</v>
      </c>
      <c r="J3870" s="5">
        <v>31559.699247539775</v>
      </c>
      <c r="K3870" s="5">
        <v>29672.680843304515</v>
      </c>
      <c r="L3870" s="5">
        <v>14796.875457021113</v>
      </c>
      <c r="M3870" s="5">
        <v>23067.94260629595</v>
      </c>
      <c r="N3870" s="5">
        <v>32184.535272543482</v>
      </c>
      <c r="O3870" s="5">
        <v>5444.7598502623823</v>
      </c>
      <c r="P3870" s="5">
        <v>10733.318076105543</v>
      </c>
      <c r="Q3870" s="5">
        <v>21421.044775857536</v>
      </c>
      <c r="R3870" s="5">
        <v>31715.273557891396</v>
      </c>
    </row>
    <row r="3871" spans="9:18">
      <c r="I3871" s="4">
        <v>3856</v>
      </c>
      <c r="J3871" s="5">
        <v>7855.2948890116513</v>
      </c>
      <c r="K3871" s="5">
        <v>15129.619337591721</v>
      </c>
      <c r="L3871" s="5">
        <v>17128.574519497746</v>
      </c>
      <c r="M3871" s="5">
        <v>20185.026038758231</v>
      </c>
      <c r="N3871" s="5">
        <v>20292.069765667391</v>
      </c>
      <c r="O3871" s="5">
        <v>5444.7598502623823</v>
      </c>
      <c r="P3871" s="5">
        <v>23769.190223735484</v>
      </c>
      <c r="Q3871" s="5">
        <v>17234.335939857254</v>
      </c>
      <c r="R3871" s="5">
        <v>17304.847214362417</v>
      </c>
    </row>
    <row r="3872" spans="9:18">
      <c r="I3872" s="4">
        <v>3857</v>
      </c>
      <c r="J3872" s="5">
        <v>14671.176405938595</v>
      </c>
      <c r="K3872" s="5">
        <v>7753.2116148734594</v>
      </c>
      <c r="L3872" s="5">
        <v>14691.846656953887</v>
      </c>
      <c r="M3872" s="5">
        <v>13414.385151739983</v>
      </c>
      <c r="N3872" s="5">
        <v>16581.915858379376</v>
      </c>
      <c r="O3872" s="5">
        <v>20827.029306810669</v>
      </c>
      <c r="P3872" s="5">
        <v>10532.667493814919</v>
      </c>
      <c r="Q3872" s="5">
        <v>2356.8990887111336</v>
      </c>
      <c r="R3872" s="5">
        <v>12130.167062525341</v>
      </c>
    </row>
    <row r="3873" spans="9:18">
      <c r="I3873" s="4">
        <v>3858</v>
      </c>
      <c r="J3873" s="5">
        <v>13447.638004246244</v>
      </c>
      <c r="K3873" s="5">
        <v>15631.937142257386</v>
      </c>
      <c r="L3873" s="5">
        <v>19224.583269019437</v>
      </c>
      <c r="M3873" s="5">
        <v>23454.775510296178</v>
      </c>
      <c r="N3873" s="5">
        <v>11751.639947035985</v>
      </c>
      <c r="O3873" s="5">
        <v>9320.7026593487881</v>
      </c>
      <c r="P3873" s="5">
        <v>16072.735485912413</v>
      </c>
      <c r="Q3873" s="5">
        <v>31974.553851773013</v>
      </c>
      <c r="R3873" s="5">
        <v>12130.167062525341</v>
      </c>
    </row>
    <row r="3874" spans="9:18">
      <c r="I3874" s="4">
        <v>3859</v>
      </c>
      <c r="J3874" s="5">
        <v>14017.326487344162</v>
      </c>
      <c r="K3874" s="5">
        <v>11558.357574452555</v>
      </c>
      <c r="L3874" s="5">
        <v>19224.583269019437</v>
      </c>
      <c r="M3874" s="5">
        <v>33862.836621974391</v>
      </c>
      <c r="N3874" s="5">
        <v>23008.246229813707</v>
      </c>
      <c r="O3874" s="5">
        <v>16524.769946939996</v>
      </c>
      <c r="P3874" s="5">
        <v>12639.596794453437</v>
      </c>
      <c r="Q3874" s="5">
        <v>8880.8074399558282</v>
      </c>
      <c r="R3874" s="5">
        <v>3433.6677391851467</v>
      </c>
    </row>
    <row r="3875" spans="9:18">
      <c r="I3875" s="4">
        <v>3860</v>
      </c>
      <c r="J3875" s="5">
        <v>9405.362381917912</v>
      </c>
      <c r="K3875" s="5">
        <v>16934.093371663999</v>
      </c>
      <c r="L3875" s="5">
        <v>13358.459356674217</v>
      </c>
      <c r="M3875" s="5">
        <v>21833.004790208965</v>
      </c>
      <c r="N3875" s="5">
        <v>45581.602064432409</v>
      </c>
      <c r="O3875" s="5">
        <v>20930.098352661731</v>
      </c>
      <c r="P3875" s="5">
        <v>36724.352187786957</v>
      </c>
      <c r="Q3875" s="5">
        <v>129470.11441833655</v>
      </c>
      <c r="R3875" s="5">
        <v>33863.04333215439</v>
      </c>
    </row>
    <row r="3876" spans="9:18">
      <c r="I3876" s="4">
        <v>3861</v>
      </c>
      <c r="J3876" s="5">
        <v>15786.811016780619</v>
      </c>
      <c r="K3876" s="5">
        <v>8223.1266007477425</v>
      </c>
      <c r="L3876" s="5">
        <v>14649.721476864312</v>
      </c>
      <c r="M3876" s="5">
        <v>18177.175180585615</v>
      </c>
      <c r="N3876" s="5">
        <v>9989.086510768735</v>
      </c>
      <c r="O3876" s="5">
        <v>25604.597681740845</v>
      </c>
      <c r="P3876" s="5">
        <v>49519.098753410741</v>
      </c>
      <c r="Q3876" s="5">
        <v>9652.8114206999071</v>
      </c>
      <c r="R3876" s="5">
        <v>10885.018205103002</v>
      </c>
    </row>
    <row r="3877" spans="9:18">
      <c r="I3877" s="4">
        <v>3862</v>
      </c>
      <c r="J3877" s="5">
        <v>15352.465904292809</v>
      </c>
      <c r="K3877" s="5">
        <v>9739.7813029644258</v>
      </c>
      <c r="L3877" s="5">
        <v>14364.472927446199</v>
      </c>
      <c r="M3877" s="5">
        <v>14660.631931099009</v>
      </c>
      <c r="N3877" s="5">
        <v>24853.247795632611</v>
      </c>
      <c r="O3877" s="5">
        <v>45451.954570113048</v>
      </c>
      <c r="P3877" s="5">
        <v>12790.85158217316</v>
      </c>
      <c r="Q3877" s="5">
        <v>20883.852062640355</v>
      </c>
      <c r="R3877" s="5">
        <v>41056.152565483346</v>
      </c>
    </row>
    <row r="3878" spans="9:18">
      <c r="I3878" s="4">
        <v>3863</v>
      </c>
      <c r="J3878" s="5">
        <v>12452.764985867625</v>
      </c>
      <c r="K3878" s="5">
        <v>15347.101709242541</v>
      </c>
      <c r="L3878" s="5">
        <v>16955.349467865559</v>
      </c>
      <c r="M3878" s="5">
        <v>12426.949970383979</v>
      </c>
      <c r="N3878" s="5">
        <v>22511.351424689696</v>
      </c>
      <c r="O3878" s="5">
        <v>20489.622805425737</v>
      </c>
      <c r="P3878" s="5">
        <v>12790.85158217316</v>
      </c>
      <c r="Q3878" s="5">
        <v>9138.5169630896526</v>
      </c>
      <c r="R3878" s="5">
        <v>8720.6503563381029</v>
      </c>
    </row>
    <row r="3879" spans="9:18">
      <c r="I3879" s="4">
        <v>3864</v>
      </c>
      <c r="J3879" s="5">
        <v>16156.372629961115</v>
      </c>
      <c r="K3879" s="5">
        <v>21527.93129974293</v>
      </c>
      <c r="L3879" s="5">
        <v>18379.634651549037</v>
      </c>
      <c r="M3879" s="5">
        <v>19430.369425783585</v>
      </c>
      <c r="N3879" s="5">
        <v>12523.573732460784</v>
      </c>
      <c r="O3879" s="5">
        <v>94068.324736096256</v>
      </c>
      <c r="P3879" s="5">
        <v>95486.196907583406</v>
      </c>
      <c r="Q3879" s="5">
        <v>31974.553851773013</v>
      </c>
      <c r="R3879" s="5">
        <v>72561.496699005787</v>
      </c>
    </row>
    <row r="3880" spans="9:18">
      <c r="I3880" s="4">
        <v>3865</v>
      </c>
      <c r="J3880" s="5">
        <v>13595.404057849493</v>
      </c>
      <c r="K3880" s="5">
        <v>15391.837334808681</v>
      </c>
      <c r="L3880" s="5">
        <v>17073.17760523731</v>
      </c>
      <c r="M3880" s="5">
        <v>15586.009710351766</v>
      </c>
      <c r="N3880" s="5">
        <v>12523.573732460784</v>
      </c>
      <c r="O3880" s="5">
        <v>40942.522561879181</v>
      </c>
      <c r="P3880" s="5">
        <v>8662.4232458952465</v>
      </c>
      <c r="Q3880" s="5">
        <v>22483.395143121877</v>
      </c>
      <c r="R3880" s="5">
        <v>87776.138236389699</v>
      </c>
    </row>
    <row r="3881" spans="9:18">
      <c r="I3881" s="4">
        <v>3866</v>
      </c>
      <c r="J3881" s="5">
        <v>15352.465904292809</v>
      </c>
      <c r="K3881" s="5">
        <v>9739.7813029644258</v>
      </c>
      <c r="L3881" s="5">
        <v>23760.785349782636</v>
      </c>
      <c r="M3881" s="5">
        <v>20229.919588372999</v>
      </c>
      <c r="N3881" s="5">
        <v>15786.177386596903</v>
      </c>
      <c r="O3881" s="5">
        <v>9869.5889207969612</v>
      </c>
      <c r="P3881" s="5">
        <v>12790.85158217316</v>
      </c>
      <c r="Q3881" s="5">
        <v>19315.033835554255</v>
      </c>
      <c r="R3881" s="5">
        <v>7879.038918914337</v>
      </c>
    </row>
    <row r="3882" spans="9:18">
      <c r="I3882" s="4">
        <v>3867</v>
      </c>
      <c r="J3882" s="5">
        <v>14344.692898101612</v>
      </c>
      <c r="K3882" s="5">
        <v>22732.797143159998</v>
      </c>
      <c r="L3882" s="5">
        <v>18215.751370765771</v>
      </c>
      <c r="M3882" s="5">
        <v>18177.175180585615</v>
      </c>
      <c r="N3882" s="5">
        <v>11952.903761138405</v>
      </c>
      <c r="O3882" s="5">
        <v>8121.6248378263163</v>
      </c>
      <c r="P3882" s="5">
        <v>14376.883105731285</v>
      </c>
      <c r="Q3882" s="5">
        <v>116445.46783345108</v>
      </c>
      <c r="R3882" s="5">
        <v>55012.315589742022</v>
      </c>
    </row>
    <row r="3883" spans="9:18">
      <c r="I3883" s="4">
        <v>3868</v>
      </c>
      <c r="J3883" s="5">
        <v>45301.532027110363</v>
      </c>
      <c r="K3883" s="5">
        <v>13559.080695844099</v>
      </c>
      <c r="L3883" s="5">
        <v>17073.17760523731</v>
      </c>
      <c r="M3883" s="5">
        <v>31460.745851561904</v>
      </c>
      <c r="N3883" s="5">
        <v>35826.921212852278</v>
      </c>
      <c r="O3883" s="5">
        <v>13840.304699955392</v>
      </c>
      <c r="P3883" s="5">
        <v>10733.318076105543</v>
      </c>
      <c r="Q3883" s="5">
        <v>28567.61306643406</v>
      </c>
      <c r="R3883" s="5">
        <v>10885.018205103002</v>
      </c>
    </row>
    <row r="3884" spans="9:18">
      <c r="I3884" s="4">
        <v>3869</v>
      </c>
      <c r="J3884" s="5">
        <v>13663.281817546009</v>
      </c>
      <c r="K3884" s="5">
        <v>61827.107730316675</v>
      </c>
      <c r="L3884" s="5">
        <v>16777.996633299583</v>
      </c>
      <c r="M3884" s="5">
        <v>12619.198742021435</v>
      </c>
      <c r="N3884" s="5">
        <v>22010.718648995869</v>
      </c>
      <c r="O3884" s="5">
        <v>19430.912633256889</v>
      </c>
      <c r="P3884" s="5">
        <v>26126.807131356076</v>
      </c>
      <c r="Q3884" s="5">
        <v>2356.8990887111336</v>
      </c>
      <c r="R3884" s="5">
        <v>3433.6677391851467</v>
      </c>
    </row>
    <row r="3885" spans="9:18">
      <c r="I3885" s="4">
        <v>3870</v>
      </c>
      <c r="J3885" s="5">
        <v>15064.079707240266</v>
      </c>
      <c r="K3885" s="5">
        <v>15428.770955406064</v>
      </c>
      <c r="L3885" s="5">
        <v>17683.765335572589</v>
      </c>
      <c r="M3885" s="5">
        <v>18691.941789825862</v>
      </c>
      <c r="N3885" s="5">
        <v>9563.1256545330361</v>
      </c>
      <c r="O3885" s="5">
        <v>16505.600261180331</v>
      </c>
      <c r="P3885" s="5">
        <v>27820.721938889761</v>
      </c>
      <c r="Q3885" s="5">
        <v>47365.380972950254</v>
      </c>
      <c r="R3885" s="5">
        <v>35232.418639121184</v>
      </c>
    </row>
    <row r="3886" spans="9:18">
      <c r="I3886" s="4">
        <v>3871</v>
      </c>
      <c r="J3886" s="5">
        <v>17005.744061105343</v>
      </c>
      <c r="K3886" s="5">
        <v>35488.449387009874</v>
      </c>
      <c r="L3886" s="5">
        <v>16777.996633299583</v>
      </c>
      <c r="M3886" s="5">
        <v>15586.009710351766</v>
      </c>
      <c r="N3886" s="5">
        <v>36962.805083900916</v>
      </c>
      <c r="O3886" s="5">
        <v>13117.417685535194</v>
      </c>
      <c r="P3886" s="5">
        <v>106091.28270624072</v>
      </c>
      <c r="Q3886" s="5">
        <v>8502.450657922871</v>
      </c>
      <c r="R3886" s="5">
        <v>7879.038918914337</v>
      </c>
    </row>
    <row r="3887" spans="9:18">
      <c r="I3887" s="4">
        <v>3872</v>
      </c>
      <c r="J3887" s="5">
        <v>15417.870921574262</v>
      </c>
      <c r="K3887" s="5">
        <v>11507.182177474708</v>
      </c>
      <c r="L3887" s="5">
        <v>17073.17760523731</v>
      </c>
      <c r="M3887" s="5">
        <v>17542.15972125496</v>
      </c>
      <c r="N3887" s="5">
        <v>26152.705108198839</v>
      </c>
      <c r="O3887" s="5">
        <v>25604.597681740845</v>
      </c>
      <c r="P3887" s="5">
        <v>44816.412248582856</v>
      </c>
      <c r="Q3887" s="5">
        <v>37497.234505125656</v>
      </c>
      <c r="R3887" s="5">
        <v>51358.6267760993</v>
      </c>
    </row>
    <row r="3888" spans="9:18">
      <c r="I3888" s="4">
        <v>3873</v>
      </c>
      <c r="J3888" s="5">
        <v>16788.081681455456</v>
      </c>
      <c r="K3888" s="5">
        <v>14497.035717129334</v>
      </c>
      <c r="L3888" s="5">
        <v>19359.475411188432</v>
      </c>
      <c r="M3888" s="5">
        <v>20185.026038758231</v>
      </c>
      <c r="N3888" s="5">
        <v>16581.915858379376</v>
      </c>
      <c r="O3888" s="5">
        <v>27195.510785031525</v>
      </c>
      <c r="P3888" s="5">
        <v>83536.241167211992</v>
      </c>
      <c r="Q3888" s="5">
        <v>22895.455950885695</v>
      </c>
      <c r="R3888" s="5">
        <v>2071.5141323269809</v>
      </c>
    </row>
    <row r="3889" spans="9:18">
      <c r="I3889" s="4">
        <v>3874</v>
      </c>
      <c r="J3889" s="5">
        <v>15081.728672246438</v>
      </c>
      <c r="K3889" s="5">
        <v>16605.655749562578</v>
      </c>
      <c r="L3889" s="5">
        <v>17716.90539191998</v>
      </c>
      <c r="M3889" s="5">
        <v>17349.963215818931</v>
      </c>
      <c r="N3889" s="5">
        <v>23283.854578052265</v>
      </c>
      <c r="O3889" s="5">
        <v>41800.463215706819</v>
      </c>
      <c r="P3889" s="5">
        <v>27373.102585108634</v>
      </c>
      <c r="Q3889" s="5">
        <v>68168.482468129529</v>
      </c>
      <c r="R3889" s="5">
        <v>91403.228438796665</v>
      </c>
    </row>
    <row r="3890" spans="9:18">
      <c r="I3890" s="4">
        <v>3875</v>
      </c>
      <c r="J3890" s="5">
        <v>33627.941293959229</v>
      </c>
      <c r="K3890" s="5">
        <v>43843.85059185313</v>
      </c>
      <c r="L3890" s="5">
        <v>14364.472927446199</v>
      </c>
      <c r="M3890" s="5">
        <v>17349.963215818931</v>
      </c>
      <c r="N3890" s="5">
        <v>26115.05281128412</v>
      </c>
      <c r="O3890" s="5">
        <v>27195.510785031525</v>
      </c>
      <c r="P3890" s="5">
        <v>28537.545734403488</v>
      </c>
      <c r="Q3890" s="5">
        <v>8502.450657922871</v>
      </c>
      <c r="R3890" s="5">
        <v>14051.647494499957</v>
      </c>
    </row>
    <row r="3891" spans="9:18">
      <c r="I3891" s="4">
        <v>3876</v>
      </c>
      <c r="J3891" s="5">
        <v>22812.564910649318</v>
      </c>
      <c r="K3891" s="5">
        <v>21218.439146892688</v>
      </c>
      <c r="L3891" s="5">
        <v>21954.536591034263</v>
      </c>
      <c r="M3891" s="5">
        <v>29058.117767351498</v>
      </c>
      <c r="N3891" s="5">
        <v>26565.664379767408</v>
      </c>
      <c r="O3891" s="5">
        <v>10738.305003664611</v>
      </c>
      <c r="P3891" s="5">
        <v>18963.234565965948</v>
      </c>
      <c r="Q3891" s="5">
        <v>9796.0979856104404</v>
      </c>
      <c r="R3891" s="5">
        <v>55106.806585409526</v>
      </c>
    </row>
    <row r="3892" spans="9:18">
      <c r="I3892" s="4">
        <v>3877</v>
      </c>
      <c r="J3892" s="5">
        <v>45301.532027110363</v>
      </c>
      <c r="K3892" s="5">
        <v>16081.362509465702</v>
      </c>
      <c r="L3892" s="5">
        <v>18215.751370765771</v>
      </c>
      <c r="M3892" s="5">
        <v>19042.78605337895</v>
      </c>
      <c r="N3892" s="5">
        <v>20292.069765667391</v>
      </c>
      <c r="O3892" s="5">
        <v>9320.7026593487881</v>
      </c>
      <c r="P3892" s="5">
        <v>14773.185437294762</v>
      </c>
      <c r="Q3892" s="5">
        <v>18097.768262249352</v>
      </c>
      <c r="R3892" s="5">
        <v>62674.060343500474</v>
      </c>
    </row>
    <row r="3893" spans="9:18">
      <c r="I3893" s="4">
        <v>3878</v>
      </c>
      <c r="J3893" s="5">
        <v>16416.142496463777</v>
      </c>
      <c r="K3893" s="5">
        <v>15428.770955406064</v>
      </c>
      <c r="L3893" s="5">
        <v>14264.23790876064</v>
      </c>
      <c r="M3893" s="5">
        <v>10111.451009425113</v>
      </c>
      <c r="N3893" s="5">
        <v>6130.3882288404347</v>
      </c>
      <c r="O3893" s="5">
        <v>27068.054847826614</v>
      </c>
      <c r="P3893" s="5">
        <v>8069.5385577067918</v>
      </c>
      <c r="Q3893" s="5">
        <v>7457.1844090365566</v>
      </c>
      <c r="R3893" s="5">
        <v>7952.6989268572033</v>
      </c>
    </row>
    <row r="3894" spans="9:18">
      <c r="I3894" s="4">
        <v>3879</v>
      </c>
      <c r="J3894" s="5">
        <v>15081.728672246438</v>
      </c>
      <c r="K3894" s="5">
        <v>14854.898507619706</v>
      </c>
      <c r="L3894" s="5">
        <v>15060.431658965737</v>
      </c>
      <c r="M3894" s="5">
        <v>21272.00214469912</v>
      </c>
      <c r="N3894" s="5">
        <v>26115.05281128412</v>
      </c>
      <c r="O3894" s="5">
        <v>66253.993323243907</v>
      </c>
      <c r="P3894" s="5">
        <v>25258.981945036445</v>
      </c>
      <c r="Q3894" s="5">
        <v>42044.890065817184</v>
      </c>
      <c r="R3894" s="5">
        <v>13258.538726001538</v>
      </c>
    </row>
    <row r="3895" spans="9:18">
      <c r="I3895" s="4">
        <v>3880</v>
      </c>
      <c r="J3895" s="5">
        <v>28590.354879265724</v>
      </c>
      <c r="K3895" s="5">
        <v>16934.093371663999</v>
      </c>
      <c r="L3895" s="5">
        <v>17920.486090689363</v>
      </c>
      <c r="M3895" s="5">
        <v>15586.009710351766</v>
      </c>
      <c r="N3895" s="5">
        <v>15658.063692994532</v>
      </c>
      <c r="O3895" s="5">
        <v>10369.402667058452</v>
      </c>
      <c r="P3895" s="5">
        <v>9047.5556949992188</v>
      </c>
      <c r="Q3895" s="5">
        <v>27018.509959127641</v>
      </c>
      <c r="R3895" s="5">
        <v>24722.972470599001</v>
      </c>
    </row>
    <row r="3896" spans="9:18">
      <c r="I3896" s="4">
        <v>3881</v>
      </c>
      <c r="J3896" s="5">
        <v>28590.354879265724</v>
      </c>
      <c r="K3896" s="5">
        <v>17003.901855709089</v>
      </c>
      <c r="L3896" s="5">
        <v>34748.877779456467</v>
      </c>
      <c r="M3896" s="5">
        <v>21072.983263501868</v>
      </c>
      <c r="N3896" s="5">
        <v>21933.097106966918</v>
      </c>
      <c r="O3896" s="5">
        <v>25604.597681740845</v>
      </c>
      <c r="P3896" s="5">
        <v>5836.7810663002319</v>
      </c>
      <c r="Q3896" s="5">
        <v>29432.473148002948</v>
      </c>
      <c r="R3896" s="5">
        <v>6681.1887184356683</v>
      </c>
    </row>
    <row r="3897" spans="9:18">
      <c r="I3897" s="4">
        <v>3882</v>
      </c>
      <c r="J3897" s="5">
        <v>21150.169973104224</v>
      </c>
      <c r="K3897" s="5">
        <v>95171.967522309933</v>
      </c>
      <c r="L3897" s="5">
        <v>17243.440968229323</v>
      </c>
      <c r="M3897" s="5">
        <v>25580.243606220469</v>
      </c>
      <c r="N3897" s="5">
        <v>9209.4418830788036</v>
      </c>
      <c r="O3897" s="5">
        <v>18637.945795127704</v>
      </c>
      <c r="P3897" s="5">
        <v>44646.134934589521</v>
      </c>
      <c r="Q3897" s="5">
        <v>28078.365156847896</v>
      </c>
      <c r="R3897" s="5">
        <v>216919.53009911609</v>
      </c>
    </row>
    <row r="3898" spans="9:18">
      <c r="I3898" s="4">
        <v>3883</v>
      </c>
      <c r="J3898" s="5">
        <v>14680.308400328413</v>
      </c>
      <c r="K3898" s="5">
        <v>17495.743706488822</v>
      </c>
      <c r="L3898" s="5">
        <v>21725.131459372977</v>
      </c>
      <c r="M3898" s="5">
        <v>18043.539897080744</v>
      </c>
      <c r="N3898" s="5">
        <v>14335.478134989447</v>
      </c>
      <c r="O3898" s="5">
        <v>55264.438774006347</v>
      </c>
      <c r="P3898" s="5">
        <v>44646.134934589521</v>
      </c>
      <c r="Q3898" s="5">
        <v>13865.641566869812</v>
      </c>
      <c r="R3898" s="5">
        <v>182942.88598316166</v>
      </c>
    </row>
    <row r="3899" spans="9:18">
      <c r="I3899" s="4">
        <v>3884</v>
      </c>
      <c r="J3899" s="5">
        <v>15873.12561080002</v>
      </c>
      <c r="K3899" s="5">
        <v>21187.174639714212</v>
      </c>
      <c r="L3899" s="5">
        <v>15832.5469007027</v>
      </c>
      <c r="M3899" s="5">
        <v>17116.951435661951</v>
      </c>
      <c r="N3899" s="5">
        <v>51261.622558090799</v>
      </c>
      <c r="O3899" s="5">
        <v>40304.23053285561</v>
      </c>
      <c r="P3899" s="5">
        <v>63015.124693769802</v>
      </c>
      <c r="Q3899" s="5">
        <v>53055.59182561023</v>
      </c>
      <c r="R3899" s="5">
        <v>90296.353221228885</v>
      </c>
    </row>
    <row r="3900" spans="9:18">
      <c r="I3900" s="4">
        <v>3885</v>
      </c>
      <c r="J3900" s="5">
        <v>14741.240040396578</v>
      </c>
      <c r="K3900" s="5">
        <v>34164.842952759042</v>
      </c>
      <c r="L3900" s="5">
        <v>15126.980926457318</v>
      </c>
      <c r="M3900" s="5">
        <v>20229.919588372999</v>
      </c>
      <c r="N3900" s="5">
        <v>17214.078970533748</v>
      </c>
      <c r="O3900" s="5">
        <v>41800.463215706819</v>
      </c>
      <c r="P3900" s="5">
        <v>3831.1492650071077</v>
      </c>
      <c r="Q3900" s="5">
        <v>11173.074396969254</v>
      </c>
      <c r="R3900" s="5">
        <v>8720.6503563381029</v>
      </c>
    </row>
    <row r="3901" spans="9:18">
      <c r="I3901" s="4">
        <v>3886</v>
      </c>
      <c r="J3901" s="5">
        <v>17679.321624063952</v>
      </c>
      <c r="K3901" s="5">
        <v>14587.813833513306</v>
      </c>
      <c r="L3901" s="5">
        <v>16071.478531535273</v>
      </c>
      <c r="M3901" s="5">
        <v>29058.117767351498</v>
      </c>
      <c r="N3901" s="5">
        <v>11604.12831603515</v>
      </c>
      <c r="O3901" s="5">
        <v>32474.063027682765</v>
      </c>
      <c r="P3901" s="5">
        <v>21933.779100635442</v>
      </c>
      <c r="Q3901" s="5">
        <v>27789.973552634947</v>
      </c>
      <c r="R3901" s="5">
        <v>59414.886464347241</v>
      </c>
    </row>
    <row r="3902" spans="9:18">
      <c r="I3902" s="4">
        <v>3887</v>
      </c>
      <c r="J3902" s="5">
        <v>15554.996700302558</v>
      </c>
      <c r="K3902" s="5">
        <v>17128.860847126922</v>
      </c>
      <c r="L3902" s="5">
        <v>17683.765335572589</v>
      </c>
      <c r="M3902" s="5">
        <v>21072.983263501868</v>
      </c>
      <c r="N3902" s="5">
        <v>11604.12831603515</v>
      </c>
      <c r="O3902" s="5">
        <v>24247.516962783076</v>
      </c>
      <c r="P3902" s="5">
        <v>27708.613526855763</v>
      </c>
      <c r="Q3902" s="5">
        <v>10151.908492905288</v>
      </c>
      <c r="R3902" s="5">
        <v>40368.364083205248</v>
      </c>
    </row>
    <row r="3903" spans="9:18">
      <c r="I3903" s="4">
        <v>3888</v>
      </c>
      <c r="J3903" s="5">
        <v>16416.142496463777</v>
      </c>
      <c r="K3903" s="5">
        <v>11206.053243692098</v>
      </c>
      <c r="L3903" s="5">
        <v>16616.161224349555</v>
      </c>
      <c r="M3903" s="5">
        <v>29058.117767351498</v>
      </c>
      <c r="N3903" s="5">
        <v>4770.4216775830728</v>
      </c>
      <c r="O3903" s="5">
        <v>40942.522561879181</v>
      </c>
      <c r="P3903" s="5">
        <v>34814.458119125498</v>
      </c>
      <c r="Q3903" s="5">
        <v>9645.8788061228515</v>
      </c>
      <c r="R3903" s="5">
        <v>8105.1944146993656</v>
      </c>
    </row>
    <row r="3904" spans="9:18">
      <c r="I3904" s="4">
        <v>3889</v>
      </c>
      <c r="J3904" s="5">
        <v>15554.996700302558</v>
      </c>
      <c r="K3904" s="5">
        <v>18086.448513145526</v>
      </c>
      <c r="L3904" s="5">
        <v>22319.409576580376</v>
      </c>
      <c r="M3904" s="5">
        <v>22961.931350882205</v>
      </c>
      <c r="N3904" s="5">
        <v>13745.376566850549</v>
      </c>
      <c r="O3904" s="5">
        <v>94068.324736096256</v>
      </c>
      <c r="P3904" s="5">
        <v>45161.732159568586</v>
      </c>
      <c r="Q3904" s="5">
        <v>71213.172792303565</v>
      </c>
      <c r="R3904" s="5">
        <v>54594.567438884274</v>
      </c>
    </row>
    <row r="3905" spans="9:18">
      <c r="I3905" s="4">
        <v>3890</v>
      </c>
      <c r="J3905" s="5">
        <v>49463.324094345015</v>
      </c>
      <c r="K3905" s="5">
        <v>32294.121255311245</v>
      </c>
      <c r="L3905" s="5">
        <v>15759.954187048656</v>
      </c>
      <c r="M3905" s="5">
        <v>9623.0342442006167</v>
      </c>
      <c r="N3905" s="5">
        <v>32184.535272543482</v>
      </c>
      <c r="O3905" s="5">
        <v>33720.545907536376</v>
      </c>
      <c r="P3905" s="5">
        <v>46514.467673254068</v>
      </c>
      <c r="Q3905" s="5">
        <v>6386.5227360487288</v>
      </c>
      <c r="R3905" s="5">
        <v>38898.713625068609</v>
      </c>
    </row>
    <row r="3906" spans="9:18">
      <c r="I3906" s="4">
        <v>3891</v>
      </c>
      <c r="J3906" s="5">
        <v>9368.8270679249108</v>
      </c>
      <c r="K3906" s="5">
        <v>15487.124352801369</v>
      </c>
      <c r="L3906" s="5">
        <v>16955.349467865559</v>
      </c>
      <c r="M3906" s="5">
        <v>18177.175180585615</v>
      </c>
      <c r="N3906" s="5">
        <v>23998.040874392525</v>
      </c>
      <c r="O3906" s="5">
        <v>30876.675913171162</v>
      </c>
      <c r="P3906" s="5">
        <v>33715.790977629549</v>
      </c>
      <c r="Q3906" s="5">
        <v>13865.641566869812</v>
      </c>
      <c r="R3906" s="5">
        <v>19133.693426869788</v>
      </c>
    </row>
    <row r="3907" spans="9:18">
      <c r="I3907" s="4">
        <v>3892</v>
      </c>
      <c r="J3907" s="5">
        <v>16166.107684907736</v>
      </c>
      <c r="K3907" s="5">
        <v>16665.1498926479</v>
      </c>
      <c r="L3907" s="5">
        <v>14610.165745300763</v>
      </c>
      <c r="M3907" s="5">
        <v>15346.383801976139</v>
      </c>
      <c r="N3907" s="5">
        <v>17214.078970533748</v>
      </c>
      <c r="O3907" s="5">
        <v>94068.324736096256</v>
      </c>
      <c r="P3907" s="5">
        <v>25258.981945036445</v>
      </c>
      <c r="Q3907" s="5">
        <v>59964.86015574776</v>
      </c>
      <c r="R3907" s="5">
        <v>12130.167062525341</v>
      </c>
    </row>
    <row r="3908" spans="9:18">
      <c r="I3908" s="4">
        <v>3893</v>
      </c>
      <c r="J3908" s="5">
        <v>29760.443016608337</v>
      </c>
      <c r="K3908" s="5">
        <v>14136.873097602549</v>
      </c>
      <c r="L3908" s="5">
        <v>16293.265064857471</v>
      </c>
      <c r="M3908" s="5">
        <v>13616.35938654862</v>
      </c>
      <c r="N3908" s="5">
        <v>20558.672182394013</v>
      </c>
      <c r="O3908" s="5">
        <v>10270.120415297655</v>
      </c>
      <c r="P3908" s="5">
        <v>9811.9720599964548</v>
      </c>
      <c r="Q3908" s="5">
        <v>71213.172792303565</v>
      </c>
      <c r="R3908" s="5">
        <v>87776.138236389699</v>
      </c>
    </row>
    <row r="3909" spans="9:18">
      <c r="I3909" s="4">
        <v>3894</v>
      </c>
      <c r="J3909" s="5">
        <v>8580.4413740966302</v>
      </c>
      <c r="K3909" s="5">
        <v>14878.52734402675</v>
      </c>
      <c r="L3909" s="5">
        <v>14042.41908879921</v>
      </c>
      <c r="M3909" s="5">
        <v>12426.949970383979</v>
      </c>
      <c r="N3909" s="5">
        <v>39406.658185292261</v>
      </c>
      <c r="O3909" s="5">
        <v>16505.600261180331</v>
      </c>
      <c r="P3909" s="5">
        <v>12790.85158217316</v>
      </c>
      <c r="Q3909" s="5">
        <v>4631.7430487757983</v>
      </c>
      <c r="R3909" s="5">
        <v>13258.538726001538</v>
      </c>
    </row>
    <row r="3910" spans="9:18">
      <c r="I3910" s="4">
        <v>3895</v>
      </c>
      <c r="J3910" s="5">
        <v>14076.209333698853</v>
      </c>
      <c r="K3910" s="5">
        <v>7753.2116148734594</v>
      </c>
      <c r="L3910" s="5">
        <v>14042.41908879921</v>
      </c>
      <c r="M3910" s="5">
        <v>23449.501569180404</v>
      </c>
      <c r="N3910" s="5">
        <v>8555.1229659096207</v>
      </c>
      <c r="O3910" s="5">
        <v>41653.890350944224</v>
      </c>
      <c r="P3910" s="5">
        <v>44816.412248582856</v>
      </c>
      <c r="Q3910" s="5">
        <v>7349.2234634219121</v>
      </c>
      <c r="R3910" s="5">
        <v>81423.874800517297</v>
      </c>
    </row>
    <row r="3911" spans="9:18">
      <c r="I3911" s="4">
        <v>3896</v>
      </c>
      <c r="J3911" s="5">
        <v>21150.169973104224</v>
      </c>
      <c r="K3911" s="5">
        <v>13559.080695844099</v>
      </c>
      <c r="L3911" s="5">
        <v>16472.138192556791</v>
      </c>
      <c r="M3911" s="5">
        <v>23454.775510296178</v>
      </c>
      <c r="N3911" s="5">
        <v>11788.341482962171</v>
      </c>
      <c r="O3911" s="5">
        <v>15936.062371781712</v>
      </c>
      <c r="P3911" s="5">
        <v>14773.185437294762</v>
      </c>
      <c r="Q3911" s="5">
        <v>7349.2234634219121</v>
      </c>
      <c r="R3911" s="5">
        <v>7952.6989268572033</v>
      </c>
    </row>
    <row r="3912" spans="9:18">
      <c r="I3912" s="4">
        <v>3897</v>
      </c>
      <c r="J3912" s="5">
        <v>13045.114546182727</v>
      </c>
      <c r="K3912" s="5">
        <v>9769.3659785458403</v>
      </c>
      <c r="L3912" s="5">
        <v>23561.450544884348</v>
      </c>
      <c r="M3912" s="5">
        <v>18879.640760542785</v>
      </c>
      <c r="N3912" s="5">
        <v>37309.151967087455</v>
      </c>
      <c r="O3912" s="5">
        <v>36759.655306288936</v>
      </c>
      <c r="P3912" s="5">
        <v>33715.790977629549</v>
      </c>
      <c r="Q3912" s="5">
        <v>3272.4685014937832</v>
      </c>
      <c r="R3912" s="5">
        <v>17687.533637716911</v>
      </c>
    </row>
    <row r="3913" spans="9:18">
      <c r="I3913" s="4">
        <v>3898</v>
      </c>
      <c r="J3913" s="5">
        <v>16145.071869702888</v>
      </c>
      <c r="K3913" s="5">
        <v>16952.949313901812</v>
      </c>
      <c r="L3913" s="5">
        <v>18810.091753970282</v>
      </c>
      <c r="M3913" s="5">
        <v>15586.009710351766</v>
      </c>
      <c r="N3913" s="5">
        <v>59876.136849941562</v>
      </c>
      <c r="O3913" s="5">
        <v>16505.600261180331</v>
      </c>
      <c r="P3913" s="5">
        <v>106091.28270624072</v>
      </c>
      <c r="Q3913" s="5">
        <v>10151.908492905288</v>
      </c>
      <c r="R3913" s="5">
        <v>50287.76786557267</v>
      </c>
    </row>
    <row r="3914" spans="9:18">
      <c r="I3914" s="4">
        <v>3899</v>
      </c>
      <c r="J3914" s="5">
        <v>16544.73779470181</v>
      </c>
      <c r="K3914" s="5">
        <v>18821.113178054162</v>
      </c>
      <c r="L3914" s="5">
        <v>34748.877779456467</v>
      </c>
      <c r="M3914" s="5">
        <v>18879.640760542785</v>
      </c>
      <c r="N3914" s="5">
        <v>57711.498171893618</v>
      </c>
      <c r="O3914" s="5">
        <v>10369.402667058452</v>
      </c>
      <c r="P3914" s="5">
        <v>9826.8369575407578</v>
      </c>
      <c r="Q3914" s="5">
        <v>13099.063525342741</v>
      </c>
      <c r="R3914" s="5">
        <v>8105.1944146993656</v>
      </c>
    </row>
    <row r="3915" spans="9:18">
      <c r="I3915" s="4">
        <v>3900</v>
      </c>
      <c r="J3915" s="5">
        <v>7855.2948890116513</v>
      </c>
      <c r="K3915" s="5">
        <v>21958.925144875713</v>
      </c>
      <c r="L3915" s="5">
        <v>27289.607394458035</v>
      </c>
      <c r="M3915" s="5">
        <v>20185.026038758231</v>
      </c>
      <c r="N3915" s="5">
        <v>22735.120948269971</v>
      </c>
      <c r="O3915" s="5">
        <v>4231.3144655921506</v>
      </c>
      <c r="P3915" s="5">
        <v>27452.975716953504</v>
      </c>
      <c r="Q3915" s="5">
        <v>11173.074396969254</v>
      </c>
      <c r="R3915" s="5">
        <v>14706.681111065362</v>
      </c>
    </row>
    <row r="3916" spans="9:18">
      <c r="I3916" s="4">
        <v>3901</v>
      </c>
      <c r="J3916" s="5">
        <v>14710.037865351254</v>
      </c>
      <c r="K3916" s="5">
        <v>21527.93129974293</v>
      </c>
      <c r="L3916" s="5">
        <v>14815.394001212817</v>
      </c>
      <c r="M3916" s="5">
        <v>21332.072353846772</v>
      </c>
      <c r="N3916" s="5">
        <v>11788.341482962171</v>
      </c>
      <c r="O3916" s="5">
        <v>40581.847217937895</v>
      </c>
      <c r="P3916" s="5">
        <v>14327.191387816954</v>
      </c>
      <c r="Q3916" s="5">
        <v>7457.1844090365566</v>
      </c>
      <c r="R3916" s="5">
        <v>261393.32711858812</v>
      </c>
    </row>
    <row r="3917" spans="9:18">
      <c r="I3917" s="4">
        <v>3902</v>
      </c>
      <c r="J3917" s="5">
        <v>13663.281817546009</v>
      </c>
      <c r="K3917" s="5">
        <v>14587.813833513306</v>
      </c>
      <c r="L3917" s="5">
        <v>15922.087958863045</v>
      </c>
      <c r="M3917" s="5">
        <v>13139.022167648376</v>
      </c>
      <c r="N3917" s="5">
        <v>21931.347680292267</v>
      </c>
      <c r="O3917" s="5">
        <v>25644.588869829797</v>
      </c>
      <c r="P3917" s="5">
        <v>14773.185437294762</v>
      </c>
      <c r="Q3917" s="5">
        <v>7349.2234634219121</v>
      </c>
      <c r="R3917" s="5">
        <v>5865.9802599669383</v>
      </c>
    </row>
    <row r="3918" spans="9:18">
      <c r="I3918" s="4">
        <v>3903</v>
      </c>
      <c r="J3918" s="5">
        <v>13663.281817546009</v>
      </c>
      <c r="K3918" s="5">
        <v>18218.584572172625</v>
      </c>
      <c r="L3918" s="5">
        <v>15161.007794371622</v>
      </c>
      <c r="M3918" s="5">
        <v>10111.451009425113</v>
      </c>
      <c r="N3918" s="5">
        <v>26565.664379767408</v>
      </c>
      <c r="O3918" s="5">
        <v>16505.600261180331</v>
      </c>
      <c r="P3918" s="5">
        <v>17974.179326980211</v>
      </c>
      <c r="Q3918" s="5">
        <v>20883.852062640355</v>
      </c>
      <c r="R3918" s="5">
        <v>29295.938844292672</v>
      </c>
    </row>
    <row r="3919" spans="9:18">
      <c r="I3919" s="4">
        <v>3904</v>
      </c>
      <c r="J3919" s="5">
        <v>15352.465904292809</v>
      </c>
      <c r="K3919" s="5">
        <v>17903.387243834499</v>
      </c>
      <c r="L3919" s="5">
        <v>14042.41908879921</v>
      </c>
      <c r="M3919" s="5">
        <v>12934.591863415189</v>
      </c>
      <c r="N3919" s="5">
        <v>24853.247795632611</v>
      </c>
      <c r="O3919" s="5">
        <v>16462.170789592048</v>
      </c>
      <c r="P3919" s="5">
        <v>14773.185437294762</v>
      </c>
      <c r="Q3919" s="5">
        <v>11173.074396969254</v>
      </c>
      <c r="R3919" s="5">
        <v>216919.53009911609</v>
      </c>
    </row>
    <row r="3920" spans="9:18">
      <c r="I3920" s="4">
        <v>3905</v>
      </c>
      <c r="J3920" s="5">
        <v>16544.73779470181</v>
      </c>
      <c r="K3920" s="5">
        <v>18218.584572172625</v>
      </c>
      <c r="L3920" s="5">
        <v>11827.803406885578</v>
      </c>
      <c r="M3920" s="5">
        <v>29834.240613550006</v>
      </c>
      <c r="N3920" s="5">
        <v>63974.903847153939</v>
      </c>
      <c r="O3920" s="5">
        <v>59207.798737851255</v>
      </c>
      <c r="P3920" s="5">
        <v>55119.366528283317</v>
      </c>
      <c r="Q3920" s="5">
        <v>7457.1844090365566</v>
      </c>
      <c r="R3920" s="5">
        <v>9913.4206865238284</v>
      </c>
    </row>
    <row r="3921" spans="9:18">
      <c r="I3921" s="4">
        <v>3906</v>
      </c>
      <c r="J3921" s="5">
        <v>13663.281817546009</v>
      </c>
      <c r="K3921" s="5">
        <v>16081.362509465702</v>
      </c>
      <c r="L3921" s="5">
        <v>15832.5469007027</v>
      </c>
      <c r="M3921" s="5">
        <v>13065.820809359835</v>
      </c>
      <c r="N3921" s="5">
        <v>25424.029865101274</v>
      </c>
      <c r="O3921" s="5">
        <v>9320.7026593487881</v>
      </c>
      <c r="P3921" s="5">
        <v>95486.196907583406</v>
      </c>
      <c r="Q3921" s="5">
        <v>3272.4685014937832</v>
      </c>
      <c r="R3921" s="5">
        <v>14079.827908007112</v>
      </c>
    </row>
    <row r="3922" spans="9:18">
      <c r="I3922" s="4">
        <v>3907</v>
      </c>
      <c r="J3922" s="5">
        <v>22370.105711697011</v>
      </c>
      <c r="K3922" s="5">
        <v>23543.914024953676</v>
      </c>
      <c r="L3922" s="5">
        <v>15060.431658965737</v>
      </c>
      <c r="M3922" s="5">
        <v>17542.15972125496</v>
      </c>
      <c r="N3922" s="5">
        <v>23583.581287126868</v>
      </c>
      <c r="O3922" s="5">
        <v>20930.098352661731</v>
      </c>
      <c r="P3922" s="5">
        <v>27820.721938889761</v>
      </c>
      <c r="Q3922" s="5">
        <v>9645.8788061228515</v>
      </c>
      <c r="R3922" s="5">
        <v>72561.496699005787</v>
      </c>
    </row>
    <row r="3923" spans="9:18">
      <c r="I3923" s="4">
        <v>3908</v>
      </c>
      <c r="J3923" s="5">
        <v>14420.293087375476</v>
      </c>
      <c r="K3923" s="5">
        <v>15129.619337591721</v>
      </c>
      <c r="L3923" s="5">
        <v>22319.409576580376</v>
      </c>
      <c r="M3923" s="5">
        <v>7334.8610818348589</v>
      </c>
      <c r="N3923" s="5">
        <v>10882.757905166785</v>
      </c>
      <c r="O3923" s="5">
        <v>30876.675913171162</v>
      </c>
      <c r="P3923" s="5">
        <v>5735.6883097179207</v>
      </c>
      <c r="Q3923" s="5">
        <v>14064.158297039334</v>
      </c>
      <c r="R3923" s="5">
        <v>51358.6267760993</v>
      </c>
    </row>
    <row r="3924" spans="9:18">
      <c r="I3924" s="4">
        <v>3909</v>
      </c>
      <c r="J3924" s="5">
        <v>19048.674633640545</v>
      </c>
      <c r="K3924" s="5">
        <v>8124.7965732661823</v>
      </c>
      <c r="L3924" s="5">
        <v>16014.071850041886</v>
      </c>
      <c r="M3924" s="5">
        <v>15202.972920708273</v>
      </c>
      <c r="N3924" s="5">
        <v>29468.83360104046</v>
      </c>
      <c r="O3924" s="5">
        <v>15124.35050053727</v>
      </c>
      <c r="P3924" s="5">
        <v>10180.109839011631</v>
      </c>
      <c r="Q3924" s="5">
        <v>18097.768262249352</v>
      </c>
      <c r="R3924" s="5">
        <v>2180.6148629084787</v>
      </c>
    </row>
    <row r="3925" spans="9:18">
      <c r="I3925" s="4">
        <v>3910</v>
      </c>
      <c r="J3925" s="5">
        <v>45301.532027110363</v>
      </c>
      <c r="K3925" s="5">
        <v>14021.934268028277</v>
      </c>
      <c r="L3925" s="5">
        <v>17920.486090689363</v>
      </c>
      <c r="M3925" s="5">
        <v>21272.00214469912</v>
      </c>
      <c r="N3925" s="5">
        <v>12297.015342318469</v>
      </c>
      <c r="O3925" s="5">
        <v>25604.597681740845</v>
      </c>
      <c r="P3925" s="5">
        <v>38771.994792132391</v>
      </c>
      <c r="Q3925" s="5">
        <v>29432.473148002948</v>
      </c>
      <c r="R3925" s="5">
        <v>5865.9802599669383</v>
      </c>
    </row>
    <row r="3926" spans="9:18">
      <c r="I3926" s="4">
        <v>3911</v>
      </c>
      <c r="J3926" s="5">
        <v>15623.733864199699</v>
      </c>
      <c r="K3926" s="5">
        <v>15631.937142257386</v>
      </c>
      <c r="L3926" s="5">
        <v>16017.890956041876</v>
      </c>
      <c r="M3926" s="5">
        <v>13414.385151739983</v>
      </c>
      <c r="N3926" s="5">
        <v>21617.945168312468</v>
      </c>
      <c r="O3926" s="5">
        <v>16505.600261180331</v>
      </c>
      <c r="P3926" s="5">
        <v>8069.5385577067918</v>
      </c>
      <c r="Q3926" s="5">
        <v>30266.563414010914</v>
      </c>
      <c r="R3926" s="5">
        <v>3433.6677391851467</v>
      </c>
    </row>
    <row r="3927" spans="9:18">
      <c r="I3927" s="4">
        <v>3912</v>
      </c>
      <c r="J3927" s="5">
        <v>15352.465904292809</v>
      </c>
      <c r="K3927" s="5">
        <v>17495.743706488822</v>
      </c>
      <c r="L3927" s="5">
        <v>19224.583269019437</v>
      </c>
      <c r="M3927" s="5">
        <v>17349.963215818931</v>
      </c>
      <c r="N3927" s="5">
        <v>12592.300437162297</v>
      </c>
      <c r="O3927" s="5">
        <v>40304.23053285561</v>
      </c>
      <c r="P3927" s="5">
        <v>39054.462981000084</v>
      </c>
      <c r="Q3927" s="5">
        <v>37497.234505125656</v>
      </c>
      <c r="R3927" s="5">
        <v>6681.1887184356683</v>
      </c>
    </row>
    <row r="3928" spans="9:18">
      <c r="I3928" s="4">
        <v>3913</v>
      </c>
      <c r="J3928" s="5">
        <v>21150.169973104224</v>
      </c>
      <c r="K3928" s="5">
        <v>15698.764831033119</v>
      </c>
      <c r="L3928" s="5">
        <v>19359.475411188432</v>
      </c>
      <c r="M3928" s="5">
        <v>13022.686998540772</v>
      </c>
      <c r="N3928" s="5">
        <v>21933.097106966918</v>
      </c>
      <c r="O3928" s="5">
        <v>41653.890350944224</v>
      </c>
      <c r="P3928" s="5">
        <v>9482.0186426688688</v>
      </c>
      <c r="Q3928" s="5">
        <v>12253.299944531094</v>
      </c>
      <c r="R3928" s="5">
        <v>7201.7586694681067</v>
      </c>
    </row>
    <row r="3929" spans="9:18">
      <c r="I3929" s="4">
        <v>3914</v>
      </c>
      <c r="J3929" s="5">
        <v>9405.362381917912</v>
      </c>
      <c r="K3929" s="5">
        <v>16199.334613834633</v>
      </c>
      <c r="L3929" s="5">
        <v>21954.536591034263</v>
      </c>
      <c r="M3929" s="5">
        <v>19890.009981657669</v>
      </c>
      <c r="N3929" s="5">
        <v>13745.376566850549</v>
      </c>
      <c r="O3929" s="5">
        <v>30656.031716467984</v>
      </c>
      <c r="P3929" s="5">
        <v>12639.596794453437</v>
      </c>
      <c r="Q3929" s="5">
        <v>35525.432376048877</v>
      </c>
      <c r="R3929" s="5">
        <v>7394.6358885760465</v>
      </c>
    </row>
    <row r="3930" spans="9:18">
      <c r="I3930" s="4">
        <v>3915</v>
      </c>
      <c r="J3930" s="5">
        <v>15786.811016780619</v>
      </c>
      <c r="K3930" s="5">
        <v>95171.967522309933</v>
      </c>
      <c r="L3930" s="5">
        <v>21954.536591034263</v>
      </c>
      <c r="M3930" s="5">
        <v>18879.640760542785</v>
      </c>
      <c r="N3930" s="5">
        <v>22010.718648995869</v>
      </c>
      <c r="O3930" s="5">
        <v>30876.675913171162</v>
      </c>
      <c r="P3930" s="5">
        <v>17974.179326980211</v>
      </c>
      <c r="Q3930" s="5">
        <v>13214.632802255031</v>
      </c>
      <c r="R3930" s="5">
        <v>6360.7905155660001</v>
      </c>
    </row>
    <row r="3931" spans="9:18">
      <c r="I3931" s="4">
        <v>3916</v>
      </c>
      <c r="J3931" s="5">
        <v>28590.354879265724</v>
      </c>
      <c r="K3931" s="5">
        <v>15347.101709242541</v>
      </c>
      <c r="L3931" s="5">
        <v>15471.738323660695</v>
      </c>
      <c r="M3931" s="5">
        <v>20550.782384061673</v>
      </c>
      <c r="N3931" s="5">
        <v>14921.795973817481</v>
      </c>
      <c r="O3931" s="5">
        <v>40304.23053285561</v>
      </c>
      <c r="P3931" s="5">
        <v>18963.234565965948</v>
      </c>
      <c r="Q3931" s="5">
        <v>31902.904306425251</v>
      </c>
      <c r="R3931" s="5">
        <v>19133.693426869788</v>
      </c>
    </row>
    <row r="3932" spans="9:18">
      <c r="I3932" s="4">
        <v>3917</v>
      </c>
      <c r="J3932" s="5">
        <v>28214.771032351968</v>
      </c>
      <c r="K3932" s="5">
        <v>10931.803935361211</v>
      </c>
      <c r="L3932" s="5">
        <v>29265.217478369766</v>
      </c>
      <c r="M3932" s="5">
        <v>19795.661011456152</v>
      </c>
      <c r="N3932" s="5">
        <v>39406.658185292261</v>
      </c>
      <c r="O3932" s="5">
        <v>20991.103410982985</v>
      </c>
      <c r="P3932" s="5">
        <v>49519.098753410741</v>
      </c>
      <c r="Q3932" s="5">
        <v>20883.852062640355</v>
      </c>
      <c r="R3932" s="5">
        <v>86510.608303273053</v>
      </c>
    </row>
    <row r="3933" spans="9:18">
      <c r="I3933" s="4">
        <v>3918</v>
      </c>
      <c r="J3933" s="5">
        <v>14538.277247583976</v>
      </c>
      <c r="K3933" s="5">
        <v>14674.169276244838</v>
      </c>
      <c r="L3933" s="5">
        <v>15060.431658965737</v>
      </c>
      <c r="M3933" s="5">
        <v>19042.78605337895</v>
      </c>
      <c r="N3933" s="5">
        <v>21909.120225822895</v>
      </c>
      <c r="O3933" s="5">
        <v>16505.600261180331</v>
      </c>
      <c r="P3933" s="5">
        <v>35213.322626437533</v>
      </c>
      <c r="Q3933" s="5">
        <v>30266.563414010914</v>
      </c>
      <c r="R3933" s="5">
        <v>33863.04333215439</v>
      </c>
    </row>
    <row r="3934" spans="9:18">
      <c r="I3934" s="4">
        <v>3919</v>
      </c>
      <c r="J3934" s="5">
        <v>43272.831879770602</v>
      </c>
      <c r="K3934" s="5">
        <v>14017.262946034314</v>
      </c>
      <c r="L3934" s="5">
        <v>15746.942257105531</v>
      </c>
      <c r="M3934" s="5">
        <v>13065.820809359835</v>
      </c>
      <c r="N3934" s="5">
        <v>23746.795665493762</v>
      </c>
      <c r="O3934" s="5">
        <v>13550.031670770122</v>
      </c>
      <c r="P3934" s="5">
        <v>106091.28270624072</v>
      </c>
      <c r="Q3934" s="5">
        <v>21421.044775857536</v>
      </c>
      <c r="R3934" s="5">
        <v>24722.972470599001</v>
      </c>
    </row>
    <row r="3935" spans="9:18">
      <c r="I3935" s="4">
        <v>3920</v>
      </c>
      <c r="J3935" s="5">
        <v>13595.404057849493</v>
      </c>
      <c r="K3935" s="5">
        <v>16665.1498926479</v>
      </c>
      <c r="L3935" s="5">
        <v>18475.258050488967</v>
      </c>
      <c r="M3935" s="5">
        <v>42282.977640783138</v>
      </c>
      <c r="N3935" s="5">
        <v>16581.915858379376</v>
      </c>
      <c r="O3935" s="5">
        <v>24247.516962783076</v>
      </c>
      <c r="P3935" s="5">
        <v>48123.003747643132</v>
      </c>
      <c r="Q3935" s="5">
        <v>8474.2603471579441</v>
      </c>
      <c r="R3935" s="5">
        <v>89167.415757270224</v>
      </c>
    </row>
    <row r="3936" spans="9:18">
      <c r="I3936" s="4">
        <v>3921</v>
      </c>
      <c r="J3936" s="5">
        <v>31053.540961463306</v>
      </c>
      <c r="K3936" s="5">
        <v>11507.182177474708</v>
      </c>
      <c r="L3936" s="5">
        <v>19078.910217042379</v>
      </c>
      <c r="M3936" s="5">
        <v>6367.5407465007311</v>
      </c>
      <c r="N3936" s="5">
        <v>10882.757905166785</v>
      </c>
      <c r="O3936" s="5">
        <v>16524.769946939996</v>
      </c>
      <c r="P3936" s="5">
        <v>16072.735485912413</v>
      </c>
      <c r="Q3936" s="5">
        <v>71213.172792303565</v>
      </c>
      <c r="R3936" s="5">
        <v>84289.422255274636</v>
      </c>
    </row>
    <row r="3937" spans="9:18">
      <c r="I3937" s="4">
        <v>3922</v>
      </c>
      <c r="J3937" s="5">
        <v>14680.308400328413</v>
      </c>
      <c r="K3937" s="5">
        <v>17003.901855709089</v>
      </c>
      <c r="L3937" s="5">
        <v>15764.107424863063</v>
      </c>
      <c r="M3937" s="5">
        <v>31554.722481137964</v>
      </c>
      <c r="N3937" s="5">
        <v>24769.339976495565</v>
      </c>
      <c r="O3937" s="5">
        <v>9869.5889207969612</v>
      </c>
      <c r="P3937" s="5">
        <v>54292.749740228588</v>
      </c>
      <c r="Q3937" s="5">
        <v>17153.530968450712</v>
      </c>
      <c r="R3937" s="5">
        <v>55012.315589742022</v>
      </c>
    </row>
    <row r="3938" spans="9:18">
      <c r="I3938" s="4">
        <v>3923</v>
      </c>
      <c r="J3938" s="5">
        <v>29760.443016608337</v>
      </c>
      <c r="K3938" s="5">
        <v>53937.689698015136</v>
      </c>
      <c r="L3938" s="5">
        <v>15922.087958863045</v>
      </c>
      <c r="M3938" s="5">
        <v>36301.422888051464</v>
      </c>
      <c r="N3938" s="5">
        <v>11952.903761138405</v>
      </c>
      <c r="O3938" s="5">
        <v>16524.769946939996</v>
      </c>
      <c r="P3938" s="5">
        <v>21813.848941464526</v>
      </c>
      <c r="Q3938" s="5">
        <v>17493.456269945855</v>
      </c>
      <c r="R3938" s="5">
        <v>12194.45251033065</v>
      </c>
    </row>
    <row r="3939" spans="9:18">
      <c r="I3939" s="4">
        <v>3924</v>
      </c>
      <c r="J3939" s="5">
        <v>16733.020222212988</v>
      </c>
      <c r="K3939" s="5">
        <v>15129.619337591721</v>
      </c>
      <c r="L3939" s="5">
        <v>14811.370758813007</v>
      </c>
      <c r="M3939" s="5">
        <v>12987.517521908694</v>
      </c>
      <c r="N3939" s="5">
        <v>18367.429489032103</v>
      </c>
      <c r="O3939" s="5">
        <v>10738.305003664611</v>
      </c>
      <c r="P3939" s="5">
        <v>26126.807131356076</v>
      </c>
      <c r="Q3939" s="5">
        <v>31902.904306425251</v>
      </c>
      <c r="R3939" s="5">
        <v>72640.340924600489</v>
      </c>
    </row>
    <row r="3940" spans="9:18">
      <c r="I3940" s="4">
        <v>3925</v>
      </c>
      <c r="J3940" s="5">
        <v>16511.332839561353</v>
      </c>
      <c r="K3940" s="5">
        <v>21187.174639714212</v>
      </c>
      <c r="L3940" s="5">
        <v>22412.045018675239</v>
      </c>
      <c r="M3940" s="5">
        <v>13011.820191946215</v>
      </c>
      <c r="N3940" s="5">
        <v>39672.376281023731</v>
      </c>
      <c r="O3940" s="5">
        <v>35865.625349531729</v>
      </c>
      <c r="P3940" s="5">
        <v>17974.179326980211</v>
      </c>
      <c r="Q3940" s="5">
        <v>22145.301831504508</v>
      </c>
      <c r="R3940" s="5">
        <v>72640.340924600489</v>
      </c>
    </row>
    <row r="3941" spans="9:18">
      <c r="I3941" s="4">
        <v>3926</v>
      </c>
      <c r="J3941" s="5">
        <v>13391.049101507895</v>
      </c>
      <c r="K3941" s="5">
        <v>11149.572204897504</v>
      </c>
      <c r="L3941" s="5">
        <v>18602.881797624486</v>
      </c>
      <c r="M3941" s="5">
        <v>18043.539897080744</v>
      </c>
      <c r="N3941" s="5">
        <v>36962.805083900916</v>
      </c>
      <c r="O3941" s="5">
        <v>27508.313315384185</v>
      </c>
      <c r="P3941" s="5">
        <v>106091.28270624072</v>
      </c>
      <c r="Q3941" s="5">
        <v>48866.209623168346</v>
      </c>
      <c r="R3941" s="5">
        <v>2071.5141323269809</v>
      </c>
    </row>
    <row r="3942" spans="9:18">
      <c r="I3942" s="4">
        <v>3927</v>
      </c>
      <c r="J3942" s="5">
        <v>16166.107684907736</v>
      </c>
      <c r="K3942" s="5">
        <v>15631.937142257386</v>
      </c>
      <c r="L3942" s="5">
        <v>15832.5469007027</v>
      </c>
      <c r="M3942" s="5">
        <v>26477.996319655329</v>
      </c>
      <c r="N3942" s="5">
        <v>40377.252444397986</v>
      </c>
      <c r="O3942" s="5">
        <v>35865.625349531729</v>
      </c>
      <c r="P3942" s="5">
        <v>55119.366528283317</v>
      </c>
      <c r="Q3942" s="5">
        <v>116445.46783345108</v>
      </c>
      <c r="R3942" s="5">
        <v>54594.567438884274</v>
      </c>
    </row>
    <row r="3943" spans="9:18">
      <c r="I3943" s="4">
        <v>3928</v>
      </c>
      <c r="J3943" s="5">
        <v>16016.491239086423</v>
      </c>
      <c r="K3943" s="5">
        <v>18218.584572172625</v>
      </c>
      <c r="L3943" s="5">
        <v>14815.394001212817</v>
      </c>
      <c r="M3943" s="5">
        <v>33862.836621974391</v>
      </c>
      <c r="N3943" s="5">
        <v>48565.498233359976</v>
      </c>
      <c r="O3943" s="5">
        <v>77417.02098927302</v>
      </c>
      <c r="P3943" s="5">
        <v>55152.110177667731</v>
      </c>
      <c r="Q3943" s="5">
        <v>48866.209623168346</v>
      </c>
      <c r="R3943" s="5">
        <v>123773.40402252052</v>
      </c>
    </row>
    <row r="3944" spans="9:18">
      <c r="I3944" s="4">
        <v>3929</v>
      </c>
      <c r="J3944" s="5">
        <v>34933.039312618188</v>
      </c>
      <c r="K3944" s="5">
        <v>23327.217259521742</v>
      </c>
      <c r="L3944" s="5">
        <v>16472.138192556791</v>
      </c>
      <c r="M3944" s="5">
        <v>11680.747299075838</v>
      </c>
      <c r="N3944" s="5">
        <v>4770.4216775830728</v>
      </c>
      <c r="O3944" s="5">
        <v>13613.378495715853</v>
      </c>
      <c r="P3944" s="5">
        <v>27820.721938889761</v>
      </c>
      <c r="Q3944" s="5">
        <v>35525.432376048877</v>
      </c>
      <c r="R3944" s="5">
        <v>55106.806585409526</v>
      </c>
    </row>
    <row r="3945" spans="9:18">
      <c r="I3945" s="4">
        <v>3930</v>
      </c>
      <c r="J3945" s="5">
        <v>28169.050633834027</v>
      </c>
      <c r="K3945" s="5">
        <v>17003.901855709089</v>
      </c>
      <c r="L3945" s="5">
        <v>13622.976145621742</v>
      </c>
      <c r="M3945" s="5">
        <v>13642.678686731051</v>
      </c>
      <c r="N3945" s="5">
        <v>12592.300437162297</v>
      </c>
      <c r="O3945" s="5">
        <v>94068.324736096256</v>
      </c>
      <c r="P3945" s="5">
        <v>9826.8369575407578</v>
      </c>
      <c r="Q3945" s="5">
        <v>7457.1844090365566</v>
      </c>
      <c r="R3945" s="5">
        <v>7394.6358885760465</v>
      </c>
    </row>
    <row r="3946" spans="9:18">
      <c r="I3946" s="4">
        <v>3931</v>
      </c>
      <c r="J3946" s="5">
        <v>16733.020222212988</v>
      </c>
      <c r="K3946" s="5">
        <v>17495.743706488822</v>
      </c>
      <c r="L3946" s="5">
        <v>13622.976145621742</v>
      </c>
      <c r="M3946" s="5">
        <v>12735.841453044006</v>
      </c>
      <c r="N3946" s="5">
        <v>20292.069765667391</v>
      </c>
      <c r="O3946" s="5">
        <v>13840.304699955392</v>
      </c>
      <c r="P3946" s="5">
        <v>14327.191387816954</v>
      </c>
      <c r="Q3946" s="5">
        <v>11928.872068442162</v>
      </c>
      <c r="R3946" s="5">
        <v>54594.567438884274</v>
      </c>
    </row>
    <row r="3947" spans="9:18">
      <c r="I3947" s="4">
        <v>3932</v>
      </c>
      <c r="J3947" s="5">
        <v>16733.020222212988</v>
      </c>
      <c r="K3947" s="5">
        <v>12777.667398488715</v>
      </c>
      <c r="L3947" s="5">
        <v>14610.165745300763</v>
      </c>
      <c r="M3947" s="5">
        <v>23454.775510296178</v>
      </c>
      <c r="N3947" s="5">
        <v>11604.12831603515</v>
      </c>
      <c r="O3947" s="5">
        <v>14371.728352806511</v>
      </c>
      <c r="P3947" s="5">
        <v>41657.50350099193</v>
      </c>
      <c r="Q3947" s="5">
        <v>37497.234505125656</v>
      </c>
      <c r="R3947" s="5">
        <v>181970.23111012415</v>
      </c>
    </row>
    <row r="3948" spans="9:18">
      <c r="I3948" s="4">
        <v>3933</v>
      </c>
      <c r="J3948" s="5">
        <v>15873.12561080002</v>
      </c>
      <c r="K3948" s="5">
        <v>16081.362509465702</v>
      </c>
      <c r="L3948" s="5">
        <v>15359.132481533357</v>
      </c>
      <c r="M3948" s="5">
        <v>18879.640760542785</v>
      </c>
      <c r="N3948" s="5">
        <v>16581.915858379376</v>
      </c>
      <c r="O3948" s="5">
        <v>27508.313315384185</v>
      </c>
      <c r="P3948" s="5">
        <v>21039.927746191301</v>
      </c>
      <c r="Q3948" s="5">
        <v>20883.852062640355</v>
      </c>
      <c r="R3948" s="5">
        <v>24831.679362998926</v>
      </c>
    </row>
    <row r="3949" spans="9:18">
      <c r="I3949" s="4">
        <v>3934</v>
      </c>
      <c r="J3949" s="5">
        <v>11116.191595722205</v>
      </c>
      <c r="K3949" s="5">
        <v>15129.619337591721</v>
      </c>
      <c r="L3949" s="5">
        <v>14815.394001212817</v>
      </c>
      <c r="M3949" s="5">
        <v>13065.820809359835</v>
      </c>
      <c r="N3949" s="5">
        <v>20583.564383988036</v>
      </c>
      <c r="O3949" s="5">
        <v>35286.662852302201</v>
      </c>
      <c r="P3949" s="5">
        <v>40377.463755170742</v>
      </c>
      <c r="Q3949" s="5">
        <v>15663.43865741136</v>
      </c>
      <c r="R3949" s="5">
        <v>182942.88598316166</v>
      </c>
    </row>
    <row r="3950" spans="9:18">
      <c r="I3950" s="4">
        <v>3935</v>
      </c>
      <c r="J3950" s="5">
        <v>16710.807721801892</v>
      </c>
      <c r="K3950" s="5">
        <v>14351.415257675473</v>
      </c>
      <c r="L3950" s="5">
        <v>16017.890956041876</v>
      </c>
      <c r="M3950" s="5">
        <v>21913.431401527439</v>
      </c>
      <c r="N3950" s="5">
        <v>59876.136849941562</v>
      </c>
      <c r="O3950" s="5">
        <v>20827.029306810669</v>
      </c>
      <c r="P3950" s="5">
        <v>55152.110177667731</v>
      </c>
      <c r="Q3950" s="5">
        <v>4631.7430487757983</v>
      </c>
      <c r="R3950" s="5">
        <v>39727.513802035661</v>
      </c>
    </row>
    <row r="3951" spans="9:18">
      <c r="I3951" s="4">
        <v>3936</v>
      </c>
      <c r="J3951" s="5">
        <v>15786.811016780619</v>
      </c>
      <c r="K3951" s="5">
        <v>14017.262946034314</v>
      </c>
      <c r="L3951" s="5">
        <v>15923.549351835489</v>
      </c>
      <c r="M3951" s="5">
        <v>21833.004790208965</v>
      </c>
      <c r="N3951" s="5">
        <v>11251.634703629026</v>
      </c>
      <c r="O3951" s="5">
        <v>67717.30633712461</v>
      </c>
      <c r="P3951" s="5">
        <v>55119.366528283317</v>
      </c>
      <c r="Q3951" s="5">
        <v>73941.636731325911</v>
      </c>
      <c r="R3951" s="5">
        <v>51141.799458534304</v>
      </c>
    </row>
    <row r="3952" spans="9:18">
      <c r="I3952" s="4">
        <v>3937</v>
      </c>
      <c r="J3952" s="5">
        <v>12035.382213755307</v>
      </c>
      <c r="K3952" s="5">
        <v>13520.836427679104</v>
      </c>
      <c r="L3952" s="5">
        <v>14146.191653372813</v>
      </c>
      <c r="M3952" s="5">
        <v>33862.836621974391</v>
      </c>
      <c r="N3952" s="5">
        <v>20292.069765667391</v>
      </c>
      <c r="O3952" s="5">
        <v>27503.656957929088</v>
      </c>
      <c r="P3952" s="5">
        <v>8877.9712092977989</v>
      </c>
      <c r="Q3952" s="5">
        <v>70295.978314632754</v>
      </c>
      <c r="R3952" s="5">
        <v>17991.870496434763</v>
      </c>
    </row>
    <row r="3953" spans="9:18">
      <c r="I3953" s="4">
        <v>3938</v>
      </c>
      <c r="J3953" s="5">
        <v>13391.049101507895</v>
      </c>
      <c r="K3953" s="5">
        <v>15782.544184844044</v>
      </c>
      <c r="L3953" s="5">
        <v>14042.41908879921</v>
      </c>
      <c r="M3953" s="5">
        <v>23515.935489506261</v>
      </c>
      <c r="N3953" s="5">
        <v>21909.120225822895</v>
      </c>
      <c r="O3953" s="5">
        <v>27084.483614751469</v>
      </c>
      <c r="P3953" s="5">
        <v>8069.5385577067918</v>
      </c>
      <c r="Q3953" s="5">
        <v>64585.328088516922</v>
      </c>
      <c r="R3953" s="5">
        <v>14706.681111065362</v>
      </c>
    </row>
    <row r="3954" spans="9:18">
      <c r="I3954" s="4">
        <v>3939</v>
      </c>
      <c r="J3954" s="5">
        <v>9405.362381917912</v>
      </c>
      <c r="K3954" s="5">
        <v>17495.743706488822</v>
      </c>
      <c r="L3954" s="5">
        <v>22018.381599979773</v>
      </c>
      <c r="M3954" s="5">
        <v>10111.451009425113</v>
      </c>
      <c r="N3954" s="5">
        <v>22010.718648995869</v>
      </c>
      <c r="O3954" s="5">
        <v>10270.120415297655</v>
      </c>
      <c r="P3954" s="5">
        <v>45161.732159568586</v>
      </c>
      <c r="Q3954" s="5">
        <v>37101.531383212743</v>
      </c>
      <c r="R3954" s="5">
        <v>20236.767651156802</v>
      </c>
    </row>
    <row r="3955" spans="9:18">
      <c r="I3955" s="4">
        <v>3940</v>
      </c>
      <c r="J3955" s="5">
        <v>13447.638004246244</v>
      </c>
      <c r="K3955" s="5">
        <v>10931.803935361211</v>
      </c>
      <c r="L3955" s="5">
        <v>21725.131459372977</v>
      </c>
      <c r="M3955" s="5">
        <v>10142.860128720422</v>
      </c>
      <c r="N3955" s="5">
        <v>40377.252444397986</v>
      </c>
      <c r="O3955" s="5">
        <v>27503.656957929088</v>
      </c>
      <c r="P3955" s="5">
        <v>10180.109839011631</v>
      </c>
      <c r="Q3955" s="5">
        <v>53055.59182561023</v>
      </c>
      <c r="R3955" s="5">
        <v>41056.152565483346</v>
      </c>
    </row>
    <row r="3956" spans="9:18">
      <c r="I3956" s="4">
        <v>3941</v>
      </c>
      <c r="J3956" s="5">
        <v>19048.674633640545</v>
      </c>
      <c r="K3956" s="5">
        <v>14674.169276244838</v>
      </c>
      <c r="L3956" s="5">
        <v>15126.980926457318</v>
      </c>
      <c r="M3956" s="5">
        <v>22815.60259636537</v>
      </c>
      <c r="N3956" s="5">
        <v>9209.4418830788036</v>
      </c>
      <c r="O3956" s="5">
        <v>41653.890350944224</v>
      </c>
      <c r="P3956" s="5">
        <v>32155.527541400057</v>
      </c>
      <c r="Q3956" s="5">
        <v>17493.456269945855</v>
      </c>
      <c r="R3956" s="5">
        <v>89167.415757270224</v>
      </c>
    </row>
    <row r="3957" spans="9:18">
      <c r="I3957" s="4">
        <v>3942</v>
      </c>
      <c r="J3957" s="5">
        <v>16459.003095225507</v>
      </c>
      <c r="K3957" s="5">
        <v>21218.439146892688</v>
      </c>
      <c r="L3957" s="5">
        <v>15161.007794371622</v>
      </c>
      <c r="M3957" s="5">
        <v>19262.243095117232</v>
      </c>
      <c r="N3957" s="5">
        <v>15804.474686449519</v>
      </c>
      <c r="O3957" s="5">
        <v>33720.545907536376</v>
      </c>
      <c r="P3957" s="5">
        <v>3930.0915591834291</v>
      </c>
      <c r="Q3957" s="5">
        <v>17234.335939857254</v>
      </c>
      <c r="R3957" s="5">
        <v>51141.799458534304</v>
      </c>
    </row>
    <row r="3958" spans="9:18">
      <c r="I3958" s="4">
        <v>3943</v>
      </c>
      <c r="J3958" s="5">
        <v>16016.491239086423</v>
      </c>
      <c r="K3958" s="5">
        <v>8223.1266007477425</v>
      </c>
      <c r="L3958" s="5">
        <v>16293.265064857471</v>
      </c>
      <c r="M3958" s="5">
        <v>16510.442870615672</v>
      </c>
      <c r="N3958" s="5">
        <v>15658.063692994532</v>
      </c>
      <c r="O3958" s="5">
        <v>27508.313315384185</v>
      </c>
      <c r="P3958" s="5">
        <v>9826.8369575407578</v>
      </c>
      <c r="Q3958" s="5">
        <v>9138.5169630896526</v>
      </c>
      <c r="R3958" s="5">
        <v>10885.018205103002</v>
      </c>
    </row>
    <row r="3959" spans="9:18">
      <c r="I3959" s="4">
        <v>3944</v>
      </c>
      <c r="J3959" s="5">
        <v>7855.2948890116513</v>
      </c>
      <c r="K3959" s="5">
        <v>26110.948843472826</v>
      </c>
      <c r="L3959" s="5">
        <v>13037.115556745504</v>
      </c>
      <c r="M3959" s="5">
        <v>19262.243095117232</v>
      </c>
      <c r="N3959" s="5">
        <v>23043.345403059295</v>
      </c>
      <c r="O3959" s="5">
        <v>27508.313315384185</v>
      </c>
      <c r="P3959" s="5">
        <v>20391.123772341358</v>
      </c>
      <c r="Q3959" s="5">
        <v>17234.335939857254</v>
      </c>
      <c r="R3959" s="5">
        <v>93933.045103013996</v>
      </c>
    </row>
    <row r="3960" spans="9:18">
      <c r="I3960" s="4">
        <v>3945</v>
      </c>
      <c r="J3960" s="5">
        <v>16016.491239086423</v>
      </c>
      <c r="K3960" s="5">
        <v>15129.619337591721</v>
      </c>
      <c r="L3960" s="5">
        <v>22319.409576580376</v>
      </c>
      <c r="M3960" s="5">
        <v>15346.383801976139</v>
      </c>
      <c r="N3960" s="5">
        <v>21617.945168312468</v>
      </c>
      <c r="O3960" s="5">
        <v>4231.3144655921506</v>
      </c>
      <c r="P3960" s="5">
        <v>66904.018529955298</v>
      </c>
      <c r="Q3960" s="5">
        <v>28567.61306643406</v>
      </c>
      <c r="R3960" s="5">
        <v>12116.34255245842</v>
      </c>
    </row>
    <row r="3961" spans="9:18">
      <c r="I3961" s="4">
        <v>3946</v>
      </c>
      <c r="J3961" s="5">
        <v>21717.214093683677</v>
      </c>
      <c r="K3961" s="5">
        <v>14878.52734402675</v>
      </c>
      <c r="L3961" s="5">
        <v>15746.942257105531</v>
      </c>
      <c r="M3961" s="5">
        <v>10142.860128720422</v>
      </c>
      <c r="N3961" s="5">
        <v>24020.875410266352</v>
      </c>
      <c r="O3961" s="5">
        <v>14371.728352806511</v>
      </c>
      <c r="P3961" s="5">
        <v>10180.109839011631</v>
      </c>
      <c r="Q3961" s="5">
        <v>35525.432376048877</v>
      </c>
      <c r="R3961" s="5">
        <v>26783.439354489365</v>
      </c>
    </row>
    <row r="3962" spans="9:18">
      <c r="I3962" s="4">
        <v>3947</v>
      </c>
      <c r="J3962" s="5">
        <v>15081.728672246438</v>
      </c>
      <c r="K3962" s="5">
        <v>9769.3659785458403</v>
      </c>
      <c r="L3962" s="5">
        <v>14146.191653372813</v>
      </c>
      <c r="M3962" s="5">
        <v>16881.579299055</v>
      </c>
      <c r="N3962" s="5">
        <v>15130.853682762778</v>
      </c>
      <c r="O3962" s="5">
        <v>53028.643350899503</v>
      </c>
      <c r="P3962" s="5">
        <v>40377.463755170742</v>
      </c>
      <c r="Q3962" s="5">
        <v>7349.2234634219121</v>
      </c>
      <c r="R3962" s="5">
        <v>81423.874800517297</v>
      </c>
    </row>
    <row r="3963" spans="9:18">
      <c r="I3963" s="4">
        <v>3948</v>
      </c>
      <c r="J3963" s="5">
        <v>9368.8270679249108</v>
      </c>
      <c r="K3963" s="5">
        <v>13288.692555879701</v>
      </c>
      <c r="L3963" s="5">
        <v>29265.217478369766</v>
      </c>
      <c r="M3963" s="5">
        <v>19430.369425783585</v>
      </c>
      <c r="N3963" s="5">
        <v>34295.124147811541</v>
      </c>
      <c r="O3963" s="5">
        <v>13966.178986479143</v>
      </c>
      <c r="P3963" s="5">
        <v>20391.123772341358</v>
      </c>
      <c r="Q3963" s="5">
        <v>53055.59182561023</v>
      </c>
      <c r="R3963" s="5">
        <v>6360.7905155660001</v>
      </c>
    </row>
    <row r="3964" spans="9:18">
      <c r="I3964" s="4">
        <v>3949</v>
      </c>
      <c r="J3964" s="5">
        <v>13045.114546182727</v>
      </c>
      <c r="K3964" s="5">
        <v>21187.174639714212</v>
      </c>
      <c r="L3964" s="5">
        <v>15923.549351835489</v>
      </c>
      <c r="M3964" s="5">
        <v>32751.734100446065</v>
      </c>
      <c r="N3964" s="5">
        <v>8555.1229659096207</v>
      </c>
      <c r="O3964" s="5">
        <v>31172.963108652857</v>
      </c>
      <c r="P3964" s="5">
        <v>5735.6883097179207</v>
      </c>
      <c r="Q3964" s="5">
        <v>37073.980790337926</v>
      </c>
      <c r="R3964" s="5">
        <v>8046.7106309763258</v>
      </c>
    </row>
    <row r="3965" spans="9:18">
      <c r="I3965" s="4">
        <v>3950</v>
      </c>
      <c r="J3965" s="5">
        <v>14710.037865351254</v>
      </c>
      <c r="K3965" s="5">
        <v>15631.937142257386</v>
      </c>
      <c r="L3965" s="5">
        <v>23561.450544884348</v>
      </c>
      <c r="M3965" s="5">
        <v>19890.009981657669</v>
      </c>
      <c r="N3965" s="5">
        <v>12592.300437162297</v>
      </c>
      <c r="O3965" s="5">
        <v>10746.295275180995</v>
      </c>
      <c r="P3965" s="5">
        <v>12639.596794453437</v>
      </c>
      <c r="Q3965" s="5">
        <v>48756.323642664109</v>
      </c>
      <c r="R3965" s="5">
        <v>123773.40402252052</v>
      </c>
    </row>
    <row r="3966" spans="9:18">
      <c r="I3966" s="4">
        <v>3951</v>
      </c>
      <c r="J3966" s="5">
        <v>17005.744061105343</v>
      </c>
      <c r="K3966" s="5">
        <v>15768.312122029349</v>
      </c>
      <c r="L3966" s="5">
        <v>19078.910217042379</v>
      </c>
      <c r="M3966" s="5">
        <v>21072.983263501868</v>
      </c>
      <c r="N3966" s="5">
        <v>12523.573732460784</v>
      </c>
      <c r="O3966" s="5">
        <v>16505.600261180331</v>
      </c>
      <c r="P3966" s="5">
        <v>63015.124693769802</v>
      </c>
      <c r="Q3966" s="5">
        <v>31618.396253255491</v>
      </c>
      <c r="R3966" s="5">
        <v>81423.874800517297</v>
      </c>
    </row>
    <row r="3967" spans="9:18">
      <c r="I3967" s="4">
        <v>3952</v>
      </c>
      <c r="J3967" s="5">
        <v>19467.17453557903</v>
      </c>
      <c r="K3967" s="5">
        <v>18218.584572172625</v>
      </c>
      <c r="L3967" s="5">
        <v>14175.160754078657</v>
      </c>
      <c r="M3967" s="5">
        <v>29041.83725675238</v>
      </c>
      <c r="N3967" s="5">
        <v>59876.136849941562</v>
      </c>
      <c r="O3967" s="5">
        <v>16826.763259351828</v>
      </c>
      <c r="P3967" s="5">
        <v>39054.462981000084</v>
      </c>
      <c r="Q3967" s="5">
        <v>70295.978314632754</v>
      </c>
      <c r="R3967" s="5">
        <v>123773.40402252052</v>
      </c>
    </row>
    <row r="3968" spans="9:18">
      <c r="I3968" s="4">
        <v>3953</v>
      </c>
      <c r="J3968" s="5">
        <v>16305.770155972396</v>
      </c>
      <c r="K3968" s="5">
        <v>14878.52734402675</v>
      </c>
      <c r="L3968" s="5">
        <v>15664.99858445921</v>
      </c>
      <c r="M3968" s="5">
        <v>21072.983263501868</v>
      </c>
      <c r="N3968" s="5">
        <v>14335.478134989447</v>
      </c>
      <c r="O3968" s="5">
        <v>31172.963108652857</v>
      </c>
      <c r="P3968" s="5">
        <v>21039.927746191301</v>
      </c>
      <c r="Q3968" s="5">
        <v>16803.875627203233</v>
      </c>
      <c r="R3968" s="5">
        <v>122304.95880137496</v>
      </c>
    </row>
    <row r="3969" spans="9:18">
      <c r="I3969" s="4">
        <v>3954</v>
      </c>
      <c r="J3969" s="5">
        <v>20768.286261788198</v>
      </c>
      <c r="K3969" s="5">
        <v>23327.217259521742</v>
      </c>
      <c r="L3969" s="5">
        <v>16451.333928028147</v>
      </c>
      <c r="M3969" s="5">
        <v>21712.71007234112</v>
      </c>
      <c r="N3969" s="5">
        <v>15658.063692994532</v>
      </c>
      <c r="O3969" s="5">
        <v>32474.063027682765</v>
      </c>
      <c r="P3969" s="5">
        <v>25258.981945036445</v>
      </c>
      <c r="Q3969" s="5">
        <v>19541.409060825732</v>
      </c>
      <c r="R3969" s="5">
        <v>55106.806585409526</v>
      </c>
    </row>
    <row r="3970" spans="9:18">
      <c r="I3970" s="4">
        <v>3955</v>
      </c>
      <c r="J3970" s="5">
        <v>20768.286261788198</v>
      </c>
      <c r="K3970" s="5">
        <v>14854.898507619706</v>
      </c>
      <c r="L3970" s="5">
        <v>16777.996633299583</v>
      </c>
      <c r="M3970" s="5">
        <v>10451.914120098167</v>
      </c>
      <c r="N3970" s="5">
        <v>11952.903761138405</v>
      </c>
      <c r="O3970" s="5">
        <v>33720.545907536376</v>
      </c>
      <c r="P3970" s="5">
        <v>27820.721938889761</v>
      </c>
      <c r="Q3970" s="5">
        <v>43417.41805414496</v>
      </c>
      <c r="R3970" s="5">
        <v>17687.533637716911</v>
      </c>
    </row>
    <row r="3971" spans="9:18">
      <c r="I3971" s="4">
        <v>3956</v>
      </c>
      <c r="J3971" s="5">
        <v>22188.291830993156</v>
      </c>
      <c r="K3971" s="5">
        <v>17495.743706488822</v>
      </c>
      <c r="L3971" s="5">
        <v>22162.138529251199</v>
      </c>
      <c r="M3971" s="5">
        <v>13414.385151739983</v>
      </c>
      <c r="N3971" s="5">
        <v>15804.474686449519</v>
      </c>
      <c r="O3971" s="5">
        <v>33720.545907536376</v>
      </c>
      <c r="P3971" s="5">
        <v>8877.9712092977989</v>
      </c>
      <c r="Q3971" s="5">
        <v>12253.299944531094</v>
      </c>
      <c r="R3971" s="5">
        <v>13258.538726001538</v>
      </c>
    </row>
    <row r="3972" spans="9:18">
      <c r="I3972" s="4">
        <v>3957</v>
      </c>
      <c r="J3972" s="5">
        <v>13663.281817546009</v>
      </c>
      <c r="K3972" s="5">
        <v>15129.619337591721</v>
      </c>
      <c r="L3972" s="5">
        <v>15764.107424863063</v>
      </c>
      <c r="M3972" s="5">
        <v>19042.78605337895</v>
      </c>
      <c r="N3972" s="5">
        <v>23043.345403059295</v>
      </c>
      <c r="O3972" s="5">
        <v>25644.588869829797</v>
      </c>
      <c r="P3972" s="5">
        <v>10733.318076105543</v>
      </c>
      <c r="Q3972" s="5">
        <v>116445.46783345108</v>
      </c>
      <c r="R3972" s="5">
        <v>3989.7956692889929</v>
      </c>
    </row>
    <row r="3973" spans="9:18">
      <c r="I3973" s="4">
        <v>3958</v>
      </c>
      <c r="J3973" s="5">
        <v>19048.674633640545</v>
      </c>
      <c r="K3973" s="5">
        <v>14579.232378315752</v>
      </c>
      <c r="L3973" s="5">
        <v>13023.361770761438</v>
      </c>
      <c r="M3973" s="5">
        <v>19097.39635881727</v>
      </c>
      <c r="N3973" s="5">
        <v>35826.921212852278</v>
      </c>
      <c r="O3973" s="5">
        <v>94068.324736096256</v>
      </c>
      <c r="P3973" s="5">
        <v>10180.109839011631</v>
      </c>
      <c r="Q3973" s="5">
        <v>70295.978314632754</v>
      </c>
      <c r="R3973" s="5">
        <v>41418.225609677866</v>
      </c>
    </row>
    <row r="3974" spans="9:18">
      <c r="I3974" s="4">
        <v>3959</v>
      </c>
      <c r="J3974" s="5">
        <v>28169.050633834027</v>
      </c>
      <c r="K3974" s="5">
        <v>14587.813833513306</v>
      </c>
      <c r="L3974" s="5">
        <v>10752.183901283248</v>
      </c>
      <c r="M3974" s="5">
        <v>32751.734100446065</v>
      </c>
      <c r="N3974" s="5">
        <v>22868.569282757788</v>
      </c>
      <c r="O3974" s="5">
        <v>40581.847217937895</v>
      </c>
      <c r="P3974" s="5">
        <v>21933.779100635442</v>
      </c>
      <c r="Q3974" s="5">
        <v>53055.59182561023</v>
      </c>
      <c r="R3974" s="5">
        <v>39263.770877572199</v>
      </c>
    </row>
    <row r="3975" spans="9:18">
      <c r="I3975" s="4">
        <v>3960</v>
      </c>
      <c r="J3975" s="5">
        <v>15417.870921574262</v>
      </c>
      <c r="K3975" s="5">
        <v>6949.5708823216592</v>
      </c>
      <c r="L3975" s="5">
        <v>15759.954187048656</v>
      </c>
      <c r="M3975" s="5">
        <v>13139.022167648376</v>
      </c>
      <c r="N3975" s="5">
        <v>19125.360074567652</v>
      </c>
      <c r="O3975" s="5">
        <v>45451.954570113048</v>
      </c>
      <c r="P3975" s="5">
        <v>36724.352187786957</v>
      </c>
      <c r="Q3975" s="5">
        <v>56069.347629295014</v>
      </c>
      <c r="R3975" s="5">
        <v>2180.6148629084787</v>
      </c>
    </row>
    <row r="3976" spans="9:18">
      <c r="I3976" s="4">
        <v>3961</v>
      </c>
      <c r="J3976" s="5">
        <v>33627.941293959229</v>
      </c>
      <c r="K3976" s="5">
        <v>14497.035717129334</v>
      </c>
      <c r="L3976" s="5">
        <v>14364.472927446199</v>
      </c>
      <c r="M3976" s="5">
        <v>12934.591863415189</v>
      </c>
      <c r="N3976" s="5">
        <v>20583.564383988036</v>
      </c>
      <c r="O3976" s="5">
        <v>16826.763259351828</v>
      </c>
      <c r="P3976" s="5">
        <v>44646.134934589521</v>
      </c>
      <c r="Q3976" s="5">
        <v>13214.632802255031</v>
      </c>
      <c r="R3976" s="5">
        <v>96845.299789249824</v>
      </c>
    </row>
    <row r="3977" spans="9:18">
      <c r="I3977" s="4">
        <v>3962</v>
      </c>
      <c r="J3977" s="5">
        <v>28590.354879265724</v>
      </c>
      <c r="K3977" s="5">
        <v>13520.836427679104</v>
      </c>
      <c r="L3977" s="5">
        <v>25389.332759288587</v>
      </c>
      <c r="M3977" s="5">
        <v>12934.591863415189</v>
      </c>
      <c r="N3977" s="5">
        <v>15786.177386596903</v>
      </c>
      <c r="O3977" s="5">
        <v>8801.3667015774663</v>
      </c>
      <c r="P3977" s="5">
        <v>14773.185437294762</v>
      </c>
      <c r="Q3977" s="5">
        <v>31019.493883163672</v>
      </c>
      <c r="R3977" s="5">
        <v>216919.53009911609</v>
      </c>
    </row>
    <row r="3978" spans="9:18">
      <c r="I3978" s="4">
        <v>3963</v>
      </c>
      <c r="J3978" s="5">
        <v>26634.853073396614</v>
      </c>
      <c r="K3978" s="5">
        <v>12423.491400404893</v>
      </c>
      <c r="L3978" s="5">
        <v>24256.352541181568</v>
      </c>
      <c r="M3978" s="5">
        <v>19430.369425783585</v>
      </c>
      <c r="N3978" s="5">
        <v>22010.718648995869</v>
      </c>
      <c r="O3978" s="5">
        <v>25802.481365323994</v>
      </c>
      <c r="P3978" s="5">
        <v>48123.003747643132</v>
      </c>
      <c r="Q3978" s="5">
        <v>13865.641566869812</v>
      </c>
      <c r="R3978" s="5">
        <v>5865.9802599669383</v>
      </c>
    </row>
    <row r="3979" spans="9:18">
      <c r="I3979" s="4">
        <v>3964</v>
      </c>
      <c r="J3979" s="5">
        <v>14750.660273177687</v>
      </c>
      <c r="K3979" s="5">
        <v>15698.764831033119</v>
      </c>
      <c r="L3979" s="5">
        <v>15759.954187048656</v>
      </c>
      <c r="M3979" s="5">
        <v>26477.996319655329</v>
      </c>
      <c r="N3979" s="5">
        <v>12592.300437162297</v>
      </c>
      <c r="O3979" s="5">
        <v>35286.662852302201</v>
      </c>
      <c r="P3979" s="5">
        <v>23769.190223735484</v>
      </c>
      <c r="Q3979" s="5">
        <v>30495.121067047665</v>
      </c>
      <c r="R3979" s="5">
        <v>54594.567438884274</v>
      </c>
    </row>
    <row r="3980" spans="9:18">
      <c r="I3980" s="4">
        <v>3965</v>
      </c>
      <c r="J3980" s="5">
        <v>21150.169973104224</v>
      </c>
      <c r="K3980" s="5">
        <v>14674.169276244838</v>
      </c>
      <c r="L3980" s="5">
        <v>17482.478480142941</v>
      </c>
      <c r="M3980" s="5">
        <v>22326.253555179093</v>
      </c>
      <c r="N3980" s="5">
        <v>23998.040874392525</v>
      </c>
      <c r="O3980" s="5">
        <v>13117.417685535194</v>
      </c>
      <c r="P3980" s="5">
        <v>32167.874670939738</v>
      </c>
      <c r="Q3980" s="5">
        <v>15623.622662102793</v>
      </c>
      <c r="R3980" s="5">
        <v>302760.11878714536</v>
      </c>
    </row>
    <row r="3981" spans="9:18">
      <c r="I3981" s="4">
        <v>3966</v>
      </c>
      <c r="J3981" s="5">
        <v>31559.699247539775</v>
      </c>
      <c r="K3981" s="5">
        <v>14136.873097602549</v>
      </c>
      <c r="L3981" s="5">
        <v>19189.275558866306</v>
      </c>
      <c r="M3981" s="5">
        <v>20550.782384061673</v>
      </c>
      <c r="N3981" s="5">
        <v>9989.086510768735</v>
      </c>
      <c r="O3981" s="5">
        <v>13966.178986479143</v>
      </c>
      <c r="P3981" s="5">
        <v>26126.807131356076</v>
      </c>
      <c r="Q3981" s="5">
        <v>47365.380972950254</v>
      </c>
      <c r="R3981" s="5">
        <v>7118.1729476780347</v>
      </c>
    </row>
    <row r="3982" spans="9:18">
      <c r="I3982" s="4">
        <v>3967</v>
      </c>
      <c r="J3982" s="5">
        <v>16145.071869702888</v>
      </c>
      <c r="K3982" s="5">
        <v>17903.387243834499</v>
      </c>
      <c r="L3982" s="5">
        <v>18215.751370765771</v>
      </c>
      <c r="M3982" s="5">
        <v>32751.734100446065</v>
      </c>
      <c r="N3982" s="5">
        <v>15251.140047572881</v>
      </c>
      <c r="O3982" s="5">
        <v>5444.7598502623823</v>
      </c>
      <c r="P3982" s="5">
        <v>8662.4232458952465</v>
      </c>
      <c r="Q3982" s="5">
        <v>37073.980790337926</v>
      </c>
      <c r="R3982" s="5">
        <v>12130.167062525341</v>
      </c>
    </row>
    <row r="3983" spans="9:18">
      <c r="I3983" s="4">
        <v>3968</v>
      </c>
      <c r="J3983" s="5">
        <v>16156.372629961115</v>
      </c>
      <c r="K3983" s="5">
        <v>16273.14570113692</v>
      </c>
      <c r="L3983" s="5">
        <v>16293.265064857471</v>
      </c>
      <c r="M3983" s="5">
        <v>13139.022167648376</v>
      </c>
      <c r="N3983" s="5">
        <v>24769.339976495565</v>
      </c>
      <c r="O3983" s="5">
        <v>6199.3195463515376</v>
      </c>
      <c r="P3983" s="5">
        <v>5836.7810663002319</v>
      </c>
      <c r="Q3983" s="5">
        <v>17493.456269945855</v>
      </c>
      <c r="R3983" s="5">
        <v>54594.567438884274</v>
      </c>
    </row>
    <row r="3984" spans="9:18">
      <c r="I3984" s="4">
        <v>3969</v>
      </c>
      <c r="J3984" s="5">
        <v>11854.381651026555</v>
      </c>
      <c r="K3984" s="5">
        <v>16605.655749562578</v>
      </c>
      <c r="L3984" s="5">
        <v>15225.811035017256</v>
      </c>
      <c r="M3984" s="5">
        <v>10142.860128720422</v>
      </c>
      <c r="N3984" s="5">
        <v>12297.015342318469</v>
      </c>
      <c r="O3984" s="5">
        <v>16572.483389649329</v>
      </c>
      <c r="P3984" s="5">
        <v>18862.487147419793</v>
      </c>
      <c r="Q3984" s="5">
        <v>53055.59182561023</v>
      </c>
      <c r="R3984" s="5">
        <v>33863.04333215439</v>
      </c>
    </row>
    <row r="3985" spans="9:18">
      <c r="I3985" s="4">
        <v>3970</v>
      </c>
      <c r="J3985" s="5">
        <v>23517.429992060665</v>
      </c>
      <c r="K3985" s="5">
        <v>12777.667398488715</v>
      </c>
      <c r="L3985" s="5">
        <v>24256.352541181568</v>
      </c>
      <c r="M3985" s="5">
        <v>15586.009710351766</v>
      </c>
      <c r="N3985" s="5">
        <v>25424.029865101274</v>
      </c>
      <c r="O3985" s="5">
        <v>55264.438774006347</v>
      </c>
      <c r="P3985" s="5">
        <v>32167.874670939738</v>
      </c>
      <c r="Q3985" s="5">
        <v>42044.890065817184</v>
      </c>
      <c r="R3985" s="5">
        <v>7879.038918914337</v>
      </c>
    </row>
    <row r="3986" spans="9:18">
      <c r="I3986" s="4">
        <v>3971</v>
      </c>
      <c r="J3986" s="5">
        <v>13391.049101507895</v>
      </c>
      <c r="K3986" s="5">
        <v>10931.803935361211</v>
      </c>
      <c r="L3986" s="5">
        <v>14146.191653372813</v>
      </c>
      <c r="M3986" s="5">
        <v>29834.240613550006</v>
      </c>
      <c r="N3986" s="5">
        <v>23283.854578052265</v>
      </c>
      <c r="O3986" s="5">
        <v>55264.438774006347</v>
      </c>
      <c r="P3986" s="5">
        <v>14327.191387816954</v>
      </c>
      <c r="Q3986" s="5">
        <v>19315.033835554255</v>
      </c>
      <c r="R3986" s="5">
        <v>87776.138236389699</v>
      </c>
    </row>
    <row r="3987" spans="9:18">
      <c r="I3987" s="4">
        <v>3972</v>
      </c>
      <c r="J3987" s="5">
        <v>12035.382213755307</v>
      </c>
      <c r="K3987" s="5">
        <v>95171.967522309933</v>
      </c>
      <c r="L3987" s="5">
        <v>16616.161224349555</v>
      </c>
      <c r="M3987" s="5">
        <v>29041.83725675238</v>
      </c>
      <c r="N3987" s="5">
        <v>22868.569282757788</v>
      </c>
      <c r="O3987" s="5">
        <v>30876.675913171162</v>
      </c>
      <c r="P3987" s="5">
        <v>95486.196907583406</v>
      </c>
      <c r="Q3987" s="5">
        <v>13214.632802255031</v>
      </c>
      <c r="R3987" s="5">
        <v>20303.08745527079</v>
      </c>
    </row>
    <row r="3988" spans="9:18">
      <c r="I3988" s="4">
        <v>3973</v>
      </c>
      <c r="J3988" s="5">
        <v>14741.240040396578</v>
      </c>
      <c r="K3988" s="5">
        <v>14017.262946034314</v>
      </c>
      <c r="L3988" s="5">
        <v>16955.349467865559</v>
      </c>
      <c r="M3988" s="5">
        <v>14217.48832834715</v>
      </c>
      <c r="N3988" s="5">
        <v>29468.83360104046</v>
      </c>
      <c r="O3988" s="5">
        <v>24258.192244316608</v>
      </c>
      <c r="P3988" s="5">
        <v>14327.191387816954</v>
      </c>
      <c r="Q3988" s="5">
        <v>12451.066014448154</v>
      </c>
      <c r="R3988" s="5">
        <v>17687.533637716911</v>
      </c>
    </row>
    <row r="3989" spans="9:18">
      <c r="I3989" s="4">
        <v>3974</v>
      </c>
      <c r="J3989" s="5">
        <v>11936.262457073821</v>
      </c>
      <c r="K3989" s="5">
        <v>11507.182177474708</v>
      </c>
      <c r="L3989" s="5">
        <v>17920.486090689363</v>
      </c>
      <c r="M3989" s="5">
        <v>7334.8610818348589</v>
      </c>
      <c r="N3989" s="5">
        <v>45581.602064432409</v>
      </c>
      <c r="O3989" s="5">
        <v>27508.313315384185</v>
      </c>
      <c r="P3989" s="5">
        <v>34768.042801665702</v>
      </c>
      <c r="Q3989" s="5">
        <v>31019.493883163672</v>
      </c>
      <c r="R3989" s="5">
        <v>40368.364083205248</v>
      </c>
    </row>
    <row r="3990" spans="9:18">
      <c r="I3990" s="4">
        <v>3975</v>
      </c>
      <c r="J3990" s="5">
        <v>15130.594750069789</v>
      </c>
      <c r="K3990" s="5">
        <v>11558.357574452555</v>
      </c>
      <c r="L3990" s="5">
        <v>15764.107424863063</v>
      </c>
      <c r="M3990" s="5">
        <v>19151.339770278159</v>
      </c>
      <c r="N3990" s="5">
        <v>20292.069765667391</v>
      </c>
      <c r="O3990" s="5">
        <v>16572.483389649329</v>
      </c>
      <c r="P3990" s="5">
        <v>27708.613526855763</v>
      </c>
      <c r="Q3990" s="5">
        <v>53055.59182561023</v>
      </c>
      <c r="R3990" s="5">
        <v>6360.7905155660001</v>
      </c>
    </row>
    <row r="3991" spans="9:18">
      <c r="I3991" s="4">
        <v>3976</v>
      </c>
      <c r="J3991" s="5">
        <v>15064.079707240266</v>
      </c>
      <c r="K3991" s="5">
        <v>13652.224205833634</v>
      </c>
      <c r="L3991" s="5">
        <v>15471.738323660695</v>
      </c>
      <c r="M3991" s="5">
        <v>16881.579299055</v>
      </c>
      <c r="N3991" s="5">
        <v>23998.040874392525</v>
      </c>
      <c r="O3991" s="5">
        <v>19430.912633256889</v>
      </c>
      <c r="P3991" s="5">
        <v>14376.883105731285</v>
      </c>
      <c r="Q3991" s="5">
        <v>37497.234505125656</v>
      </c>
      <c r="R3991" s="5">
        <v>114016.93673542379</v>
      </c>
    </row>
    <row r="3992" spans="9:18">
      <c r="I3992" s="4">
        <v>3977</v>
      </c>
      <c r="J3992" s="5">
        <v>17679.321624063952</v>
      </c>
      <c r="K3992" s="5">
        <v>15129.619337591721</v>
      </c>
      <c r="L3992" s="5">
        <v>16472.138192556791</v>
      </c>
      <c r="M3992" s="5">
        <v>21833.004790208965</v>
      </c>
      <c r="N3992" s="5">
        <v>15804.474686449519</v>
      </c>
      <c r="O3992" s="5">
        <v>26268.613803794757</v>
      </c>
      <c r="P3992" s="5">
        <v>33715.790977629549</v>
      </c>
      <c r="Q3992" s="5">
        <v>17153.530968450712</v>
      </c>
      <c r="R3992" s="5">
        <v>89167.415757270224</v>
      </c>
    </row>
    <row r="3993" spans="9:18">
      <c r="I3993" s="4">
        <v>3978</v>
      </c>
      <c r="J3993" s="5">
        <v>22370.105711697011</v>
      </c>
      <c r="K3993" s="5">
        <v>14674.169276244838</v>
      </c>
      <c r="L3993" s="5">
        <v>16616.161224349555</v>
      </c>
      <c r="M3993" s="5">
        <v>33862.836621974391</v>
      </c>
      <c r="N3993" s="5">
        <v>9209.4418830788036</v>
      </c>
      <c r="O3993" s="5">
        <v>9956.4031238965053</v>
      </c>
      <c r="P3993" s="5">
        <v>74840.036182179319</v>
      </c>
      <c r="Q3993" s="5">
        <v>15663.43865741136</v>
      </c>
      <c r="R3993" s="5">
        <v>216919.53009911609</v>
      </c>
    </row>
    <row r="3994" spans="9:18">
      <c r="I3994" s="4">
        <v>3979</v>
      </c>
      <c r="J3994" s="5">
        <v>14538.277247583976</v>
      </c>
      <c r="K3994" s="5">
        <v>16605.655749562578</v>
      </c>
      <c r="L3994" s="5">
        <v>10752.183901283248</v>
      </c>
      <c r="M3994" s="5">
        <v>23913.435663027711</v>
      </c>
      <c r="N3994" s="5">
        <v>11788.341482962171</v>
      </c>
      <c r="O3994" s="5">
        <v>16524.769946939996</v>
      </c>
      <c r="P3994" s="5">
        <v>54292.749740228588</v>
      </c>
      <c r="Q3994" s="5">
        <v>11173.074396969254</v>
      </c>
      <c r="R3994" s="5">
        <v>51141.799458534304</v>
      </c>
    </row>
    <row r="3995" spans="9:18">
      <c r="I3995" s="4">
        <v>3980</v>
      </c>
      <c r="J3995" s="5">
        <v>9405.362381917912</v>
      </c>
      <c r="K3995" s="5">
        <v>13652.224205833634</v>
      </c>
      <c r="L3995" s="5">
        <v>10896.494237357269</v>
      </c>
      <c r="M3995" s="5">
        <v>13139.022167648376</v>
      </c>
      <c r="N3995" s="5">
        <v>11635.644856128632</v>
      </c>
      <c r="O3995" s="5">
        <v>53007.660727727191</v>
      </c>
      <c r="P3995" s="5">
        <v>16072.735485912413</v>
      </c>
      <c r="Q3995" s="5">
        <v>15623.622662102793</v>
      </c>
      <c r="R3995" s="5">
        <v>84289.422255274636</v>
      </c>
    </row>
    <row r="3996" spans="9:18">
      <c r="I3996" s="4">
        <v>3981</v>
      </c>
      <c r="J3996" s="5">
        <v>14680.308400328413</v>
      </c>
      <c r="K3996" s="5">
        <v>18086.448513145526</v>
      </c>
      <c r="L3996" s="5">
        <v>14175.160754078657</v>
      </c>
      <c r="M3996" s="5">
        <v>18691.941789825862</v>
      </c>
      <c r="N3996" s="5">
        <v>14921.795973817481</v>
      </c>
      <c r="O3996" s="5">
        <v>30656.031716467984</v>
      </c>
      <c r="P3996" s="5">
        <v>16650.229067545235</v>
      </c>
      <c r="Q3996" s="5">
        <v>25156.033327562815</v>
      </c>
      <c r="R3996" s="5">
        <v>18720.450716365784</v>
      </c>
    </row>
    <row r="3997" spans="9:18">
      <c r="I3997" s="4">
        <v>3982</v>
      </c>
      <c r="J3997" s="5">
        <v>16733.020222212988</v>
      </c>
      <c r="K3997" s="5">
        <v>95171.967522309933</v>
      </c>
      <c r="L3997" s="5">
        <v>19078.910217042379</v>
      </c>
      <c r="M3997" s="5">
        <v>23515.935489506261</v>
      </c>
      <c r="N3997" s="5">
        <v>22010.718648995869</v>
      </c>
      <c r="O3997" s="5">
        <v>11282.178219986479</v>
      </c>
      <c r="P3997" s="5">
        <v>17737.38315098183</v>
      </c>
      <c r="Q3997" s="5">
        <v>92068.726035424203</v>
      </c>
      <c r="R3997" s="5">
        <v>3989.7956692889929</v>
      </c>
    </row>
    <row r="3998" spans="9:18">
      <c r="I3998" s="4">
        <v>3983</v>
      </c>
      <c r="J3998" s="5">
        <v>9405.362381917912</v>
      </c>
      <c r="K3998" s="5">
        <v>17903.387243834499</v>
      </c>
      <c r="L3998" s="5">
        <v>19359.475411188432</v>
      </c>
      <c r="M3998" s="5">
        <v>37411.178129764201</v>
      </c>
      <c r="N3998" s="5">
        <v>11751.639947035985</v>
      </c>
      <c r="O3998" s="5">
        <v>41800.463215706819</v>
      </c>
      <c r="P3998" s="5">
        <v>34814.458119125498</v>
      </c>
      <c r="Q3998" s="5">
        <v>100789.83462564547</v>
      </c>
      <c r="R3998" s="5">
        <v>216919.53009911609</v>
      </c>
    </row>
    <row r="3999" spans="9:18">
      <c r="I3999" s="4">
        <v>3984</v>
      </c>
      <c r="J3999" s="5">
        <v>31559.699247539775</v>
      </c>
      <c r="K3999" s="5">
        <v>18218.584572172625</v>
      </c>
      <c r="L3999" s="5">
        <v>14175.160754078657</v>
      </c>
      <c r="M3999" s="5">
        <v>42282.977640783138</v>
      </c>
      <c r="N3999" s="5">
        <v>15658.063692994532</v>
      </c>
      <c r="O3999" s="5">
        <v>25802.481365323994</v>
      </c>
      <c r="P3999" s="5">
        <v>9826.8369575407578</v>
      </c>
      <c r="Q3999" s="5">
        <v>92068.726035424203</v>
      </c>
      <c r="R3999" s="5">
        <v>8105.1944146993656</v>
      </c>
    </row>
    <row r="4000" spans="9:18">
      <c r="I4000" s="4">
        <v>3985</v>
      </c>
      <c r="J4000" s="5">
        <v>12701.339251949787</v>
      </c>
      <c r="K4000" s="5">
        <v>14021.934268028277</v>
      </c>
      <c r="L4000" s="5">
        <v>13867.07093008449</v>
      </c>
      <c r="M4000" s="5">
        <v>16881.579299055</v>
      </c>
      <c r="N4000" s="5">
        <v>14335.478134989447</v>
      </c>
      <c r="O4000" s="5">
        <v>5444.7598502623823</v>
      </c>
      <c r="P4000" s="5">
        <v>8662.4232458952465</v>
      </c>
      <c r="Q4000" s="5">
        <v>47365.380972950254</v>
      </c>
      <c r="R4000" s="5">
        <v>182942.88598316166</v>
      </c>
    </row>
    <row r="4001" spans="9:18">
      <c r="I4001" s="4">
        <v>3986</v>
      </c>
      <c r="J4001" s="5">
        <v>9368.8270679249108</v>
      </c>
      <c r="K4001" s="5">
        <v>34058.671324159091</v>
      </c>
      <c r="L4001" s="5">
        <v>14364.472927446199</v>
      </c>
      <c r="M4001" s="5">
        <v>11529.920007560097</v>
      </c>
      <c r="N4001" s="5">
        <v>35826.921212852278</v>
      </c>
      <c r="O4001" s="5">
        <v>20930.098352661731</v>
      </c>
      <c r="P4001" s="5">
        <v>41657.50350099193</v>
      </c>
      <c r="Q4001" s="5">
        <v>21421.044775857536</v>
      </c>
      <c r="R4001" s="5">
        <v>84289.422255274636</v>
      </c>
    </row>
    <row r="4002" spans="9:18">
      <c r="I4002" s="4">
        <v>3987</v>
      </c>
      <c r="J4002" s="5">
        <v>16156.372629961115</v>
      </c>
      <c r="K4002" s="5">
        <v>23327.217259521742</v>
      </c>
      <c r="L4002" s="5">
        <v>16616.161224349555</v>
      </c>
      <c r="M4002" s="5">
        <v>32497.510405113037</v>
      </c>
      <c r="N4002" s="5">
        <v>48565.498233359976</v>
      </c>
      <c r="O4002" s="5">
        <v>20721.57544042755</v>
      </c>
      <c r="P4002" s="5">
        <v>20391.123772341358</v>
      </c>
      <c r="Q4002" s="5">
        <v>100789.83462564547</v>
      </c>
      <c r="R4002" s="5">
        <v>3433.6677391851467</v>
      </c>
    </row>
    <row r="4003" spans="9:18">
      <c r="I4003" s="4">
        <v>3988</v>
      </c>
      <c r="J4003" s="5">
        <v>14344.692898101612</v>
      </c>
      <c r="K4003" s="5">
        <v>53937.689698015136</v>
      </c>
      <c r="L4003" s="5">
        <v>16777.996633299583</v>
      </c>
      <c r="M4003" s="5">
        <v>16842.379179328669</v>
      </c>
      <c r="N4003" s="5">
        <v>36962.805083900916</v>
      </c>
      <c r="O4003" s="5">
        <v>15124.35050053727</v>
      </c>
      <c r="P4003" s="5">
        <v>17737.38315098183</v>
      </c>
      <c r="Q4003" s="5">
        <v>37277.391668005912</v>
      </c>
      <c r="R4003" s="5">
        <v>44707.053087992797</v>
      </c>
    </row>
    <row r="4004" spans="9:18">
      <c r="I4004" s="4">
        <v>3989</v>
      </c>
      <c r="J4004" s="5">
        <v>16459.003095225507</v>
      </c>
      <c r="K4004" s="5">
        <v>14497.035717129334</v>
      </c>
      <c r="L4004" s="5">
        <v>23561.450544884348</v>
      </c>
      <c r="M4004" s="5">
        <v>22326.253555179093</v>
      </c>
      <c r="N4004" s="5">
        <v>11635.644856128632</v>
      </c>
      <c r="O4004" s="5">
        <v>94068.324736096256</v>
      </c>
      <c r="P4004" s="5">
        <v>33500.490132682797</v>
      </c>
      <c r="Q4004" s="5">
        <v>116445.46783345108</v>
      </c>
      <c r="R4004" s="5">
        <v>39788.288251916689</v>
      </c>
    </row>
    <row r="4005" spans="9:18">
      <c r="I4005" s="4">
        <v>3990</v>
      </c>
      <c r="J4005" s="5">
        <v>12888.204629170894</v>
      </c>
      <c r="K4005" s="5">
        <v>13719.930466819731</v>
      </c>
      <c r="L4005" s="5">
        <v>34748.877779456467</v>
      </c>
      <c r="M4005" s="5">
        <v>14660.631931099009</v>
      </c>
      <c r="N4005" s="5">
        <v>18410.937863650517</v>
      </c>
      <c r="O4005" s="5">
        <v>41653.890350944224</v>
      </c>
      <c r="P4005" s="5">
        <v>9633.1652908310007</v>
      </c>
      <c r="Q4005" s="5">
        <v>4631.7430487757983</v>
      </c>
      <c r="R4005" s="5">
        <v>55012.315589742022</v>
      </c>
    </row>
    <row r="4006" spans="9:18">
      <c r="I4006" s="4">
        <v>3991</v>
      </c>
      <c r="J4006" s="5">
        <v>15873.12561080002</v>
      </c>
      <c r="K4006" s="5">
        <v>12026.500118162745</v>
      </c>
      <c r="L4006" s="5">
        <v>15759.954187048656</v>
      </c>
      <c r="M4006" s="5">
        <v>15586.009710351766</v>
      </c>
      <c r="N4006" s="5">
        <v>9209.4418830788036</v>
      </c>
      <c r="O4006" s="5">
        <v>15124.35050053727</v>
      </c>
      <c r="P4006" s="5">
        <v>33500.490132682797</v>
      </c>
      <c r="Q4006" s="5">
        <v>31902.904306425251</v>
      </c>
      <c r="R4006" s="5">
        <v>18230.645544621442</v>
      </c>
    </row>
    <row r="4007" spans="9:18">
      <c r="I4007" s="4">
        <v>3992</v>
      </c>
      <c r="J4007" s="5">
        <v>13447.638004246244</v>
      </c>
      <c r="K4007" s="5">
        <v>29672.680843304515</v>
      </c>
      <c r="L4007" s="5">
        <v>16014.071850041886</v>
      </c>
      <c r="M4007" s="5">
        <v>29058.117767351498</v>
      </c>
      <c r="N4007" s="5">
        <v>51261.622558090799</v>
      </c>
      <c r="O4007" s="5">
        <v>16524.769946939996</v>
      </c>
      <c r="P4007" s="5">
        <v>45161.732159568586</v>
      </c>
      <c r="Q4007" s="5">
        <v>22483.395143121877</v>
      </c>
      <c r="R4007" s="5">
        <v>7879.038918914337</v>
      </c>
    </row>
    <row r="4008" spans="9:18">
      <c r="I4008" s="4">
        <v>3993</v>
      </c>
      <c r="J4008" s="5">
        <v>29760.443016608337</v>
      </c>
      <c r="K4008" s="5">
        <v>16934.093371663999</v>
      </c>
      <c r="L4008" s="5">
        <v>24256.352541181568</v>
      </c>
      <c r="M4008" s="5">
        <v>19890.009981657669</v>
      </c>
      <c r="N4008" s="5">
        <v>28426.778914975595</v>
      </c>
      <c r="O4008" s="5">
        <v>25802.481365323994</v>
      </c>
      <c r="P4008" s="5">
        <v>16072.735485912413</v>
      </c>
      <c r="Q4008" s="5">
        <v>42044.890065817184</v>
      </c>
      <c r="R4008" s="5">
        <v>20303.08745527079</v>
      </c>
    </row>
    <row r="4009" spans="9:18">
      <c r="I4009" s="4">
        <v>3994</v>
      </c>
      <c r="J4009" s="5">
        <v>45301.532027110363</v>
      </c>
      <c r="K4009" s="5">
        <v>15698.764831033119</v>
      </c>
      <c r="L4009" s="5">
        <v>14364.472927446199</v>
      </c>
      <c r="M4009" s="5">
        <v>19262.243095117232</v>
      </c>
      <c r="N4009" s="5">
        <v>12297.015342318469</v>
      </c>
      <c r="O4009" s="5">
        <v>79848.944504816522</v>
      </c>
      <c r="P4009" s="5">
        <v>41657.50350099193</v>
      </c>
      <c r="Q4009" s="5">
        <v>9652.8114206999071</v>
      </c>
      <c r="R4009" s="5">
        <v>16039.216896723072</v>
      </c>
    </row>
    <row r="4010" spans="9:18">
      <c r="I4010" s="4">
        <v>3995</v>
      </c>
      <c r="J4010" s="5">
        <v>27392.038553726634</v>
      </c>
      <c r="K4010" s="5">
        <v>11403.533194020869</v>
      </c>
      <c r="L4010" s="5">
        <v>17845.207337527903</v>
      </c>
      <c r="M4010" s="5">
        <v>17370.588707072598</v>
      </c>
      <c r="N4010" s="5">
        <v>23008.246229813707</v>
      </c>
      <c r="O4010" s="5">
        <v>30656.031716467984</v>
      </c>
      <c r="P4010" s="5">
        <v>55119.366528283317</v>
      </c>
      <c r="Q4010" s="5">
        <v>25156.033327562815</v>
      </c>
      <c r="R4010" s="5">
        <v>1535.701520095213</v>
      </c>
    </row>
    <row r="4011" spans="9:18">
      <c r="I4011" s="4">
        <v>3996</v>
      </c>
      <c r="J4011" s="5">
        <v>13663.281817546009</v>
      </c>
      <c r="K4011" s="5">
        <v>23543.914024953676</v>
      </c>
      <c r="L4011" s="5">
        <v>10752.183901283248</v>
      </c>
      <c r="M4011" s="5">
        <v>30830.81083227017</v>
      </c>
      <c r="N4011" s="5">
        <v>39672.376281023731</v>
      </c>
      <c r="O4011" s="5">
        <v>35865.625349531729</v>
      </c>
      <c r="P4011" s="5">
        <v>26126.807131356076</v>
      </c>
      <c r="Q4011" s="5">
        <v>37073.980790337926</v>
      </c>
      <c r="R4011" s="5">
        <v>8046.7106309763258</v>
      </c>
    </row>
    <row r="4012" spans="9:18">
      <c r="I4012" s="4">
        <v>3997</v>
      </c>
      <c r="J4012" s="5">
        <v>11854.381651026555</v>
      </c>
      <c r="K4012" s="5">
        <v>10931.803935361211</v>
      </c>
      <c r="L4012" s="5">
        <v>18602.881797624486</v>
      </c>
      <c r="M4012" s="5">
        <v>12735.841453044006</v>
      </c>
      <c r="N4012" s="5">
        <v>13511.694619545402</v>
      </c>
      <c r="O4012" s="5">
        <v>20930.098352661731</v>
      </c>
      <c r="P4012" s="5">
        <v>21039.927746191301</v>
      </c>
      <c r="Q4012" s="5">
        <v>13214.632802255031</v>
      </c>
      <c r="R4012" s="5">
        <v>7879.038918914337</v>
      </c>
    </row>
    <row r="4013" spans="9:18">
      <c r="I4013" s="4">
        <v>3998</v>
      </c>
      <c r="J4013" s="5">
        <v>14671.176405938595</v>
      </c>
      <c r="K4013" s="5">
        <v>16873.752266014431</v>
      </c>
      <c r="L4013" s="5">
        <v>15759.954187048656</v>
      </c>
      <c r="M4013" s="5">
        <v>23913.435663027711</v>
      </c>
      <c r="N4013" s="5">
        <v>20558.672182394013</v>
      </c>
      <c r="O4013" s="5">
        <v>24258.192244316608</v>
      </c>
      <c r="P4013" s="5">
        <v>44816.412248582856</v>
      </c>
      <c r="Q4013" s="5">
        <v>21421.044775857536</v>
      </c>
      <c r="R4013" s="5">
        <v>18349.337771428582</v>
      </c>
    </row>
    <row r="4014" spans="9:18">
      <c r="I4014" s="4">
        <v>3999</v>
      </c>
      <c r="J4014" s="5">
        <v>20768.286261788198</v>
      </c>
      <c r="K4014" s="5">
        <v>22732.797143159998</v>
      </c>
      <c r="L4014" s="5">
        <v>23760.785349782636</v>
      </c>
      <c r="M4014" s="5">
        <v>21913.431401527439</v>
      </c>
      <c r="N4014" s="5">
        <v>9989.086510768735</v>
      </c>
      <c r="O4014" s="5">
        <v>24369.28567093279</v>
      </c>
      <c r="P4014" s="5">
        <v>77603.711720266961</v>
      </c>
      <c r="Q4014" s="5">
        <v>16591.881190929333</v>
      </c>
      <c r="R4014" s="5">
        <v>3311.4906988006405</v>
      </c>
    </row>
    <row r="4015" spans="9:18">
      <c r="I4015" s="4">
        <v>4000</v>
      </c>
      <c r="J4015" s="5">
        <v>49463.324094345015</v>
      </c>
      <c r="K4015" s="5">
        <v>14095.75230105142</v>
      </c>
      <c r="L4015" s="5">
        <v>14649.721476864312</v>
      </c>
      <c r="M4015" s="5">
        <v>31472.019071027709</v>
      </c>
      <c r="N4015" s="5">
        <v>26565.664379767408</v>
      </c>
      <c r="O4015" s="5">
        <v>30876.675913171162</v>
      </c>
      <c r="P4015" s="5">
        <v>6275.8915673055426</v>
      </c>
      <c r="Q4015" s="5">
        <v>9645.8788061228515</v>
      </c>
      <c r="R4015" s="5">
        <v>72561.496699005787</v>
      </c>
    </row>
    <row r="4016" spans="9:18">
      <c r="I4016" s="4">
        <v>4001</v>
      </c>
      <c r="J4016" s="5">
        <v>21888.821432026474</v>
      </c>
      <c r="K4016" s="5">
        <v>15428.770955406064</v>
      </c>
      <c r="L4016" s="5">
        <v>17128.574519497746</v>
      </c>
      <c r="M4016" s="5">
        <v>21272.00214469912</v>
      </c>
      <c r="N4016" s="5">
        <v>20718.434293991453</v>
      </c>
      <c r="O4016" s="5">
        <v>26268.613803794757</v>
      </c>
      <c r="P4016" s="5">
        <v>32167.874670939738</v>
      </c>
      <c r="Q4016" s="5">
        <v>37277.391668005912</v>
      </c>
      <c r="R4016" s="5">
        <v>5865.9802599669383</v>
      </c>
    </row>
    <row r="4017" spans="9:18">
      <c r="I4017" s="4">
        <v>4002</v>
      </c>
      <c r="J4017" s="5">
        <v>9368.8270679249108</v>
      </c>
      <c r="K4017" s="5">
        <v>14674.169276244838</v>
      </c>
      <c r="L4017" s="5">
        <v>14146.191653372813</v>
      </c>
      <c r="M4017" s="5">
        <v>20550.782384061673</v>
      </c>
      <c r="N4017" s="5">
        <v>11604.12831603515</v>
      </c>
      <c r="O4017" s="5">
        <v>45451.954570113048</v>
      </c>
      <c r="P4017" s="5">
        <v>17974.179326980211</v>
      </c>
      <c r="Q4017" s="5">
        <v>31902.904306425251</v>
      </c>
      <c r="R4017" s="5">
        <v>91403.228438796665</v>
      </c>
    </row>
    <row r="4018" spans="9:18">
      <c r="I4018" s="4">
        <v>4003</v>
      </c>
      <c r="J4018" s="5">
        <v>17005.744061105343</v>
      </c>
      <c r="K4018" s="5">
        <v>14497.035717129334</v>
      </c>
      <c r="L4018" s="5">
        <v>15060.431658965737</v>
      </c>
      <c r="M4018" s="5">
        <v>42282.977640783138</v>
      </c>
      <c r="N4018" s="5">
        <v>17811.114014514766</v>
      </c>
      <c r="O4018" s="5">
        <v>15936.062371781712</v>
      </c>
      <c r="P4018" s="5">
        <v>9047.5556949992188</v>
      </c>
      <c r="Q4018" s="5">
        <v>37497.234505125656</v>
      </c>
      <c r="R4018" s="5">
        <v>17687.533637716911</v>
      </c>
    </row>
    <row r="4019" spans="9:18">
      <c r="I4019" s="4">
        <v>4004</v>
      </c>
      <c r="J4019" s="5">
        <v>13841.207384998772</v>
      </c>
      <c r="K4019" s="5">
        <v>16674.541027260992</v>
      </c>
      <c r="L4019" s="5">
        <v>15060.431658965737</v>
      </c>
      <c r="M4019" s="5">
        <v>36301.422888051464</v>
      </c>
      <c r="N4019" s="5">
        <v>40377.252444397986</v>
      </c>
      <c r="O4019" s="5">
        <v>12110.196126281628</v>
      </c>
      <c r="P4019" s="5">
        <v>17737.38315098183</v>
      </c>
      <c r="Q4019" s="5">
        <v>27789.973552634947</v>
      </c>
      <c r="R4019" s="5">
        <v>34970.397641695177</v>
      </c>
    </row>
    <row r="4020" spans="9:18">
      <c r="I4020" s="4">
        <v>4005</v>
      </c>
      <c r="J4020" s="5">
        <v>14017.326487344162</v>
      </c>
      <c r="K4020" s="5">
        <v>18218.584572172625</v>
      </c>
      <c r="L4020" s="5">
        <v>17482.478480142941</v>
      </c>
      <c r="M4020" s="5">
        <v>6367.5407465007311</v>
      </c>
      <c r="N4020" s="5">
        <v>21909.120225822895</v>
      </c>
      <c r="O4020" s="5">
        <v>14371.728352806511</v>
      </c>
      <c r="P4020" s="5">
        <v>44816.412248582856</v>
      </c>
      <c r="Q4020" s="5">
        <v>8502.450657922871</v>
      </c>
      <c r="R4020" s="5">
        <v>23583.884732956092</v>
      </c>
    </row>
    <row r="4021" spans="9:18">
      <c r="I4021" s="4">
        <v>4006</v>
      </c>
      <c r="J4021" s="5">
        <v>15786.811016780619</v>
      </c>
      <c r="K4021" s="5">
        <v>14579.232378315752</v>
      </c>
      <c r="L4021" s="5">
        <v>16071.260291253868</v>
      </c>
      <c r="M4021" s="5">
        <v>21712.71007234112</v>
      </c>
      <c r="N4021" s="5">
        <v>20558.672182394013</v>
      </c>
      <c r="O4021" s="5">
        <v>59207.798737851255</v>
      </c>
      <c r="P4021" s="5">
        <v>14376.883105731285</v>
      </c>
      <c r="Q4021" s="5">
        <v>22483.395143121877</v>
      </c>
      <c r="R4021" s="5">
        <v>13258.538726001538</v>
      </c>
    </row>
    <row r="4022" spans="9:18">
      <c r="I4022" s="4">
        <v>4007</v>
      </c>
      <c r="J4022" s="5">
        <v>7855.2948890116513</v>
      </c>
      <c r="K4022" s="5">
        <v>17495.743706488822</v>
      </c>
      <c r="L4022" s="5">
        <v>15759.954187048656</v>
      </c>
      <c r="M4022" s="5">
        <v>29041.83725675238</v>
      </c>
      <c r="N4022" s="5">
        <v>46248.895746171031</v>
      </c>
      <c r="O4022" s="5">
        <v>13840.304699955392</v>
      </c>
      <c r="P4022" s="5">
        <v>26541.896041444568</v>
      </c>
      <c r="Q4022" s="5">
        <v>29432.473148002948</v>
      </c>
      <c r="R4022" s="5">
        <v>39788.288251916689</v>
      </c>
    </row>
    <row r="4023" spans="9:18">
      <c r="I4023" s="4">
        <v>4008</v>
      </c>
      <c r="J4023" s="5">
        <v>31053.540961463306</v>
      </c>
      <c r="K4023" s="5">
        <v>21187.174639714212</v>
      </c>
      <c r="L4023" s="5">
        <v>18379.634651549037</v>
      </c>
      <c r="M4023" s="5">
        <v>31472.019071027709</v>
      </c>
      <c r="N4023" s="5">
        <v>25549.748582175915</v>
      </c>
      <c r="O4023" s="5">
        <v>13519.384207850644</v>
      </c>
      <c r="P4023" s="5">
        <v>14327.191387816954</v>
      </c>
      <c r="Q4023" s="5">
        <v>18097.768262249352</v>
      </c>
      <c r="R4023" s="5">
        <v>18720.450716365784</v>
      </c>
    </row>
    <row r="4024" spans="9:18">
      <c r="I4024" s="4">
        <v>4009</v>
      </c>
      <c r="J4024" s="5">
        <v>14741.240040396578</v>
      </c>
      <c r="K4024" s="5">
        <v>14854.898507619706</v>
      </c>
      <c r="L4024" s="5">
        <v>14610.165745300763</v>
      </c>
      <c r="M4024" s="5">
        <v>17370.588707072598</v>
      </c>
      <c r="N4024" s="5">
        <v>12523.573732460784</v>
      </c>
      <c r="O4024" s="5">
        <v>19492.655596593511</v>
      </c>
      <c r="P4024" s="5">
        <v>20391.123772341358</v>
      </c>
      <c r="Q4024" s="5">
        <v>56069.347629295014</v>
      </c>
      <c r="R4024" s="5">
        <v>6360.7905155660001</v>
      </c>
    </row>
    <row r="4025" spans="9:18">
      <c r="I4025" s="4">
        <v>4010</v>
      </c>
      <c r="J4025" s="5">
        <v>13045.114546182727</v>
      </c>
      <c r="K4025" s="5">
        <v>21218.439146892688</v>
      </c>
      <c r="L4025" s="5">
        <v>15471.738323660695</v>
      </c>
      <c r="M4025" s="5">
        <v>6367.5407465007311</v>
      </c>
      <c r="N4025" s="5">
        <v>20583.564383988036</v>
      </c>
      <c r="O4025" s="5">
        <v>8121.6248378263163</v>
      </c>
      <c r="P4025" s="5">
        <v>12992.105410393709</v>
      </c>
      <c r="Q4025" s="5">
        <v>16591.881190929333</v>
      </c>
      <c r="R4025" s="5">
        <v>2180.6148629084787</v>
      </c>
    </row>
    <row r="4026" spans="9:18">
      <c r="I4026" s="4">
        <v>4011</v>
      </c>
      <c r="J4026" s="5">
        <v>73074.062486361407</v>
      </c>
      <c r="K4026" s="5">
        <v>16934.093371663999</v>
      </c>
      <c r="L4026" s="5">
        <v>22412.045018675239</v>
      </c>
      <c r="M4026" s="5">
        <v>22815.60259636537</v>
      </c>
      <c r="N4026" s="5">
        <v>19225.139878706803</v>
      </c>
      <c r="O4026" s="5">
        <v>30608.431994348266</v>
      </c>
      <c r="P4026" s="5">
        <v>74840.036182179319</v>
      </c>
      <c r="Q4026" s="5">
        <v>15623.622662102793</v>
      </c>
      <c r="R4026" s="5">
        <v>34970.397641695177</v>
      </c>
    </row>
    <row r="4027" spans="9:18">
      <c r="I4027" s="4">
        <v>4012</v>
      </c>
      <c r="J4027" s="5">
        <v>8580.4413740966302</v>
      </c>
      <c r="K4027" s="5">
        <v>15698.764831033119</v>
      </c>
      <c r="L4027" s="5">
        <v>17845.207337527903</v>
      </c>
      <c r="M4027" s="5">
        <v>13616.35938654862</v>
      </c>
      <c r="N4027" s="5">
        <v>22010.718648995869</v>
      </c>
      <c r="O4027" s="5">
        <v>8121.6248378263163</v>
      </c>
      <c r="P4027" s="5">
        <v>6275.8915673055426</v>
      </c>
      <c r="Q4027" s="5">
        <v>79566.621912742485</v>
      </c>
      <c r="R4027" s="5">
        <v>23583.884732956092</v>
      </c>
    </row>
    <row r="4028" spans="9:18">
      <c r="I4028" s="4">
        <v>4013</v>
      </c>
      <c r="J4028" s="5">
        <v>14420.293087375476</v>
      </c>
      <c r="K4028" s="5">
        <v>14351.415257675473</v>
      </c>
      <c r="L4028" s="5">
        <v>19359.475411188432</v>
      </c>
      <c r="M4028" s="5">
        <v>6367.5407465007311</v>
      </c>
      <c r="N4028" s="5">
        <v>11604.12831603515</v>
      </c>
      <c r="O4028" s="5">
        <v>94068.324736096256</v>
      </c>
      <c r="P4028" s="5">
        <v>5836.7810663002319</v>
      </c>
      <c r="Q4028" s="5">
        <v>31974.553851773013</v>
      </c>
      <c r="R4028" s="5">
        <v>89167.415757270224</v>
      </c>
    </row>
    <row r="4029" spans="9:18">
      <c r="I4029" s="4">
        <v>4014</v>
      </c>
      <c r="J4029" s="5">
        <v>19048.674633640545</v>
      </c>
      <c r="K4029" s="5">
        <v>15631.937142257386</v>
      </c>
      <c r="L4029" s="5">
        <v>18379.634651549037</v>
      </c>
      <c r="M4029" s="5">
        <v>7334.8610818348589</v>
      </c>
      <c r="N4029" s="5">
        <v>28426.778914975595</v>
      </c>
      <c r="O4029" s="5">
        <v>33720.545907536376</v>
      </c>
      <c r="P4029" s="5">
        <v>77603.711720266961</v>
      </c>
      <c r="Q4029" s="5">
        <v>18097.768262249352</v>
      </c>
      <c r="R4029" s="5">
        <v>41418.225609677866</v>
      </c>
    </row>
    <row r="4030" spans="9:18">
      <c r="I4030" s="4">
        <v>4015</v>
      </c>
      <c r="J4030" s="5">
        <v>27392.038553726634</v>
      </c>
      <c r="K4030" s="5">
        <v>35705.595198125673</v>
      </c>
      <c r="L4030" s="5">
        <v>15922.087958863045</v>
      </c>
      <c r="M4030" s="5">
        <v>23908.621352410395</v>
      </c>
      <c r="N4030" s="5">
        <v>46248.895746171031</v>
      </c>
      <c r="O4030" s="5">
        <v>49114.195066822271</v>
      </c>
      <c r="P4030" s="5">
        <v>23769.190223735484</v>
      </c>
      <c r="Q4030" s="5">
        <v>53055.59182561023</v>
      </c>
      <c r="R4030" s="5">
        <v>18720.450716365784</v>
      </c>
    </row>
    <row r="4031" spans="9:18">
      <c r="I4031" s="4">
        <v>4016</v>
      </c>
      <c r="J4031" s="5">
        <v>13045.114546182727</v>
      </c>
      <c r="K4031" s="5">
        <v>26110.948843472826</v>
      </c>
      <c r="L4031" s="5">
        <v>17693.864646288712</v>
      </c>
      <c r="M4031" s="5">
        <v>10142.860128720422</v>
      </c>
      <c r="N4031" s="5">
        <v>28426.778914975595</v>
      </c>
      <c r="O4031" s="5">
        <v>16572.483389649329</v>
      </c>
      <c r="P4031" s="5">
        <v>8069.5385577067918</v>
      </c>
      <c r="Q4031" s="5">
        <v>13214.632802255031</v>
      </c>
      <c r="R4031" s="5">
        <v>12130.167062525341</v>
      </c>
    </row>
    <row r="4032" spans="9:18">
      <c r="I4032" s="4">
        <v>4017</v>
      </c>
      <c r="J4032" s="5">
        <v>16459.003095225507</v>
      </c>
      <c r="K4032" s="5">
        <v>14017.262946034314</v>
      </c>
      <c r="L4032" s="5">
        <v>15300.182042823812</v>
      </c>
      <c r="M4032" s="5">
        <v>11529.920007560097</v>
      </c>
      <c r="N4032" s="5">
        <v>10882.757905166785</v>
      </c>
      <c r="O4032" s="5">
        <v>94068.324736096256</v>
      </c>
      <c r="P4032" s="5">
        <v>3831.1492650071077</v>
      </c>
      <c r="Q4032" s="5">
        <v>3909.239690544402</v>
      </c>
      <c r="R4032" s="5">
        <v>62674.060343500474</v>
      </c>
    </row>
    <row r="4033" spans="9:18">
      <c r="I4033" s="4">
        <v>4018</v>
      </c>
      <c r="J4033" s="5">
        <v>31053.540961463306</v>
      </c>
      <c r="K4033" s="5">
        <v>16273.14570113692</v>
      </c>
      <c r="L4033" s="5">
        <v>14344.859750762502</v>
      </c>
      <c r="M4033" s="5">
        <v>11860.862376247747</v>
      </c>
      <c r="N4033" s="5">
        <v>21909.120225822895</v>
      </c>
      <c r="O4033" s="5">
        <v>5444.7598502623823</v>
      </c>
      <c r="P4033" s="5">
        <v>63015.124693769802</v>
      </c>
      <c r="Q4033" s="5">
        <v>29432.473148002948</v>
      </c>
      <c r="R4033" s="5">
        <v>76851.431017396084</v>
      </c>
    </row>
    <row r="4034" spans="9:18">
      <c r="I4034" s="4">
        <v>4019</v>
      </c>
      <c r="J4034" s="5">
        <v>12888.204629170894</v>
      </c>
      <c r="K4034" s="5">
        <v>15631.937142257386</v>
      </c>
      <c r="L4034" s="5">
        <v>13358.459356674217</v>
      </c>
      <c r="M4034" s="5">
        <v>12426.949970383979</v>
      </c>
      <c r="N4034" s="5">
        <v>17811.114014514766</v>
      </c>
      <c r="O4034" s="5">
        <v>67717.30633712461</v>
      </c>
      <c r="P4034" s="5">
        <v>21813.848941464526</v>
      </c>
      <c r="Q4034" s="5">
        <v>52421.574537857021</v>
      </c>
      <c r="R4034" s="5">
        <v>7201.7586694681067</v>
      </c>
    </row>
    <row r="4035" spans="9:18">
      <c r="I4035" s="4">
        <v>4020</v>
      </c>
      <c r="J4035" s="5">
        <v>15623.733864199699</v>
      </c>
      <c r="K4035" s="5">
        <v>13559.080695844099</v>
      </c>
      <c r="L4035" s="5">
        <v>14316.474075738101</v>
      </c>
      <c r="M4035" s="5">
        <v>41403.687663920646</v>
      </c>
      <c r="N4035" s="5">
        <v>20583.564383988036</v>
      </c>
      <c r="O4035" s="5">
        <v>30656.031716467984</v>
      </c>
      <c r="P4035" s="5">
        <v>17737.38315098183</v>
      </c>
      <c r="Q4035" s="5">
        <v>13099.063525342741</v>
      </c>
      <c r="R4035" s="5">
        <v>72561.496699005787</v>
      </c>
    </row>
    <row r="4036" spans="9:18">
      <c r="I4036" s="4">
        <v>4021</v>
      </c>
      <c r="J4036" s="5">
        <v>12035.382213755307</v>
      </c>
      <c r="K4036" s="5">
        <v>21187.174639714212</v>
      </c>
      <c r="L4036" s="5">
        <v>14815.394001212817</v>
      </c>
      <c r="M4036" s="5">
        <v>7334.8610818348589</v>
      </c>
      <c r="N4036" s="5">
        <v>21931.347680292267</v>
      </c>
      <c r="O4036" s="5">
        <v>40581.847217937895</v>
      </c>
      <c r="P4036" s="5">
        <v>26541.896041444568</v>
      </c>
      <c r="Q4036" s="5">
        <v>22483.395143121877</v>
      </c>
      <c r="R4036" s="5">
        <v>114016.93673542379</v>
      </c>
    </row>
    <row r="4037" spans="9:18">
      <c r="I4037" s="4">
        <v>4022</v>
      </c>
      <c r="J4037" s="5">
        <v>20002.201347927807</v>
      </c>
      <c r="K4037" s="5">
        <v>14136.873097602549</v>
      </c>
      <c r="L4037" s="5">
        <v>17128.574519497746</v>
      </c>
      <c r="M4037" s="5">
        <v>15202.972920708273</v>
      </c>
      <c r="N4037" s="5">
        <v>19125.360074567652</v>
      </c>
      <c r="O4037" s="5">
        <v>8801.3667015774663</v>
      </c>
      <c r="P4037" s="5">
        <v>66904.018529955298</v>
      </c>
      <c r="Q4037" s="5">
        <v>9652.8114206999071</v>
      </c>
      <c r="R4037" s="5">
        <v>55012.315589742022</v>
      </c>
    </row>
    <row r="4038" spans="9:18">
      <c r="I4038" s="4">
        <v>4023</v>
      </c>
      <c r="J4038" s="5">
        <v>16416.142496463777</v>
      </c>
      <c r="K4038" s="5">
        <v>14674.169276244838</v>
      </c>
      <c r="L4038" s="5">
        <v>18602.881797624486</v>
      </c>
      <c r="M4038" s="5">
        <v>12735.841453044006</v>
      </c>
      <c r="N4038" s="5">
        <v>11788.341482962171</v>
      </c>
      <c r="O4038" s="5">
        <v>24247.516962783076</v>
      </c>
      <c r="P4038" s="5">
        <v>34768.042801665702</v>
      </c>
      <c r="Q4038" s="5">
        <v>11173.074396969254</v>
      </c>
      <c r="R4038" s="5">
        <v>7784.2246210242874</v>
      </c>
    </row>
    <row r="4039" spans="9:18">
      <c r="I4039" s="4">
        <v>4024</v>
      </c>
      <c r="J4039" s="5">
        <v>15130.594750069789</v>
      </c>
      <c r="K4039" s="5">
        <v>9739.7813029644258</v>
      </c>
      <c r="L4039" s="5">
        <v>15923.549351835489</v>
      </c>
      <c r="M4039" s="5">
        <v>19097.39635881727</v>
      </c>
      <c r="N4039" s="5">
        <v>42744.618431291936</v>
      </c>
      <c r="O4039" s="5">
        <v>25604.597681740845</v>
      </c>
      <c r="P4039" s="5">
        <v>32155.527541400057</v>
      </c>
      <c r="Q4039" s="5">
        <v>16803.875627203233</v>
      </c>
      <c r="R4039" s="5">
        <v>29295.938844292672</v>
      </c>
    </row>
    <row r="4040" spans="9:18">
      <c r="I4040" s="4">
        <v>4025</v>
      </c>
      <c r="J4040" s="5">
        <v>13391.049101507895</v>
      </c>
      <c r="K4040" s="5">
        <v>13719.930466819731</v>
      </c>
      <c r="L4040" s="5">
        <v>14610.165745300763</v>
      </c>
      <c r="M4040" s="5">
        <v>19097.39635881727</v>
      </c>
      <c r="N4040" s="5">
        <v>63974.903847153939</v>
      </c>
      <c r="O4040" s="5">
        <v>30608.431994348266</v>
      </c>
      <c r="P4040" s="5">
        <v>21933.779100635442</v>
      </c>
      <c r="Q4040" s="5">
        <v>28078.365156847896</v>
      </c>
      <c r="R4040" s="5">
        <v>7118.1729476780347</v>
      </c>
    </row>
    <row r="4041" spans="9:18">
      <c r="I4041" s="4">
        <v>4026</v>
      </c>
      <c r="J4041" s="5">
        <v>16088.430030489333</v>
      </c>
      <c r="K4041" s="5">
        <v>15051.330276415061</v>
      </c>
      <c r="L4041" s="5">
        <v>23760.785349782636</v>
      </c>
      <c r="M4041" s="5">
        <v>41698.977215629871</v>
      </c>
      <c r="N4041" s="5">
        <v>22868.569282757788</v>
      </c>
      <c r="O4041" s="5">
        <v>27062.73412298776</v>
      </c>
      <c r="P4041" s="5">
        <v>3930.0915591834291</v>
      </c>
      <c r="Q4041" s="5">
        <v>53055.59182561023</v>
      </c>
      <c r="R4041" s="5">
        <v>35232.418639121184</v>
      </c>
    </row>
    <row r="4042" spans="9:18">
      <c r="I4042" s="4">
        <v>4027</v>
      </c>
      <c r="J4042" s="5">
        <v>16459.003095225507</v>
      </c>
      <c r="K4042" s="5">
        <v>14136.873097602549</v>
      </c>
      <c r="L4042" s="5">
        <v>22319.409576580376</v>
      </c>
      <c r="M4042" s="5">
        <v>41403.687663920646</v>
      </c>
      <c r="N4042" s="5">
        <v>10882.757905166785</v>
      </c>
      <c r="O4042" s="5">
        <v>16826.763259351828</v>
      </c>
      <c r="P4042" s="5">
        <v>31127.87225845682</v>
      </c>
      <c r="Q4042" s="5">
        <v>29432.473148002948</v>
      </c>
      <c r="R4042" s="5">
        <v>29295.938844292672</v>
      </c>
    </row>
    <row r="4043" spans="9:18">
      <c r="I4043" s="4">
        <v>4028</v>
      </c>
      <c r="J4043" s="5">
        <v>18650.249281571734</v>
      </c>
      <c r="K4043" s="5">
        <v>31910.762633549082</v>
      </c>
      <c r="L4043" s="5">
        <v>10752.183901283248</v>
      </c>
      <c r="M4043" s="5">
        <v>31460.745851561904</v>
      </c>
      <c r="N4043" s="5">
        <v>13745.376566850549</v>
      </c>
      <c r="O4043" s="5">
        <v>53007.660727727191</v>
      </c>
      <c r="P4043" s="5">
        <v>22601.57564624758</v>
      </c>
      <c r="Q4043" s="5">
        <v>96632.959478514502</v>
      </c>
      <c r="R4043" s="5">
        <v>72640.340924600489</v>
      </c>
    </row>
    <row r="4044" spans="9:18">
      <c r="I4044" s="4">
        <v>4029</v>
      </c>
      <c r="J4044" s="5">
        <v>14749.343145806102</v>
      </c>
      <c r="K4044" s="5">
        <v>17903.387243834499</v>
      </c>
      <c r="L4044" s="5">
        <v>19189.275558866306</v>
      </c>
      <c r="M4044" s="5">
        <v>23449.501569180404</v>
      </c>
      <c r="N4044" s="5">
        <v>25549.748582175915</v>
      </c>
      <c r="O4044" s="5">
        <v>18637.945795127704</v>
      </c>
      <c r="P4044" s="5">
        <v>12639.596794453437</v>
      </c>
      <c r="Q4044" s="5">
        <v>9454.5906023793759</v>
      </c>
      <c r="R4044" s="5">
        <v>9913.4206865238284</v>
      </c>
    </row>
    <row r="4045" spans="9:18">
      <c r="I4045" s="4">
        <v>4030</v>
      </c>
      <c r="J4045" s="5">
        <v>13841.207384998772</v>
      </c>
      <c r="K4045" s="5">
        <v>14674.169276244838</v>
      </c>
      <c r="L4045" s="5">
        <v>18602.881797624486</v>
      </c>
      <c r="M4045" s="5">
        <v>21072.983263501868</v>
      </c>
      <c r="N4045" s="5">
        <v>11751.639947035985</v>
      </c>
      <c r="O4045" s="5">
        <v>55264.438774006347</v>
      </c>
      <c r="P4045" s="5">
        <v>31127.87225845682</v>
      </c>
      <c r="Q4045" s="5">
        <v>13099.063525342741</v>
      </c>
      <c r="R4045" s="5">
        <v>1535.701520095213</v>
      </c>
    </row>
    <row r="4046" spans="9:18">
      <c r="I4046" s="4">
        <v>4031</v>
      </c>
      <c r="J4046" s="5">
        <v>15064.079707240266</v>
      </c>
      <c r="K4046" s="5">
        <v>15487.124352801369</v>
      </c>
      <c r="L4046" s="5">
        <v>18634.523182776735</v>
      </c>
      <c r="M4046" s="5">
        <v>16500.222621933419</v>
      </c>
      <c r="N4046" s="5">
        <v>11635.644856128632</v>
      </c>
      <c r="O4046" s="5">
        <v>20930.098352661731</v>
      </c>
      <c r="P4046" s="5">
        <v>25258.981945036445</v>
      </c>
      <c r="Q4046" s="5">
        <v>16591.881190929333</v>
      </c>
      <c r="R4046" s="5">
        <v>7118.1729476780347</v>
      </c>
    </row>
    <row r="4047" spans="9:18">
      <c r="I4047" s="4">
        <v>4032</v>
      </c>
      <c r="J4047" s="5">
        <v>15648.665245032147</v>
      </c>
      <c r="K4047" s="5">
        <v>15051.330276415061</v>
      </c>
      <c r="L4047" s="5">
        <v>13622.976145621742</v>
      </c>
      <c r="M4047" s="5">
        <v>21833.004790208965</v>
      </c>
      <c r="N4047" s="5">
        <v>11251.634703629026</v>
      </c>
      <c r="O4047" s="5">
        <v>25802.481365323994</v>
      </c>
      <c r="P4047" s="5">
        <v>46514.467673254068</v>
      </c>
      <c r="Q4047" s="5">
        <v>116445.46783345108</v>
      </c>
      <c r="R4047" s="5">
        <v>123773.40402252052</v>
      </c>
    </row>
    <row r="4048" spans="9:18">
      <c r="I4048" s="4">
        <v>4033</v>
      </c>
      <c r="J4048" s="5">
        <v>8580.4413740966302</v>
      </c>
      <c r="K4048" s="5">
        <v>15487.124352801369</v>
      </c>
      <c r="L4048" s="5">
        <v>14811.370758813007</v>
      </c>
      <c r="M4048" s="5">
        <v>24981.974172352908</v>
      </c>
      <c r="N4048" s="5">
        <v>39672.376281023731</v>
      </c>
      <c r="O4048" s="5">
        <v>59207.798737851255</v>
      </c>
      <c r="P4048" s="5">
        <v>49519.098753410741</v>
      </c>
      <c r="Q4048" s="5">
        <v>17493.456269945855</v>
      </c>
      <c r="R4048" s="5">
        <v>14051.647494499957</v>
      </c>
    </row>
    <row r="4049" spans="9:18">
      <c r="I4049" s="4">
        <v>4034</v>
      </c>
      <c r="J4049" s="5">
        <v>16788.081681455456</v>
      </c>
      <c r="K4049" s="5">
        <v>13331.01856102917</v>
      </c>
      <c r="L4049" s="5">
        <v>15161.007794371622</v>
      </c>
      <c r="M4049" s="5">
        <v>29041.83725675238</v>
      </c>
      <c r="N4049" s="5">
        <v>21009.255892677338</v>
      </c>
      <c r="O4049" s="5">
        <v>53028.643350899503</v>
      </c>
      <c r="P4049" s="5">
        <v>22601.57564624758</v>
      </c>
      <c r="Q4049" s="5">
        <v>29432.473148002948</v>
      </c>
      <c r="R4049" s="5">
        <v>96845.299789249824</v>
      </c>
    </row>
    <row r="4050" spans="9:18">
      <c r="I4050" s="4">
        <v>4035</v>
      </c>
      <c r="J4050" s="5">
        <v>16166.107684907736</v>
      </c>
      <c r="K4050" s="5">
        <v>16273.14570113692</v>
      </c>
      <c r="L4050" s="5">
        <v>15923.549351835489</v>
      </c>
      <c r="M4050" s="5">
        <v>17542.15972125496</v>
      </c>
      <c r="N4050" s="5">
        <v>21909.120225822895</v>
      </c>
      <c r="O4050" s="5">
        <v>55264.438774006347</v>
      </c>
      <c r="P4050" s="5">
        <v>44646.134934589521</v>
      </c>
      <c r="Q4050" s="5">
        <v>28078.365156847896</v>
      </c>
      <c r="R4050" s="5">
        <v>33290.909836056817</v>
      </c>
    </row>
    <row r="4051" spans="9:18">
      <c r="I4051" s="4">
        <v>4036</v>
      </c>
      <c r="J4051" s="5">
        <v>9405.362381917912</v>
      </c>
      <c r="K4051" s="5">
        <v>11403.533194020869</v>
      </c>
      <c r="L4051" s="5">
        <v>14175.160754078657</v>
      </c>
      <c r="M4051" s="5">
        <v>21913.431401527439</v>
      </c>
      <c r="N4051" s="5">
        <v>11751.639947035985</v>
      </c>
      <c r="O4051" s="5">
        <v>53007.660727727191</v>
      </c>
      <c r="P4051" s="5">
        <v>22601.57564624758</v>
      </c>
      <c r="Q4051" s="5">
        <v>18097.768262249352</v>
      </c>
      <c r="R4051" s="5">
        <v>7784.2246210242874</v>
      </c>
    </row>
    <row r="4052" spans="9:18">
      <c r="I4052" s="4">
        <v>4037</v>
      </c>
      <c r="J4052" s="5">
        <v>14538.277247583976</v>
      </c>
      <c r="K4052" s="5">
        <v>14351.415257675473</v>
      </c>
      <c r="L4052" s="5">
        <v>13867.07093008449</v>
      </c>
      <c r="M4052" s="5">
        <v>10111.451009425113</v>
      </c>
      <c r="N4052" s="5">
        <v>11251.634703629026</v>
      </c>
      <c r="O4052" s="5">
        <v>19430.912633256889</v>
      </c>
      <c r="P4052" s="5">
        <v>16650.229067545235</v>
      </c>
      <c r="Q4052" s="5">
        <v>52545.991451361173</v>
      </c>
      <c r="R4052" s="5">
        <v>24831.679362998926</v>
      </c>
    </row>
    <row r="4053" spans="9:18">
      <c r="I4053" s="4">
        <v>4038</v>
      </c>
      <c r="J4053" s="5">
        <v>12888.204629170894</v>
      </c>
      <c r="K4053" s="5">
        <v>15129.619337591721</v>
      </c>
      <c r="L4053" s="5">
        <v>21428.663623484812</v>
      </c>
      <c r="M4053" s="5">
        <v>32497.510405113037</v>
      </c>
      <c r="N4053" s="5">
        <v>46248.895746171031</v>
      </c>
      <c r="O4053" s="5">
        <v>27062.73412298776</v>
      </c>
      <c r="P4053" s="5">
        <v>32155.527541400057</v>
      </c>
      <c r="Q4053" s="5">
        <v>56069.347629295014</v>
      </c>
      <c r="R4053" s="5">
        <v>1535.701520095213</v>
      </c>
    </row>
    <row r="4054" spans="9:18">
      <c r="I4054" s="4">
        <v>4039</v>
      </c>
      <c r="J4054" s="5">
        <v>20002.201347927807</v>
      </c>
      <c r="K4054" s="5">
        <v>20887.307279900142</v>
      </c>
      <c r="L4054" s="5">
        <v>17693.864646288712</v>
      </c>
      <c r="M4054" s="5">
        <v>6367.5407465007311</v>
      </c>
      <c r="N4054" s="5">
        <v>23746.795665493762</v>
      </c>
      <c r="O4054" s="5">
        <v>27508.313315384185</v>
      </c>
      <c r="P4054" s="5">
        <v>6275.8915673055426</v>
      </c>
      <c r="Q4054" s="5">
        <v>31974.553851773013</v>
      </c>
      <c r="R4054" s="5">
        <v>33863.04333215439</v>
      </c>
    </row>
    <row r="4055" spans="9:18">
      <c r="I4055" s="4">
        <v>4040</v>
      </c>
      <c r="J4055" s="5">
        <v>26634.853073396614</v>
      </c>
      <c r="K4055" s="5">
        <v>29672.680843304515</v>
      </c>
      <c r="L4055" s="5">
        <v>18634.523182776735</v>
      </c>
      <c r="M4055" s="5">
        <v>15202.972920708273</v>
      </c>
      <c r="N4055" s="5">
        <v>51261.622558090799</v>
      </c>
      <c r="O4055" s="5">
        <v>13613.378495715853</v>
      </c>
      <c r="P4055" s="5">
        <v>83536.241167211992</v>
      </c>
      <c r="Q4055" s="5">
        <v>13099.063525342741</v>
      </c>
      <c r="R4055" s="5">
        <v>39263.770877572199</v>
      </c>
    </row>
    <row r="4056" spans="9:18">
      <c r="I4056" s="4">
        <v>4041</v>
      </c>
      <c r="J4056" s="5">
        <v>13595.404057849493</v>
      </c>
      <c r="K4056" s="5">
        <v>17903.387243834499</v>
      </c>
      <c r="L4056" s="5">
        <v>15746.942257105531</v>
      </c>
      <c r="M4056" s="5">
        <v>20550.782384061673</v>
      </c>
      <c r="N4056" s="5">
        <v>25424.029865101274</v>
      </c>
      <c r="O4056" s="5">
        <v>10738.305003664611</v>
      </c>
      <c r="P4056" s="5">
        <v>46514.467673254068</v>
      </c>
      <c r="Q4056" s="5">
        <v>22895.455950885695</v>
      </c>
      <c r="R4056" s="5">
        <v>72640.340924600489</v>
      </c>
    </row>
    <row r="4057" spans="9:18">
      <c r="I4057" s="4">
        <v>4042</v>
      </c>
      <c r="J4057" s="5">
        <v>28214.771032351968</v>
      </c>
      <c r="K4057" s="5">
        <v>61827.107730316675</v>
      </c>
      <c r="L4057" s="5">
        <v>15359.132481533357</v>
      </c>
      <c r="M4057" s="5">
        <v>12619.198742021435</v>
      </c>
      <c r="N4057" s="5">
        <v>23283.854578052265</v>
      </c>
      <c r="O4057" s="5">
        <v>9869.5889207969612</v>
      </c>
      <c r="P4057" s="5">
        <v>32167.874670939738</v>
      </c>
      <c r="Q4057" s="5">
        <v>17234.335939857254</v>
      </c>
      <c r="R4057" s="5">
        <v>33863.04333215439</v>
      </c>
    </row>
    <row r="4058" spans="9:18">
      <c r="I4058" s="4">
        <v>4043</v>
      </c>
      <c r="J4058" s="5">
        <v>16088.430030489333</v>
      </c>
      <c r="K4058" s="5">
        <v>21187.174639714212</v>
      </c>
      <c r="L4058" s="5">
        <v>18475.258050488967</v>
      </c>
      <c r="M4058" s="5">
        <v>21072.983263501868</v>
      </c>
      <c r="N4058" s="5">
        <v>18367.429489032103</v>
      </c>
      <c r="O4058" s="5">
        <v>27084.483614751469</v>
      </c>
      <c r="P4058" s="5">
        <v>26541.896041444568</v>
      </c>
      <c r="Q4058" s="5">
        <v>17493.456269945855</v>
      </c>
      <c r="R4058" s="5">
        <v>41056.152565483346</v>
      </c>
    </row>
    <row r="4059" spans="9:18">
      <c r="I4059" s="4">
        <v>4044</v>
      </c>
      <c r="J4059" s="5">
        <v>33627.941293959229</v>
      </c>
      <c r="K4059" s="5">
        <v>14611.618478071941</v>
      </c>
      <c r="L4059" s="5">
        <v>13622.976145621742</v>
      </c>
      <c r="M4059" s="5">
        <v>23908.621352410395</v>
      </c>
      <c r="N4059" s="5">
        <v>42744.618431291936</v>
      </c>
      <c r="O4059" s="5">
        <v>16572.483389649329</v>
      </c>
      <c r="P4059" s="5">
        <v>54292.749740228588</v>
      </c>
      <c r="Q4059" s="5">
        <v>8502.450657922871</v>
      </c>
      <c r="R4059" s="5">
        <v>18720.450716365784</v>
      </c>
    </row>
    <row r="4060" spans="9:18">
      <c r="I4060" s="4">
        <v>4045</v>
      </c>
      <c r="J4060" s="5">
        <v>15417.870921574262</v>
      </c>
      <c r="K4060" s="5">
        <v>14587.813833513306</v>
      </c>
      <c r="L4060" s="5">
        <v>17578.712723867691</v>
      </c>
      <c r="M4060" s="5">
        <v>19795.661011456152</v>
      </c>
      <c r="N4060" s="5">
        <v>25549.748582175915</v>
      </c>
      <c r="O4060" s="5">
        <v>79848.944504816522</v>
      </c>
      <c r="P4060" s="5">
        <v>33500.490132682797</v>
      </c>
      <c r="Q4060" s="5">
        <v>35525.432376048877</v>
      </c>
      <c r="R4060" s="5">
        <v>87776.138236389699</v>
      </c>
    </row>
    <row r="4061" spans="9:18">
      <c r="I4061" s="4">
        <v>4046</v>
      </c>
      <c r="J4061" s="5">
        <v>15130.594750069789</v>
      </c>
      <c r="K4061" s="5">
        <v>16199.334613834633</v>
      </c>
      <c r="L4061" s="5">
        <v>14815.394001212817</v>
      </c>
      <c r="M4061" s="5">
        <v>21272.00214469912</v>
      </c>
      <c r="N4061" s="5">
        <v>23746.795665493762</v>
      </c>
      <c r="O4061" s="5">
        <v>26268.613803794757</v>
      </c>
      <c r="P4061" s="5">
        <v>35569.894390728325</v>
      </c>
      <c r="Q4061" s="5">
        <v>18097.768262249352</v>
      </c>
      <c r="R4061" s="5">
        <v>14079.827908007112</v>
      </c>
    </row>
    <row r="4062" spans="9:18">
      <c r="I4062" s="4">
        <v>4047</v>
      </c>
      <c r="J4062" s="5">
        <v>21150.169973104224</v>
      </c>
      <c r="K4062" s="5">
        <v>21958.925144875713</v>
      </c>
      <c r="L4062" s="5">
        <v>10752.183901283248</v>
      </c>
      <c r="M4062" s="5">
        <v>29834.240613550006</v>
      </c>
      <c r="N4062" s="5">
        <v>57711.498171893618</v>
      </c>
      <c r="O4062" s="5">
        <v>62082.6862081785</v>
      </c>
      <c r="P4062" s="5">
        <v>49519.098753410741</v>
      </c>
      <c r="Q4062" s="5">
        <v>148345.62878828164</v>
      </c>
      <c r="R4062" s="5">
        <v>18349.337771428582</v>
      </c>
    </row>
    <row r="4063" spans="9:18">
      <c r="I4063" s="4">
        <v>4048</v>
      </c>
      <c r="J4063" s="5">
        <v>12701.339251949787</v>
      </c>
      <c r="K4063" s="5">
        <v>61827.107730316675</v>
      </c>
      <c r="L4063" s="5">
        <v>15759.954187048656</v>
      </c>
      <c r="M4063" s="5">
        <v>23454.775510296178</v>
      </c>
      <c r="N4063" s="5">
        <v>14335.478134989447</v>
      </c>
      <c r="O4063" s="5">
        <v>8024.6340027919978</v>
      </c>
      <c r="P4063" s="5">
        <v>24349.301972630979</v>
      </c>
      <c r="Q4063" s="5">
        <v>4631.7430487757983</v>
      </c>
      <c r="R4063" s="5">
        <v>41056.152565483346</v>
      </c>
    </row>
    <row r="4064" spans="9:18">
      <c r="I4064" s="4">
        <v>4049</v>
      </c>
      <c r="J4064" s="5">
        <v>12701.339251949787</v>
      </c>
      <c r="K4064" s="5">
        <v>37822.375317881044</v>
      </c>
      <c r="L4064" s="5">
        <v>18215.751370765771</v>
      </c>
      <c r="M4064" s="5">
        <v>13139.022167648376</v>
      </c>
      <c r="N4064" s="5">
        <v>20292.069765667391</v>
      </c>
      <c r="O4064" s="5">
        <v>40942.522561879181</v>
      </c>
      <c r="P4064" s="5">
        <v>17996.895987204196</v>
      </c>
      <c r="Q4064" s="5">
        <v>52545.991451361173</v>
      </c>
      <c r="R4064" s="5">
        <v>7118.1729476780347</v>
      </c>
    </row>
    <row r="4065" spans="9:18">
      <c r="I4065" s="4">
        <v>4050</v>
      </c>
      <c r="J4065" s="5">
        <v>12452.764985867625</v>
      </c>
      <c r="K4065" s="5">
        <v>16665.1498926479</v>
      </c>
      <c r="L4065" s="5">
        <v>17243.440968229323</v>
      </c>
      <c r="M4065" s="5">
        <v>11860.862376247747</v>
      </c>
      <c r="N4065" s="5">
        <v>23043.345403059295</v>
      </c>
      <c r="O4065" s="5">
        <v>4231.3144655921506</v>
      </c>
      <c r="P4065" s="5">
        <v>45161.732159568586</v>
      </c>
      <c r="Q4065" s="5">
        <v>15623.622662102793</v>
      </c>
      <c r="R4065" s="5">
        <v>87776.138236389699</v>
      </c>
    </row>
    <row r="4066" spans="9:18">
      <c r="I4066" s="4">
        <v>4051</v>
      </c>
      <c r="J4066" s="5">
        <v>7855.2948890116513</v>
      </c>
      <c r="K4066" s="5">
        <v>13520.836427679104</v>
      </c>
      <c r="L4066" s="5">
        <v>16071.260291253868</v>
      </c>
      <c r="M4066" s="5">
        <v>21332.072353846772</v>
      </c>
      <c r="N4066" s="5">
        <v>9563.1256545330361</v>
      </c>
      <c r="O4066" s="5">
        <v>59207.798737851255</v>
      </c>
      <c r="P4066" s="5">
        <v>12639.596794453437</v>
      </c>
      <c r="Q4066" s="5">
        <v>52421.574537857021</v>
      </c>
      <c r="R4066" s="5">
        <v>8130.5639219412278</v>
      </c>
    </row>
    <row r="4067" spans="9:18">
      <c r="I4067" s="4">
        <v>4052</v>
      </c>
      <c r="J4067" s="5">
        <v>20002.201347927807</v>
      </c>
      <c r="K4067" s="5">
        <v>13288.692555879701</v>
      </c>
      <c r="L4067" s="5">
        <v>17716.90539191998</v>
      </c>
      <c r="M4067" s="5">
        <v>33862.836621974391</v>
      </c>
      <c r="N4067" s="5">
        <v>36962.805083900916</v>
      </c>
      <c r="O4067" s="5">
        <v>77417.02098927302</v>
      </c>
      <c r="P4067" s="5">
        <v>39054.462981000084</v>
      </c>
      <c r="Q4067" s="5">
        <v>8502.450657922871</v>
      </c>
      <c r="R4067" s="5">
        <v>51141.799458534304</v>
      </c>
    </row>
    <row r="4068" spans="9:18">
      <c r="I4068" s="4">
        <v>4053</v>
      </c>
      <c r="J4068" s="5">
        <v>13918.242013140338</v>
      </c>
      <c r="K4068" s="5">
        <v>16873.752266014431</v>
      </c>
      <c r="L4068" s="5">
        <v>22412.045018675239</v>
      </c>
      <c r="M4068" s="5">
        <v>12426.949970383979</v>
      </c>
      <c r="N4068" s="5">
        <v>12523.573732460784</v>
      </c>
      <c r="O4068" s="5">
        <v>24258.192244316608</v>
      </c>
      <c r="P4068" s="5">
        <v>16574.429708560569</v>
      </c>
      <c r="Q4068" s="5">
        <v>52545.991451361173</v>
      </c>
      <c r="R4068" s="5">
        <v>18720.450716365784</v>
      </c>
    </row>
    <row r="4069" spans="9:18">
      <c r="I4069" s="4">
        <v>4054</v>
      </c>
      <c r="J4069" s="5">
        <v>12452.764985867625</v>
      </c>
      <c r="K4069" s="5">
        <v>12423.491400404893</v>
      </c>
      <c r="L4069" s="5">
        <v>14691.846656953887</v>
      </c>
      <c r="M4069" s="5">
        <v>29058.117767351498</v>
      </c>
      <c r="N4069" s="5">
        <v>23008.246229813707</v>
      </c>
      <c r="O4069" s="5">
        <v>40942.522561879181</v>
      </c>
      <c r="P4069" s="5">
        <v>10532.667493814919</v>
      </c>
      <c r="Q4069" s="5">
        <v>19315.033835554255</v>
      </c>
      <c r="R4069" s="5">
        <v>261393.32711858812</v>
      </c>
    </row>
    <row r="4070" spans="9:18">
      <c r="I4070" s="4">
        <v>4055</v>
      </c>
      <c r="J4070" s="5">
        <v>12888.204629170894</v>
      </c>
      <c r="K4070" s="5">
        <v>37822.375317881044</v>
      </c>
      <c r="L4070" s="5">
        <v>13622.976145621742</v>
      </c>
      <c r="M4070" s="5">
        <v>32497.510405113037</v>
      </c>
      <c r="N4070" s="5">
        <v>34295.124147811541</v>
      </c>
      <c r="O4070" s="5">
        <v>19430.912633256889</v>
      </c>
      <c r="P4070" s="5">
        <v>44646.134934589521</v>
      </c>
      <c r="Q4070" s="5">
        <v>28078.365156847896</v>
      </c>
      <c r="R4070" s="5">
        <v>39788.288251916689</v>
      </c>
    </row>
    <row r="4071" spans="9:18">
      <c r="I4071" s="4">
        <v>4056</v>
      </c>
      <c r="J4071" s="5">
        <v>43272.831879770602</v>
      </c>
      <c r="K4071" s="5">
        <v>16952.949313901812</v>
      </c>
      <c r="L4071" s="5">
        <v>13622.976145621742</v>
      </c>
      <c r="M4071" s="5">
        <v>17116.951435661951</v>
      </c>
      <c r="N4071" s="5">
        <v>27833.630848857778</v>
      </c>
      <c r="O4071" s="5">
        <v>16826.763259351828</v>
      </c>
      <c r="P4071" s="5">
        <v>5836.7810663002319</v>
      </c>
      <c r="Q4071" s="5">
        <v>2356.8990887111336</v>
      </c>
      <c r="R4071" s="5">
        <v>23583.884732956092</v>
      </c>
    </row>
    <row r="4072" spans="9:18">
      <c r="I4072" s="4">
        <v>4057</v>
      </c>
      <c r="J4072" s="5">
        <v>12452.764985867625</v>
      </c>
      <c r="K4072" s="5">
        <v>15782.544184844044</v>
      </c>
      <c r="L4072" s="5">
        <v>19224.583269019437</v>
      </c>
      <c r="M4072" s="5">
        <v>19097.39635881727</v>
      </c>
      <c r="N4072" s="5">
        <v>11952.903761138405</v>
      </c>
      <c r="O4072" s="5">
        <v>9320.7026593487881</v>
      </c>
      <c r="P4072" s="5">
        <v>21039.927746191301</v>
      </c>
      <c r="Q4072" s="5">
        <v>8474.2603471579441</v>
      </c>
      <c r="R4072" s="5">
        <v>14051.647494499957</v>
      </c>
    </row>
    <row r="4073" spans="9:18">
      <c r="I4073" s="4">
        <v>4058</v>
      </c>
      <c r="J4073" s="5">
        <v>73074.062486361407</v>
      </c>
      <c r="K4073" s="5">
        <v>14351.415257675473</v>
      </c>
      <c r="L4073" s="5">
        <v>17128.574519497746</v>
      </c>
      <c r="M4073" s="5">
        <v>7334.8610818348589</v>
      </c>
      <c r="N4073" s="5">
        <v>63974.903847153939</v>
      </c>
      <c r="O4073" s="5">
        <v>19430.912633256889</v>
      </c>
      <c r="P4073" s="5">
        <v>25258.981945036445</v>
      </c>
      <c r="Q4073" s="5">
        <v>31618.396253255491</v>
      </c>
      <c r="R4073" s="5">
        <v>20303.08745527079</v>
      </c>
    </row>
    <row r="4074" spans="9:18">
      <c r="I4074" s="4">
        <v>4059</v>
      </c>
      <c r="J4074" s="5">
        <v>12701.339251949787</v>
      </c>
      <c r="K4074" s="5">
        <v>61827.107730316675</v>
      </c>
      <c r="L4074" s="5">
        <v>22412.045018675239</v>
      </c>
      <c r="M4074" s="5">
        <v>13022.686998540772</v>
      </c>
      <c r="N4074" s="5">
        <v>21909.120225822895</v>
      </c>
      <c r="O4074" s="5">
        <v>66253.993323243907</v>
      </c>
      <c r="P4074" s="5">
        <v>13452.921824087563</v>
      </c>
      <c r="Q4074" s="5">
        <v>3909.239690544402</v>
      </c>
      <c r="R4074" s="5">
        <v>7118.1729476780347</v>
      </c>
    </row>
    <row r="4075" spans="9:18">
      <c r="I4075" s="4">
        <v>4060</v>
      </c>
      <c r="J4075" s="5">
        <v>28085.9245102444</v>
      </c>
      <c r="K4075" s="5">
        <v>17495.743706488822</v>
      </c>
      <c r="L4075" s="5">
        <v>16472.138192556791</v>
      </c>
      <c r="M4075" s="5">
        <v>19433.64679949253</v>
      </c>
      <c r="N4075" s="5">
        <v>15804.474686449519</v>
      </c>
      <c r="O4075" s="5">
        <v>24247.516962783076</v>
      </c>
      <c r="P4075" s="5">
        <v>95486.196907583406</v>
      </c>
      <c r="Q4075" s="5">
        <v>9454.5906023793759</v>
      </c>
      <c r="R4075" s="5">
        <v>50287.76786557267</v>
      </c>
    </row>
    <row r="4076" spans="9:18">
      <c r="I4076" s="4">
        <v>4061</v>
      </c>
      <c r="J4076" s="5">
        <v>28169.050633834027</v>
      </c>
      <c r="K4076" s="5">
        <v>20887.307279900142</v>
      </c>
      <c r="L4076" s="5">
        <v>14364.472927446199</v>
      </c>
      <c r="M4076" s="5">
        <v>31460.745851561904</v>
      </c>
      <c r="N4076" s="5">
        <v>21909.120225822895</v>
      </c>
      <c r="O4076" s="5">
        <v>30656.031716467984</v>
      </c>
      <c r="P4076" s="5">
        <v>46514.467673254068</v>
      </c>
      <c r="Q4076" s="5">
        <v>9645.8788061228515</v>
      </c>
      <c r="R4076" s="5">
        <v>24722.972470599001</v>
      </c>
    </row>
    <row r="4077" spans="9:18">
      <c r="I4077" s="4">
        <v>4062</v>
      </c>
      <c r="J4077" s="5">
        <v>19121.054099180623</v>
      </c>
      <c r="K4077" s="5">
        <v>35705.595198125673</v>
      </c>
      <c r="L4077" s="5">
        <v>15300.182042823812</v>
      </c>
      <c r="M4077" s="5">
        <v>13642.678686731051</v>
      </c>
      <c r="N4077" s="5">
        <v>16148.901635865295</v>
      </c>
      <c r="O4077" s="5">
        <v>15124.35050053727</v>
      </c>
      <c r="P4077" s="5">
        <v>32167.874670939738</v>
      </c>
      <c r="Q4077" s="5">
        <v>73941.636731325911</v>
      </c>
      <c r="R4077" s="5">
        <v>261393.32711858812</v>
      </c>
    </row>
    <row r="4078" spans="9:18">
      <c r="I4078" s="4">
        <v>4063</v>
      </c>
      <c r="J4078" s="5">
        <v>13663.281817546009</v>
      </c>
      <c r="K4078" s="5">
        <v>95171.967522309933</v>
      </c>
      <c r="L4078" s="5">
        <v>15300.182042823812</v>
      </c>
      <c r="M4078" s="5">
        <v>20550.782384061673</v>
      </c>
      <c r="N4078" s="5">
        <v>16418.492928415813</v>
      </c>
      <c r="O4078" s="5">
        <v>9708.4497800977806</v>
      </c>
      <c r="P4078" s="5">
        <v>27452.975716953504</v>
      </c>
      <c r="Q4078" s="5">
        <v>53055.59182561023</v>
      </c>
      <c r="R4078" s="5">
        <v>2071.5141323269809</v>
      </c>
    </row>
    <row r="4079" spans="9:18">
      <c r="I4079" s="4">
        <v>4064</v>
      </c>
      <c r="J4079" s="5">
        <v>31053.540961463306</v>
      </c>
      <c r="K4079" s="5">
        <v>16674.541027260992</v>
      </c>
      <c r="L4079" s="5">
        <v>15300.182042823812</v>
      </c>
      <c r="M4079" s="5">
        <v>20788.503422877813</v>
      </c>
      <c r="N4079" s="5">
        <v>24769.339976495565</v>
      </c>
      <c r="O4079" s="5">
        <v>20489.622805425737</v>
      </c>
      <c r="P4079" s="5">
        <v>44646.134934589521</v>
      </c>
      <c r="Q4079" s="5">
        <v>96632.959478514502</v>
      </c>
      <c r="R4079" s="5">
        <v>13258.538726001538</v>
      </c>
    </row>
    <row r="4080" spans="9:18">
      <c r="I4080" s="4">
        <v>4065</v>
      </c>
      <c r="J4080" s="5">
        <v>14076.209333698853</v>
      </c>
      <c r="K4080" s="5">
        <v>26110.948843472826</v>
      </c>
      <c r="L4080" s="5">
        <v>14691.846656953887</v>
      </c>
      <c r="M4080" s="5">
        <v>29834.240613550006</v>
      </c>
      <c r="N4080" s="5">
        <v>18367.429489032103</v>
      </c>
      <c r="O4080" s="5">
        <v>18637.945795127704</v>
      </c>
      <c r="P4080" s="5">
        <v>27820.721938889761</v>
      </c>
      <c r="Q4080" s="5">
        <v>52421.574537857021</v>
      </c>
      <c r="R4080" s="5">
        <v>3311.4906988006405</v>
      </c>
    </row>
    <row r="4081" spans="9:18">
      <c r="I4081" s="4">
        <v>4066</v>
      </c>
      <c r="J4081" s="5">
        <v>22370.105711697011</v>
      </c>
      <c r="K4081" s="5">
        <v>8124.7965732661823</v>
      </c>
      <c r="L4081" s="5">
        <v>16777.996633299583</v>
      </c>
      <c r="M4081" s="5">
        <v>13642.678686731051</v>
      </c>
      <c r="N4081" s="5">
        <v>63974.903847153939</v>
      </c>
      <c r="O4081" s="5">
        <v>27508.313315384185</v>
      </c>
      <c r="P4081" s="5">
        <v>26126.807131356076</v>
      </c>
      <c r="Q4081" s="5">
        <v>37101.531383212743</v>
      </c>
      <c r="R4081" s="5">
        <v>38898.713625068609</v>
      </c>
    </row>
    <row r="4082" spans="9:18">
      <c r="I4082" s="4">
        <v>4067</v>
      </c>
      <c r="J4082" s="5">
        <v>43272.831879770602</v>
      </c>
      <c r="K4082" s="5">
        <v>35705.595198125673</v>
      </c>
      <c r="L4082" s="5">
        <v>27289.607394458035</v>
      </c>
      <c r="M4082" s="5">
        <v>10451.914120098167</v>
      </c>
      <c r="N4082" s="5">
        <v>27841.916587595573</v>
      </c>
      <c r="O4082" s="5">
        <v>27195.510785031525</v>
      </c>
      <c r="P4082" s="5">
        <v>16650.229067545235</v>
      </c>
      <c r="Q4082" s="5">
        <v>28797.29222718185</v>
      </c>
      <c r="R4082" s="5">
        <v>54594.567438884274</v>
      </c>
    </row>
    <row r="4083" spans="9:18">
      <c r="I4083" s="4">
        <v>4068</v>
      </c>
      <c r="J4083" s="5">
        <v>12035.382213755307</v>
      </c>
      <c r="K4083" s="5">
        <v>61827.107730316675</v>
      </c>
      <c r="L4083" s="5">
        <v>17578.712723867691</v>
      </c>
      <c r="M4083" s="5">
        <v>29058.117767351498</v>
      </c>
      <c r="N4083" s="5">
        <v>22010.718648995869</v>
      </c>
      <c r="O4083" s="5">
        <v>27195.510785031525</v>
      </c>
      <c r="P4083" s="5">
        <v>21813.848941464526</v>
      </c>
      <c r="Q4083" s="5">
        <v>59134.059519022907</v>
      </c>
      <c r="R4083" s="5">
        <v>86510.608303273053</v>
      </c>
    </row>
    <row r="4084" spans="9:18">
      <c r="I4084" s="4">
        <v>4069</v>
      </c>
      <c r="J4084" s="5">
        <v>9368.8270679249108</v>
      </c>
      <c r="K4084" s="5">
        <v>14579.232378315752</v>
      </c>
      <c r="L4084" s="5">
        <v>14649.721476864312</v>
      </c>
      <c r="M4084" s="5">
        <v>23067.94260629595</v>
      </c>
      <c r="N4084" s="5">
        <v>14921.795973817481</v>
      </c>
      <c r="O4084" s="5">
        <v>24422.445067017139</v>
      </c>
      <c r="P4084" s="5">
        <v>28537.545734403488</v>
      </c>
      <c r="Q4084" s="5">
        <v>54060.5331097772</v>
      </c>
      <c r="R4084" s="5">
        <v>96845.299789249824</v>
      </c>
    </row>
    <row r="4085" spans="9:18">
      <c r="I4085" s="4">
        <v>4070</v>
      </c>
      <c r="J4085" s="5">
        <v>13595.404057849493</v>
      </c>
      <c r="K4085" s="5">
        <v>15129.619337591721</v>
      </c>
      <c r="L4085" s="5">
        <v>13358.459356674217</v>
      </c>
      <c r="M4085" s="5">
        <v>14432.283063351901</v>
      </c>
      <c r="N4085" s="5">
        <v>25549.748582175915</v>
      </c>
      <c r="O4085" s="5">
        <v>14371.728352806511</v>
      </c>
      <c r="P4085" s="5">
        <v>35213.322626437533</v>
      </c>
      <c r="Q4085" s="5">
        <v>44911.749632594299</v>
      </c>
      <c r="R4085" s="5">
        <v>7201.7586694681067</v>
      </c>
    </row>
    <row r="4086" spans="9:18">
      <c r="I4086" s="4">
        <v>4071</v>
      </c>
      <c r="J4086" s="5">
        <v>11936.262457073821</v>
      </c>
      <c r="K4086" s="5">
        <v>16273.14570113692</v>
      </c>
      <c r="L4086" s="5">
        <v>13037.115556745504</v>
      </c>
      <c r="M4086" s="5">
        <v>19151.339770278159</v>
      </c>
      <c r="N4086" s="5">
        <v>15251.140047572881</v>
      </c>
      <c r="O4086" s="5">
        <v>30608.431994348266</v>
      </c>
      <c r="P4086" s="5">
        <v>36724.352187786957</v>
      </c>
      <c r="Q4086" s="5">
        <v>22145.301831504508</v>
      </c>
      <c r="R4086" s="5">
        <v>1535.701520095213</v>
      </c>
    </row>
    <row r="4087" spans="9:18">
      <c r="I4087" s="4">
        <v>4072</v>
      </c>
      <c r="J4087" s="5">
        <v>14076.209333698853</v>
      </c>
      <c r="K4087" s="5">
        <v>15698.764831033119</v>
      </c>
      <c r="L4087" s="5">
        <v>16616.161224349555</v>
      </c>
      <c r="M4087" s="5">
        <v>36301.422888051464</v>
      </c>
      <c r="N4087" s="5">
        <v>11604.12831603515</v>
      </c>
      <c r="O4087" s="5">
        <v>12110.196126281628</v>
      </c>
      <c r="P4087" s="5">
        <v>38024.168395914428</v>
      </c>
      <c r="Q4087" s="5">
        <v>28797.29222718185</v>
      </c>
      <c r="R4087" s="5">
        <v>7201.7586694681067</v>
      </c>
    </row>
    <row r="4088" spans="9:18">
      <c r="I4088" s="4">
        <v>4073</v>
      </c>
      <c r="J4088" s="5">
        <v>22370.105711697011</v>
      </c>
      <c r="K4088" s="5">
        <v>13719.930466819731</v>
      </c>
      <c r="L4088" s="5">
        <v>19359.475411188432</v>
      </c>
      <c r="M4088" s="5">
        <v>19430.369425783585</v>
      </c>
      <c r="N4088" s="5">
        <v>27841.916587595573</v>
      </c>
      <c r="O4088" s="5">
        <v>25644.588869829797</v>
      </c>
      <c r="P4088" s="5">
        <v>27373.102585108634</v>
      </c>
      <c r="Q4088" s="5">
        <v>8880.8074399558282</v>
      </c>
      <c r="R4088" s="5">
        <v>76851.431017396084</v>
      </c>
    </row>
    <row r="4089" spans="9:18">
      <c r="I4089" s="4">
        <v>4074</v>
      </c>
      <c r="J4089" s="5">
        <v>15648.665245032147</v>
      </c>
      <c r="K4089" s="5">
        <v>11206.053243692098</v>
      </c>
      <c r="L4089" s="5">
        <v>17845.207337527903</v>
      </c>
      <c r="M4089" s="5">
        <v>11680.747299075838</v>
      </c>
      <c r="N4089" s="5">
        <v>27833.630848857778</v>
      </c>
      <c r="O4089" s="5">
        <v>40942.522561879181</v>
      </c>
      <c r="P4089" s="5">
        <v>32167.874670939738</v>
      </c>
      <c r="Q4089" s="5">
        <v>48866.209623168346</v>
      </c>
      <c r="R4089" s="5">
        <v>86510.608303273053</v>
      </c>
    </row>
    <row r="4090" spans="9:18">
      <c r="I4090" s="4">
        <v>4075</v>
      </c>
      <c r="J4090" s="5">
        <v>16416.142496463777</v>
      </c>
      <c r="K4090" s="5">
        <v>15129.619337591721</v>
      </c>
      <c r="L4090" s="5">
        <v>17845.207337527903</v>
      </c>
      <c r="M4090" s="5">
        <v>10451.914120098167</v>
      </c>
      <c r="N4090" s="5">
        <v>19225.139878706803</v>
      </c>
      <c r="O4090" s="5">
        <v>14371.728352806511</v>
      </c>
      <c r="P4090" s="5">
        <v>27820.721938889761</v>
      </c>
      <c r="Q4090" s="5">
        <v>17153.530968450712</v>
      </c>
      <c r="R4090" s="5">
        <v>7394.6358885760465</v>
      </c>
    </row>
    <row r="4091" spans="9:18">
      <c r="I4091" s="4">
        <v>4076</v>
      </c>
      <c r="J4091" s="5">
        <v>12701.339251949787</v>
      </c>
      <c r="K4091" s="5">
        <v>6949.5708823216592</v>
      </c>
      <c r="L4091" s="5">
        <v>15651.346103181355</v>
      </c>
      <c r="M4091" s="5">
        <v>30830.81083227017</v>
      </c>
      <c r="N4091" s="5">
        <v>16148.901635865295</v>
      </c>
      <c r="O4091" s="5">
        <v>16826.763259351828</v>
      </c>
      <c r="P4091" s="5">
        <v>77603.711720266961</v>
      </c>
      <c r="Q4091" s="5">
        <v>9138.5169630896526</v>
      </c>
      <c r="R4091" s="5">
        <v>12116.34255245842</v>
      </c>
    </row>
    <row r="4092" spans="9:18">
      <c r="I4092" s="4">
        <v>4077</v>
      </c>
      <c r="J4092" s="5">
        <v>15081.728672246438</v>
      </c>
      <c r="K4092" s="5">
        <v>14587.813833513306</v>
      </c>
      <c r="L4092" s="5">
        <v>18602.881797624486</v>
      </c>
      <c r="M4092" s="5">
        <v>11529.920007560097</v>
      </c>
      <c r="N4092" s="5">
        <v>21909.120225822895</v>
      </c>
      <c r="O4092" s="5">
        <v>11282.178219986479</v>
      </c>
      <c r="P4092" s="5">
        <v>55152.110177667731</v>
      </c>
      <c r="Q4092" s="5">
        <v>16591.881190929333</v>
      </c>
      <c r="R4092" s="5">
        <v>12116.34255245842</v>
      </c>
    </row>
    <row r="4093" spans="9:18">
      <c r="I4093" s="4">
        <v>4078</v>
      </c>
      <c r="J4093" s="5">
        <v>16088.430030489333</v>
      </c>
      <c r="K4093" s="5">
        <v>13331.01856102917</v>
      </c>
      <c r="L4093" s="5">
        <v>15759.954187048656</v>
      </c>
      <c r="M4093" s="5">
        <v>13065.820809359835</v>
      </c>
      <c r="N4093" s="5">
        <v>23746.795665493762</v>
      </c>
      <c r="O4093" s="5">
        <v>26268.613803794757</v>
      </c>
      <c r="P4093" s="5">
        <v>16072.735485912413</v>
      </c>
      <c r="Q4093" s="5">
        <v>28797.29222718185</v>
      </c>
      <c r="R4093" s="5">
        <v>24831.679362998926</v>
      </c>
    </row>
    <row r="4094" spans="9:18">
      <c r="I4094" s="4">
        <v>4079</v>
      </c>
      <c r="J4094" s="5">
        <v>28169.050633834027</v>
      </c>
      <c r="K4094" s="5">
        <v>15129.619337591721</v>
      </c>
      <c r="L4094" s="5">
        <v>17693.864646288712</v>
      </c>
      <c r="M4094" s="5">
        <v>13616.35938654862</v>
      </c>
      <c r="N4094" s="5">
        <v>39672.376281023731</v>
      </c>
      <c r="O4094" s="5">
        <v>24247.516962783076</v>
      </c>
      <c r="P4094" s="5">
        <v>14327.191387816954</v>
      </c>
      <c r="Q4094" s="5">
        <v>3909.239690544402</v>
      </c>
      <c r="R4094" s="5">
        <v>261393.32711858812</v>
      </c>
    </row>
    <row r="4095" spans="9:18">
      <c r="I4095" s="4">
        <v>4080</v>
      </c>
      <c r="J4095" s="5">
        <v>28214.771032351968</v>
      </c>
      <c r="K4095" s="5">
        <v>22732.797143159998</v>
      </c>
      <c r="L4095" s="5">
        <v>17716.90539191998</v>
      </c>
      <c r="M4095" s="5">
        <v>16001.653036457456</v>
      </c>
      <c r="N4095" s="5">
        <v>26565.664379767408</v>
      </c>
      <c r="O4095" s="5">
        <v>8024.6340027919978</v>
      </c>
      <c r="P4095" s="5">
        <v>44646.134934589521</v>
      </c>
      <c r="Q4095" s="5">
        <v>22483.395143121877</v>
      </c>
      <c r="R4095" s="5">
        <v>8130.5639219412278</v>
      </c>
    </row>
    <row r="4096" spans="9:18">
      <c r="I4096" s="4">
        <v>4081</v>
      </c>
      <c r="J4096" s="5">
        <v>16544.73779470181</v>
      </c>
      <c r="K4096" s="5">
        <v>8124.7965732661823</v>
      </c>
      <c r="L4096" s="5">
        <v>20698.842353987733</v>
      </c>
      <c r="M4096" s="5">
        <v>21272.00214469912</v>
      </c>
      <c r="N4096" s="5">
        <v>39672.376281023731</v>
      </c>
      <c r="O4096" s="5">
        <v>27503.656957929088</v>
      </c>
      <c r="P4096" s="5">
        <v>12639.596794453437</v>
      </c>
      <c r="Q4096" s="5">
        <v>31618.396253255491</v>
      </c>
      <c r="R4096" s="5">
        <v>181970.23111012415</v>
      </c>
    </row>
    <row r="4097" spans="9:18">
      <c r="I4097" s="4">
        <v>4082</v>
      </c>
      <c r="J4097" s="5">
        <v>14076.209333698853</v>
      </c>
      <c r="K4097" s="5">
        <v>16273.14570113692</v>
      </c>
      <c r="L4097" s="5">
        <v>14610.165745300763</v>
      </c>
      <c r="M4097" s="5">
        <v>11860.862376247747</v>
      </c>
      <c r="N4097" s="5">
        <v>11251.634703629026</v>
      </c>
      <c r="O4097" s="5">
        <v>3171.3006415671193</v>
      </c>
      <c r="P4097" s="5">
        <v>9965.8330787532959</v>
      </c>
      <c r="Q4097" s="5">
        <v>64585.328088516922</v>
      </c>
      <c r="R4097" s="5">
        <v>7201.7586694681067</v>
      </c>
    </row>
    <row r="4098" spans="9:18">
      <c r="I4098" s="4">
        <v>4083</v>
      </c>
      <c r="J4098" s="5">
        <v>14538.277247583976</v>
      </c>
      <c r="K4098" s="5">
        <v>23327.217259521742</v>
      </c>
      <c r="L4098" s="5">
        <v>14796.875457021113</v>
      </c>
      <c r="M4098" s="5">
        <v>17349.963215818931</v>
      </c>
      <c r="N4098" s="5">
        <v>24020.875410266352</v>
      </c>
      <c r="O4098" s="5">
        <v>42492.261063288854</v>
      </c>
      <c r="P4098" s="5">
        <v>9965.8330787532959</v>
      </c>
      <c r="Q4098" s="5">
        <v>10151.908492905288</v>
      </c>
      <c r="R4098" s="5">
        <v>216919.53009911609</v>
      </c>
    </row>
    <row r="4099" spans="9:18">
      <c r="I4099" s="4">
        <v>4084</v>
      </c>
      <c r="J4099" s="5">
        <v>15786.811016780619</v>
      </c>
      <c r="K4099" s="5">
        <v>16665.1498926479</v>
      </c>
      <c r="L4099" s="5">
        <v>16014.071850041886</v>
      </c>
      <c r="M4099" s="5">
        <v>36301.422888051464</v>
      </c>
      <c r="N4099" s="5">
        <v>9989.086510768735</v>
      </c>
      <c r="O4099" s="5">
        <v>8121.6248378263163</v>
      </c>
      <c r="P4099" s="5">
        <v>5836.7810663002319</v>
      </c>
      <c r="Q4099" s="5">
        <v>13214.632802255031</v>
      </c>
      <c r="R4099" s="5">
        <v>9913.4206865238284</v>
      </c>
    </row>
    <row r="4100" spans="9:18">
      <c r="I4100" s="4">
        <v>4085</v>
      </c>
      <c r="J4100" s="5">
        <v>16088.430030489333</v>
      </c>
      <c r="K4100" s="5">
        <v>8124.7965732661823</v>
      </c>
      <c r="L4100" s="5">
        <v>14264.23790876064</v>
      </c>
      <c r="M4100" s="5">
        <v>17116.951435661951</v>
      </c>
      <c r="N4100" s="5">
        <v>12297.015342318469</v>
      </c>
      <c r="O4100" s="5">
        <v>77417.02098927302</v>
      </c>
      <c r="P4100" s="5">
        <v>25258.981945036445</v>
      </c>
      <c r="Q4100" s="5">
        <v>129470.11441833655</v>
      </c>
      <c r="R4100" s="5">
        <v>7784.2246210242874</v>
      </c>
    </row>
    <row r="4101" spans="9:18">
      <c r="I4101" s="4">
        <v>4086</v>
      </c>
      <c r="J4101" s="5">
        <v>19121.054099180623</v>
      </c>
      <c r="K4101" s="5">
        <v>16934.093371663999</v>
      </c>
      <c r="L4101" s="5">
        <v>15651.346103181355</v>
      </c>
      <c r="M4101" s="5">
        <v>10111.451009425113</v>
      </c>
      <c r="N4101" s="5">
        <v>20583.564383988036</v>
      </c>
      <c r="O4101" s="5">
        <v>40942.522561879181</v>
      </c>
      <c r="P4101" s="5">
        <v>14327.191387816954</v>
      </c>
      <c r="Q4101" s="5">
        <v>31974.553851773013</v>
      </c>
      <c r="R4101" s="5">
        <v>41418.225609677866</v>
      </c>
    </row>
    <row r="4102" spans="9:18">
      <c r="I4102" s="4">
        <v>4087</v>
      </c>
      <c r="J4102" s="5">
        <v>28085.9245102444</v>
      </c>
      <c r="K4102" s="5">
        <v>20887.307279900142</v>
      </c>
      <c r="L4102" s="5">
        <v>13622.976145621742</v>
      </c>
      <c r="M4102" s="5">
        <v>12934.591863415189</v>
      </c>
      <c r="N4102" s="5">
        <v>51261.622558090799</v>
      </c>
      <c r="O4102" s="5">
        <v>27068.054847826614</v>
      </c>
      <c r="P4102" s="5">
        <v>13793.886507202402</v>
      </c>
      <c r="Q4102" s="5">
        <v>18097.768262249352</v>
      </c>
      <c r="R4102" s="5">
        <v>33290.909836056817</v>
      </c>
    </row>
    <row r="4103" spans="9:18">
      <c r="I4103" s="4">
        <v>4088</v>
      </c>
      <c r="J4103" s="5">
        <v>9368.8270679249108</v>
      </c>
      <c r="K4103" s="5">
        <v>13719.930466819731</v>
      </c>
      <c r="L4103" s="5">
        <v>15161.007794371622</v>
      </c>
      <c r="M4103" s="5">
        <v>13022.686998540772</v>
      </c>
      <c r="N4103" s="5">
        <v>39406.658185292261</v>
      </c>
      <c r="O4103" s="5">
        <v>26565.882515615398</v>
      </c>
      <c r="P4103" s="5">
        <v>41657.50350099193</v>
      </c>
      <c r="Q4103" s="5">
        <v>42044.890065817184</v>
      </c>
      <c r="R4103" s="5">
        <v>7118.1729476780347</v>
      </c>
    </row>
    <row r="4104" spans="9:18">
      <c r="I4104" s="4">
        <v>4089</v>
      </c>
      <c r="J4104" s="5">
        <v>22370.105711697011</v>
      </c>
      <c r="K4104" s="5">
        <v>56656.842992470461</v>
      </c>
      <c r="L4104" s="5">
        <v>13023.361770761438</v>
      </c>
      <c r="M4104" s="5">
        <v>23454.775510296178</v>
      </c>
      <c r="N4104" s="5">
        <v>29468.83360104046</v>
      </c>
      <c r="O4104" s="5">
        <v>94068.324736096256</v>
      </c>
      <c r="P4104" s="5">
        <v>44816.412248582856</v>
      </c>
      <c r="Q4104" s="5">
        <v>4631.7430487757983</v>
      </c>
      <c r="R4104" s="5">
        <v>59414.886464347241</v>
      </c>
    </row>
    <row r="4105" spans="9:18">
      <c r="I4105" s="4">
        <v>4090</v>
      </c>
      <c r="J4105" s="5">
        <v>8580.4413740966302</v>
      </c>
      <c r="K4105" s="5">
        <v>15391.837334808681</v>
      </c>
      <c r="L4105" s="5">
        <v>29265.217478369766</v>
      </c>
      <c r="M4105" s="5">
        <v>14660.631931099009</v>
      </c>
      <c r="N4105" s="5">
        <v>25549.748582175915</v>
      </c>
      <c r="O4105" s="5">
        <v>35286.662852302201</v>
      </c>
      <c r="P4105" s="5">
        <v>95486.196907583406</v>
      </c>
      <c r="Q4105" s="5">
        <v>37497.234505125656</v>
      </c>
      <c r="R4105" s="5">
        <v>7952.6989268572033</v>
      </c>
    </row>
    <row r="4106" spans="9:18">
      <c r="I4106" s="4">
        <v>4091</v>
      </c>
      <c r="J4106" s="5">
        <v>14710.037865351254</v>
      </c>
      <c r="K4106" s="5">
        <v>26110.948843472826</v>
      </c>
      <c r="L4106" s="5">
        <v>18379.634651549037</v>
      </c>
      <c r="M4106" s="5">
        <v>12426.949970383979</v>
      </c>
      <c r="N4106" s="5">
        <v>23008.246229813707</v>
      </c>
      <c r="O4106" s="5">
        <v>16505.600261180331</v>
      </c>
      <c r="P4106" s="5">
        <v>16650.229067545235</v>
      </c>
      <c r="Q4106" s="5">
        <v>9454.5906023793759</v>
      </c>
      <c r="R4106" s="5">
        <v>10885.018205103002</v>
      </c>
    </row>
    <row r="4107" spans="9:18">
      <c r="I4107" s="4">
        <v>4092</v>
      </c>
      <c r="J4107" s="5">
        <v>19121.054099180623</v>
      </c>
      <c r="K4107" s="5">
        <v>14017.262946034314</v>
      </c>
      <c r="L4107" s="5">
        <v>17845.207337527903</v>
      </c>
      <c r="M4107" s="5">
        <v>19890.009981657669</v>
      </c>
      <c r="N4107" s="5">
        <v>12297.015342318469</v>
      </c>
      <c r="O4107" s="5">
        <v>13613.378495715853</v>
      </c>
      <c r="P4107" s="5">
        <v>54100.778483493887</v>
      </c>
      <c r="Q4107" s="5">
        <v>14064.158297039334</v>
      </c>
      <c r="R4107" s="5">
        <v>261393.32711858812</v>
      </c>
    </row>
    <row r="4108" spans="9:18">
      <c r="I4108" s="4">
        <v>4093</v>
      </c>
      <c r="J4108" s="5">
        <v>31053.540961463306</v>
      </c>
      <c r="K4108" s="5">
        <v>15347.101709242541</v>
      </c>
      <c r="L4108" s="5">
        <v>17243.440968229323</v>
      </c>
      <c r="M4108" s="5">
        <v>10142.860128720422</v>
      </c>
      <c r="N4108" s="5">
        <v>21931.347680292267</v>
      </c>
      <c r="O4108" s="5">
        <v>5444.7598502623823</v>
      </c>
      <c r="P4108" s="5">
        <v>9482.0186426688688</v>
      </c>
      <c r="Q4108" s="5">
        <v>73941.636731325911</v>
      </c>
      <c r="R4108" s="5">
        <v>91403.228438796665</v>
      </c>
    </row>
    <row r="4109" spans="9:18">
      <c r="I4109" s="4">
        <v>4094</v>
      </c>
      <c r="J4109" s="5">
        <v>73074.062486361407</v>
      </c>
      <c r="K4109" s="5">
        <v>21187.174639714212</v>
      </c>
      <c r="L4109" s="5">
        <v>23760.785349782636</v>
      </c>
      <c r="M4109" s="5">
        <v>30785.663999045999</v>
      </c>
      <c r="N4109" s="5">
        <v>11952.903761138405</v>
      </c>
      <c r="O4109" s="5">
        <v>31172.963108652857</v>
      </c>
      <c r="P4109" s="5">
        <v>55119.366528283317</v>
      </c>
      <c r="Q4109" s="5">
        <v>59134.059519022907</v>
      </c>
      <c r="R4109" s="5">
        <v>1535.701520095213</v>
      </c>
    </row>
    <row r="4110" spans="9:18">
      <c r="I4110" s="4">
        <v>4095</v>
      </c>
      <c r="J4110" s="5">
        <v>14538.277247583976</v>
      </c>
      <c r="K4110" s="5">
        <v>18821.113178054162</v>
      </c>
      <c r="L4110" s="5">
        <v>15471.738323660695</v>
      </c>
      <c r="M4110" s="5">
        <v>37411.178129764201</v>
      </c>
      <c r="N4110" s="5">
        <v>23998.040874392525</v>
      </c>
      <c r="O4110" s="5">
        <v>32474.063027682765</v>
      </c>
      <c r="P4110" s="5">
        <v>31127.87225845682</v>
      </c>
      <c r="Q4110" s="5">
        <v>31855.809428519857</v>
      </c>
      <c r="R4110" s="5">
        <v>54594.567438884274</v>
      </c>
    </row>
    <row r="4111" spans="9:18">
      <c r="I4111" s="4">
        <v>4096</v>
      </c>
      <c r="J4111" s="5">
        <v>9368.8270679249108</v>
      </c>
      <c r="K4111" s="5">
        <v>26110.948843472826</v>
      </c>
      <c r="L4111" s="5">
        <v>13867.07093008449</v>
      </c>
      <c r="M4111" s="5">
        <v>20788.503422877813</v>
      </c>
      <c r="N4111" s="5">
        <v>28426.778914975595</v>
      </c>
      <c r="O4111" s="5">
        <v>16572.483389649329</v>
      </c>
      <c r="P4111" s="5">
        <v>66904.018529955298</v>
      </c>
      <c r="Q4111" s="5">
        <v>30266.563414010914</v>
      </c>
      <c r="R4111" s="5">
        <v>10885.018205103002</v>
      </c>
    </row>
    <row r="4112" spans="9:18">
      <c r="I4112" s="4">
        <v>4097</v>
      </c>
      <c r="J4112" s="5">
        <v>8580.4413740966302</v>
      </c>
      <c r="K4112" s="5">
        <v>21527.93129974293</v>
      </c>
      <c r="L4112" s="5">
        <v>14344.859750762502</v>
      </c>
      <c r="M4112" s="5">
        <v>23908.621352410395</v>
      </c>
      <c r="N4112" s="5">
        <v>18410.937863650517</v>
      </c>
      <c r="O4112" s="5">
        <v>51330.340277512776</v>
      </c>
      <c r="P4112" s="5">
        <v>18963.234565965948</v>
      </c>
      <c r="Q4112" s="5">
        <v>15623.622662102793</v>
      </c>
      <c r="R4112" s="5">
        <v>12130.167062525341</v>
      </c>
    </row>
    <row r="4113" spans="9:18">
      <c r="I4113" s="4">
        <v>4098</v>
      </c>
      <c r="J4113" s="5">
        <v>28590.354879265724</v>
      </c>
      <c r="K4113" s="5">
        <v>14497.035717129334</v>
      </c>
      <c r="L4113" s="5">
        <v>14364.472927446199</v>
      </c>
      <c r="M4113" s="5">
        <v>29834.240613550006</v>
      </c>
      <c r="N4113" s="5">
        <v>51261.622558090799</v>
      </c>
      <c r="O4113" s="5">
        <v>15936.062371781712</v>
      </c>
      <c r="P4113" s="5">
        <v>55119.366528283317</v>
      </c>
      <c r="Q4113" s="5">
        <v>22895.455950885695</v>
      </c>
      <c r="R4113" s="5">
        <v>3989.7956692889929</v>
      </c>
    </row>
    <row r="4114" spans="9:18">
      <c r="I4114" s="4">
        <v>4099</v>
      </c>
      <c r="J4114" s="5">
        <v>16459.003095225507</v>
      </c>
      <c r="K4114" s="5">
        <v>19467.955014411935</v>
      </c>
      <c r="L4114" s="5">
        <v>19189.275558866306</v>
      </c>
      <c r="M4114" s="5">
        <v>13022.686998540772</v>
      </c>
      <c r="N4114" s="5">
        <v>57711.498171893618</v>
      </c>
      <c r="O4114" s="5">
        <v>27195.510785031525</v>
      </c>
      <c r="P4114" s="5">
        <v>33715.790977629549</v>
      </c>
      <c r="Q4114" s="5">
        <v>7349.2234634219121</v>
      </c>
      <c r="R4114" s="5">
        <v>93933.045103013996</v>
      </c>
    </row>
    <row r="4115" spans="9:18">
      <c r="I4115" s="4">
        <v>4100</v>
      </c>
      <c r="J4115" s="5">
        <v>8580.4413740966302</v>
      </c>
      <c r="K4115" s="5">
        <v>34164.842952759042</v>
      </c>
      <c r="L4115" s="5">
        <v>14649.721476864312</v>
      </c>
      <c r="M4115" s="5">
        <v>16510.442870615672</v>
      </c>
      <c r="N4115" s="5">
        <v>23998.040874392525</v>
      </c>
      <c r="O4115" s="5">
        <v>14371.728352806511</v>
      </c>
      <c r="P4115" s="5">
        <v>38771.994792132391</v>
      </c>
      <c r="Q4115" s="5">
        <v>9645.8788061228515</v>
      </c>
      <c r="R4115" s="5">
        <v>123773.40402252052</v>
      </c>
    </row>
    <row r="4116" spans="9:18">
      <c r="I4116" s="4">
        <v>4101</v>
      </c>
      <c r="J4116" s="5">
        <v>11036.461796239426</v>
      </c>
      <c r="K4116" s="5">
        <v>14095.75230105142</v>
      </c>
      <c r="L4116" s="5">
        <v>16777.996633299583</v>
      </c>
      <c r="M4116" s="5">
        <v>19890.009981657669</v>
      </c>
      <c r="N4116" s="5">
        <v>17214.078970533748</v>
      </c>
      <c r="O4116" s="5">
        <v>13519.384207850644</v>
      </c>
      <c r="P4116" s="5">
        <v>31127.87225845682</v>
      </c>
      <c r="Q4116" s="5">
        <v>35525.432376048877</v>
      </c>
      <c r="R4116" s="5">
        <v>50287.76786557267</v>
      </c>
    </row>
    <row r="4117" spans="9:18">
      <c r="I4117" s="4">
        <v>4102</v>
      </c>
      <c r="J4117" s="5">
        <v>33627.941293959229</v>
      </c>
      <c r="K4117" s="5">
        <v>30552.499930043898</v>
      </c>
      <c r="L4117" s="5">
        <v>19359.475411188432</v>
      </c>
      <c r="M4117" s="5">
        <v>10451.914120098167</v>
      </c>
      <c r="N4117" s="5">
        <v>15786.177386596903</v>
      </c>
      <c r="O4117" s="5">
        <v>13613.378495715853</v>
      </c>
      <c r="P4117" s="5">
        <v>12639.596794453437</v>
      </c>
      <c r="Q4117" s="5">
        <v>9454.5906023793759</v>
      </c>
      <c r="R4117" s="5">
        <v>3311.4906988006405</v>
      </c>
    </row>
    <row r="4118" spans="9:18">
      <c r="I4118" s="4">
        <v>4103</v>
      </c>
      <c r="J4118" s="5">
        <v>9368.8270679249108</v>
      </c>
      <c r="K4118" s="5">
        <v>15391.837334808681</v>
      </c>
      <c r="L4118" s="5">
        <v>17578.712723867691</v>
      </c>
      <c r="M4118" s="5">
        <v>14432.283063351901</v>
      </c>
      <c r="N4118" s="5">
        <v>26565.664379767408</v>
      </c>
      <c r="O4118" s="5">
        <v>27195.510785031525</v>
      </c>
      <c r="P4118" s="5">
        <v>10966.822219855034</v>
      </c>
      <c r="Q4118" s="5">
        <v>28776.080424849053</v>
      </c>
      <c r="R4118" s="5">
        <v>39263.770877572199</v>
      </c>
    </row>
    <row r="4119" spans="9:18">
      <c r="I4119" s="4">
        <v>4104</v>
      </c>
      <c r="J4119" s="5">
        <v>15873.12561080002</v>
      </c>
      <c r="K4119" s="5">
        <v>16952.949313901812</v>
      </c>
      <c r="L4119" s="5">
        <v>23561.450544884348</v>
      </c>
      <c r="M4119" s="5">
        <v>29058.117767351498</v>
      </c>
      <c r="N4119" s="5">
        <v>21617.945168312468</v>
      </c>
      <c r="O4119" s="5">
        <v>55264.438774006347</v>
      </c>
      <c r="P4119" s="5">
        <v>17996.895987204196</v>
      </c>
      <c r="Q4119" s="5">
        <v>8880.8074399558282</v>
      </c>
      <c r="R4119" s="5">
        <v>14051.647494499957</v>
      </c>
    </row>
    <row r="4120" spans="9:18">
      <c r="I4120" s="4">
        <v>4105</v>
      </c>
      <c r="J4120" s="5">
        <v>16544.73779470181</v>
      </c>
      <c r="K4120" s="5">
        <v>18218.584572172625</v>
      </c>
      <c r="L4120" s="5">
        <v>22018.381599979773</v>
      </c>
      <c r="M4120" s="5">
        <v>32751.734100446065</v>
      </c>
      <c r="N4120" s="5">
        <v>17811.114014514766</v>
      </c>
      <c r="O4120" s="5">
        <v>30608.431994348266</v>
      </c>
      <c r="P4120" s="5">
        <v>33715.790977629549</v>
      </c>
      <c r="Q4120" s="5">
        <v>37802.358878968138</v>
      </c>
      <c r="R4120" s="5">
        <v>14706.681111065362</v>
      </c>
    </row>
    <row r="4121" spans="9:18">
      <c r="I4121" s="4">
        <v>4106</v>
      </c>
      <c r="J4121" s="5">
        <v>11116.191595722205</v>
      </c>
      <c r="K4121" s="5">
        <v>15347.101709242541</v>
      </c>
      <c r="L4121" s="5">
        <v>16616.161224349555</v>
      </c>
      <c r="M4121" s="5">
        <v>42282.977640783138</v>
      </c>
      <c r="N4121" s="5">
        <v>10882.757905166785</v>
      </c>
      <c r="O4121" s="5">
        <v>66253.993323243907</v>
      </c>
      <c r="P4121" s="5">
        <v>9965.8330787532959</v>
      </c>
      <c r="Q4121" s="5">
        <v>19541.409060825732</v>
      </c>
      <c r="R4121" s="5">
        <v>3311.4906988006405</v>
      </c>
    </row>
    <row r="4122" spans="9:18">
      <c r="I4122" s="4">
        <v>4107</v>
      </c>
      <c r="J4122" s="5">
        <v>21888.821432026474</v>
      </c>
      <c r="K4122" s="5">
        <v>14854.898507619706</v>
      </c>
      <c r="L4122" s="5">
        <v>27289.607394458035</v>
      </c>
      <c r="M4122" s="5">
        <v>29041.83725675238</v>
      </c>
      <c r="N4122" s="5">
        <v>39406.658185292261</v>
      </c>
      <c r="O4122" s="5">
        <v>20930.098352661731</v>
      </c>
      <c r="P4122" s="5">
        <v>54923.423457863879</v>
      </c>
      <c r="Q4122" s="5">
        <v>37802.358878968138</v>
      </c>
      <c r="R4122" s="5">
        <v>17304.847214362417</v>
      </c>
    </row>
    <row r="4123" spans="9:18">
      <c r="I4123" s="4">
        <v>4108</v>
      </c>
      <c r="J4123" s="5">
        <v>13391.049101507895</v>
      </c>
      <c r="K4123" s="5">
        <v>15347.101709242541</v>
      </c>
      <c r="L4123" s="5">
        <v>27289.607394458035</v>
      </c>
      <c r="M4123" s="5">
        <v>41403.687663920646</v>
      </c>
      <c r="N4123" s="5">
        <v>4770.4216775830728</v>
      </c>
      <c r="O4123" s="5">
        <v>16505.600261180331</v>
      </c>
      <c r="P4123" s="5">
        <v>20403.656304140692</v>
      </c>
      <c r="Q4123" s="5">
        <v>59964.86015574776</v>
      </c>
      <c r="R4123" s="5">
        <v>3989.7956692889929</v>
      </c>
    </row>
    <row r="4124" spans="9:18">
      <c r="I4124" s="4">
        <v>4109</v>
      </c>
      <c r="J4124" s="5">
        <v>14076.209333698853</v>
      </c>
      <c r="K4124" s="5">
        <v>9739.7813029644258</v>
      </c>
      <c r="L4124" s="5">
        <v>15764.107424863063</v>
      </c>
      <c r="M4124" s="5">
        <v>16001.653036457456</v>
      </c>
      <c r="N4124" s="5">
        <v>40377.252444397986</v>
      </c>
      <c r="O4124" s="5">
        <v>59207.798737851255</v>
      </c>
      <c r="P4124" s="5">
        <v>33500.490132682797</v>
      </c>
      <c r="Q4124" s="5">
        <v>17153.530968450712</v>
      </c>
      <c r="R4124" s="5">
        <v>123773.40402252052</v>
      </c>
    </row>
    <row r="4125" spans="9:18">
      <c r="I4125" s="4">
        <v>4110</v>
      </c>
      <c r="J4125" s="5">
        <v>12701.339251949787</v>
      </c>
      <c r="K4125" s="5">
        <v>13559.080695844099</v>
      </c>
      <c r="L4125" s="5">
        <v>16293.265064857471</v>
      </c>
      <c r="M4125" s="5">
        <v>13022.686998540772</v>
      </c>
      <c r="N4125" s="5">
        <v>34295.124147811541</v>
      </c>
      <c r="O4125" s="5">
        <v>62082.6862081785</v>
      </c>
      <c r="P4125" s="5">
        <v>44816.412248582856</v>
      </c>
      <c r="Q4125" s="5">
        <v>64585.328088516922</v>
      </c>
      <c r="R4125" s="5">
        <v>59414.886464347241</v>
      </c>
    </row>
    <row r="4126" spans="9:18">
      <c r="I4126" s="4">
        <v>4111</v>
      </c>
      <c r="J4126" s="5">
        <v>20768.286261788198</v>
      </c>
      <c r="K4126" s="5">
        <v>17003.901855709089</v>
      </c>
      <c r="L4126" s="5">
        <v>17716.90539191998</v>
      </c>
      <c r="M4126" s="5">
        <v>32751.734100446065</v>
      </c>
      <c r="N4126" s="5">
        <v>41563.89847100406</v>
      </c>
      <c r="O4126" s="5">
        <v>67717.30633712461</v>
      </c>
      <c r="P4126" s="5">
        <v>17996.895987204196</v>
      </c>
      <c r="Q4126" s="5">
        <v>8832.660767995616</v>
      </c>
      <c r="R4126" s="5">
        <v>44707.053087992797</v>
      </c>
    </row>
    <row r="4127" spans="9:18">
      <c r="I4127" s="4">
        <v>4112</v>
      </c>
      <c r="J4127" s="5">
        <v>15648.665245032147</v>
      </c>
      <c r="K4127" s="5">
        <v>14017.262946034314</v>
      </c>
      <c r="L4127" s="5">
        <v>14649.721476864312</v>
      </c>
      <c r="M4127" s="5">
        <v>21712.71007234112</v>
      </c>
      <c r="N4127" s="5">
        <v>14335.478134989447</v>
      </c>
      <c r="O4127" s="5">
        <v>27503.656957929088</v>
      </c>
      <c r="P4127" s="5">
        <v>14316.965520592317</v>
      </c>
      <c r="Q4127" s="5">
        <v>43417.41805414496</v>
      </c>
      <c r="R4127" s="5">
        <v>31715.273557891396</v>
      </c>
    </row>
    <row r="4128" spans="9:18">
      <c r="I4128" s="4">
        <v>4113</v>
      </c>
      <c r="J4128" s="5">
        <v>14710.037865351254</v>
      </c>
      <c r="K4128" s="5">
        <v>14136.873097602549</v>
      </c>
      <c r="L4128" s="5">
        <v>14796.875457021113</v>
      </c>
      <c r="M4128" s="5">
        <v>33862.836621974391</v>
      </c>
      <c r="N4128" s="5">
        <v>24769.339976495565</v>
      </c>
      <c r="O4128" s="5">
        <v>20991.103410982985</v>
      </c>
      <c r="P4128" s="5">
        <v>39054.462981000084</v>
      </c>
      <c r="Q4128" s="5">
        <v>92068.726035424203</v>
      </c>
      <c r="R4128" s="5">
        <v>16039.216896723072</v>
      </c>
    </row>
    <row r="4129" spans="9:18">
      <c r="I4129" s="4">
        <v>4114</v>
      </c>
      <c r="J4129" s="5">
        <v>33627.941293959229</v>
      </c>
      <c r="K4129" s="5">
        <v>61827.107730316675</v>
      </c>
      <c r="L4129" s="5">
        <v>13417.453622029931</v>
      </c>
      <c r="M4129" s="5">
        <v>22326.253555179093</v>
      </c>
      <c r="N4129" s="5">
        <v>11604.12831603515</v>
      </c>
      <c r="O4129" s="5">
        <v>9320.7026593487881</v>
      </c>
      <c r="P4129" s="5">
        <v>21813.848941464526</v>
      </c>
      <c r="Q4129" s="5">
        <v>9652.8114206999071</v>
      </c>
      <c r="R4129" s="5">
        <v>91403.228438796665</v>
      </c>
    </row>
    <row r="4130" spans="9:18">
      <c r="I4130" s="4">
        <v>4115</v>
      </c>
      <c r="J4130" s="5">
        <v>19048.674633640545</v>
      </c>
      <c r="K4130" s="5">
        <v>8124.7965732661823</v>
      </c>
      <c r="L4130" s="5">
        <v>17716.90539191998</v>
      </c>
      <c r="M4130" s="5">
        <v>13414.385151739983</v>
      </c>
      <c r="N4130" s="5">
        <v>15786.177386596903</v>
      </c>
      <c r="O4130" s="5">
        <v>13966.178986479143</v>
      </c>
      <c r="P4130" s="5">
        <v>95486.196907583406</v>
      </c>
      <c r="Q4130" s="5">
        <v>48756.323642664109</v>
      </c>
      <c r="R4130" s="5">
        <v>302760.11878714536</v>
      </c>
    </row>
    <row r="4131" spans="9:18">
      <c r="I4131" s="4">
        <v>4116</v>
      </c>
      <c r="J4131" s="5">
        <v>22188.291830993156</v>
      </c>
      <c r="K4131" s="5">
        <v>20887.307279900142</v>
      </c>
      <c r="L4131" s="5">
        <v>17128.574519497746</v>
      </c>
      <c r="M4131" s="5">
        <v>17370.588707072598</v>
      </c>
      <c r="N4131" s="5">
        <v>39672.376281023731</v>
      </c>
      <c r="O4131" s="5">
        <v>8801.3667015774663</v>
      </c>
      <c r="P4131" s="5">
        <v>10532.667493814919</v>
      </c>
      <c r="Q4131" s="5">
        <v>16591.881190929333</v>
      </c>
      <c r="R4131" s="5">
        <v>18349.337771428582</v>
      </c>
    </row>
    <row r="4132" spans="9:18">
      <c r="I4132" s="4">
        <v>4117</v>
      </c>
      <c r="J4132" s="5">
        <v>16156.372629961115</v>
      </c>
      <c r="K4132" s="5">
        <v>9739.7813029644258</v>
      </c>
      <c r="L4132" s="5">
        <v>10752.183901283248</v>
      </c>
      <c r="M4132" s="5">
        <v>18816.787977140237</v>
      </c>
      <c r="N4132" s="5">
        <v>22511.351424689696</v>
      </c>
      <c r="O4132" s="5">
        <v>13613.378495715853</v>
      </c>
      <c r="P4132" s="5">
        <v>38771.994792132391</v>
      </c>
      <c r="Q4132" s="5">
        <v>10151.908492905288</v>
      </c>
      <c r="R4132" s="5">
        <v>9913.4206865238284</v>
      </c>
    </row>
    <row r="4133" spans="9:18">
      <c r="I4133" s="4">
        <v>4118</v>
      </c>
      <c r="J4133" s="5">
        <v>13663.281817546009</v>
      </c>
      <c r="K4133" s="5">
        <v>11558.357574452555</v>
      </c>
      <c r="L4133" s="5">
        <v>14815.394001212817</v>
      </c>
      <c r="M4133" s="5">
        <v>21712.71007234112</v>
      </c>
      <c r="N4133" s="5">
        <v>8555.1229659096207</v>
      </c>
      <c r="O4133" s="5">
        <v>49114.195066822271</v>
      </c>
      <c r="P4133" s="5">
        <v>27820.721938889761</v>
      </c>
      <c r="Q4133" s="5">
        <v>22483.395143121877</v>
      </c>
      <c r="R4133" s="5">
        <v>33290.909836056817</v>
      </c>
    </row>
    <row r="4134" spans="9:18">
      <c r="I4134" s="4">
        <v>4119</v>
      </c>
      <c r="J4134" s="5">
        <v>28214.771032351968</v>
      </c>
      <c r="K4134" s="5">
        <v>16665.1498926479</v>
      </c>
      <c r="L4134" s="5">
        <v>15126.980926457318</v>
      </c>
      <c r="M4134" s="5">
        <v>23449.501569180404</v>
      </c>
      <c r="N4134" s="5">
        <v>39672.376281023731</v>
      </c>
      <c r="O4134" s="5">
        <v>45451.954570113048</v>
      </c>
      <c r="P4134" s="5">
        <v>95486.196907583406</v>
      </c>
      <c r="Q4134" s="5">
        <v>96632.959478514502</v>
      </c>
      <c r="R4134" s="5">
        <v>18230.645544621442</v>
      </c>
    </row>
    <row r="4135" spans="9:18">
      <c r="I4135" s="4">
        <v>4120</v>
      </c>
      <c r="J4135" s="5">
        <v>14420.293087375476</v>
      </c>
      <c r="K4135" s="5">
        <v>12026.500118162745</v>
      </c>
      <c r="L4135" s="5">
        <v>17845.207337527903</v>
      </c>
      <c r="M4135" s="5">
        <v>20185.026038758231</v>
      </c>
      <c r="N4135" s="5">
        <v>63974.903847153939</v>
      </c>
      <c r="O4135" s="5">
        <v>27503.656957929088</v>
      </c>
      <c r="P4135" s="5">
        <v>27452.975716953504</v>
      </c>
      <c r="Q4135" s="5">
        <v>28776.080424849053</v>
      </c>
      <c r="R4135" s="5">
        <v>20303.08745527079</v>
      </c>
    </row>
    <row r="4136" spans="9:18">
      <c r="I4136" s="4">
        <v>4121</v>
      </c>
      <c r="J4136" s="5">
        <v>31053.540961463306</v>
      </c>
      <c r="K4136" s="5">
        <v>14136.873097602549</v>
      </c>
      <c r="L4136" s="5">
        <v>16017.890956041876</v>
      </c>
      <c r="M4136" s="5">
        <v>10142.860128720422</v>
      </c>
      <c r="N4136" s="5">
        <v>23583.581287126868</v>
      </c>
      <c r="O4136" s="5">
        <v>30876.675913171162</v>
      </c>
      <c r="P4136" s="5">
        <v>8662.4232458952465</v>
      </c>
      <c r="Q4136" s="5">
        <v>18097.768262249352</v>
      </c>
      <c r="R4136" s="5">
        <v>29295.938844292672</v>
      </c>
    </row>
    <row r="4137" spans="9:18">
      <c r="I4137" s="4">
        <v>4122</v>
      </c>
      <c r="J4137" s="5">
        <v>19121.054099180623</v>
      </c>
      <c r="K4137" s="5">
        <v>6949.5708823216592</v>
      </c>
      <c r="L4137" s="5">
        <v>16616.161224349555</v>
      </c>
      <c r="M4137" s="5">
        <v>18043.539897080744</v>
      </c>
      <c r="N4137" s="5">
        <v>57711.498171893618</v>
      </c>
      <c r="O4137" s="5">
        <v>19492.655596593511</v>
      </c>
      <c r="P4137" s="5">
        <v>21813.848941464526</v>
      </c>
      <c r="Q4137" s="5">
        <v>8474.2603471579441</v>
      </c>
      <c r="R4137" s="5">
        <v>7784.2246210242874</v>
      </c>
    </row>
    <row r="4138" spans="9:18">
      <c r="I4138" s="4">
        <v>4123</v>
      </c>
      <c r="J4138" s="5">
        <v>13841.207384998772</v>
      </c>
      <c r="K4138" s="5">
        <v>13288.692555879701</v>
      </c>
      <c r="L4138" s="5">
        <v>13417.453622029931</v>
      </c>
      <c r="M4138" s="5">
        <v>31554.722481137964</v>
      </c>
      <c r="N4138" s="5">
        <v>13511.694619545402</v>
      </c>
      <c r="O4138" s="5">
        <v>16826.763259351828</v>
      </c>
      <c r="P4138" s="5">
        <v>36724.352187786957</v>
      </c>
      <c r="Q4138" s="5">
        <v>3909.239690544402</v>
      </c>
      <c r="R4138" s="5">
        <v>8105.1944146993656</v>
      </c>
    </row>
    <row r="4139" spans="9:18">
      <c r="I4139" s="4">
        <v>4124</v>
      </c>
      <c r="J4139" s="5">
        <v>14017.326487344162</v>
      </c>
      <c r="K4139" s="5">
        <v>11507.182177474708</v>
      </c>
      <c r="L4139" s="5">
        <v>22412.045018675239</v>
      </c>
      <c r="M4139" s="5">
        <v>12735.841453044006</v>
      </c>
      <c r="N4139" s="5">
        <v>20583.564383988036</v>
      </c>
      <c r="O4139" s="5">
        <v>20930.098352661731</v>
      </c>
      <c r="P4139" s="5">
        <v>66904.018529955298</v>
      </c>
      <c r="Q4139" s="5">
        <v>68168.482468129529</v>
      </c>
      <c r="R4139" s="5">
        <v>7784.2246210242874</v>
      </c>
    </row>
    <row r="4140" spans="9:18">
      <c r="I4140" s="4">
        <v>4125</v>
      </c>
      <c r="J4140" s="5">
        <v>15064.079707240266</v>
      </c>
      <c r="K4140" s="5">
        <v>15698.764831033119</v>
      </c>
      <c r="L4140" s="5">
        <v>16472.138192556791</v>
      </c>
      <c r="M4140" s="5">
        <v>21833.004790208965</v>
      </c>
      <c r="N4140" s="5">
        <v>22010.718648995869</v>
      </c>
      <c r="O4140" s="5">
        <v>28431.436490368542</v>
      </c>
      <c r="P4140" s="5">
        <v>8069.5385577067918</v>
      </c>
      <c r="Q4140" s="5">
        <v>52421.574537857021</v>
      </c>
      <c r="R4140" s="5">
        <v>33863.04333215439</v>
      </c>
    </row>
    <row r="4141" spans="9:18">
      <c r="I4141" s="4">
        <v>4126</v>
      </c>
      <c r="J4141" s="5">
        <v>23517.429992060665</v>
      </c>
      <c r="K4141" s="5">
        <v>17128.860847126922</v>
      </c>
      <c r="L4141" s="5">
        <v>17128.574519497746</v>
      </c>
      <c r="M4141" s="5">
        <v>19097.39635881727</v>
      </c>
      <c r="N4141" s="5">
        <v>11251.634703629026</v>
      </c>
      <c r="O4141" s="5">
        <v>66253.993323243907</v>
      </c>
      <c r="P4141" s="5">
        <v>21039.927746191301</v>
      </c>
      <c r="Q4141" s="5">
        <v>22483.395143121877</v>
      </c>
      <c r="R4141" s="5">
        <v>181970.23111012415</v>
      </c>
    </row>
    <row r="4142" spans="9:18">
      <c r="I4142" s="4">
        <v>4127</v>
      </c>
      <c r="J4142" s="5">
        <v>28590.354879265724</v>
      </c>
      <c r="K4142" s="5">
        <v>11558.357574452555</v>
      </c>
      <c r="L4142" s="5">
        <v>14042.41908879921</v>
      </c>
      <c r="M4142" s="5">
        <v>13616.35938654862</v>
      </c>
      <c r="N4142" s="5">
        <v>21933.097106966918</v>
      </c>
      <c r="O4142" s="5">
        <v>10738.305003664611</v>
      </c>
      <c r="P4142" s="5">
        <v>9826.8369575407578</v>
      </c>
      <c r="Q4142" s="5">
        <v>54060.5331097772</v>
      </c>
      <c r="R4142" s="5">
        <v>46004.399892616471</v>
      </c>
    </row>
    <row r="4143" spans="9:18">
      <c r="I4143" s="4">
        <v>4128</v>
      </c>
      <c r="J4143" s="5">
        <v>17679.321624063952</v>
      </c>
      <c r="K4143" s="5">
        <v>22732.797143159998</v>
      </c>
      <c r="L4143" s="5">
        <v>17845.207337527903</v>
      </c>
      <c r="M4143" s="5">
        <v>19262.243095117232</v>
      </c>
      <c r="N4143" s="5">
        <v>27841.916587595573</v>
      </c>
      <c r="O4143" s="5">
        <v>40942.522561879181</v>
      </c>
      <c r="P4143" s="5">
        <v>49519.098753410741</v>
      </c>
      <c r="Q4143" s="5">
        <v>42044.890065817184</v>
      </c>
      <c r="R4143" s="5">
        <v>39263.770877572199</v>
      </c>
    </row>
    <row r="4144" spans="9:18">
      <c r="I4144" s="4">
        <v>4129</v>
      </c>
      <c r="J4144" s="5">
        <v>11936.262457073821</v>
      </c>
      <c r="K4144" s="5">
        <v>11558.357574452555</v>
      </c>
      <c r="L4144" s="5">
        <v>18634.523182776735</v>
      </c>
      <c r="M4144" s="5">
        <v>41403.687663920646</v>
      </c>
      <c r="N4144" s="5">
        <v>15130.853682762778</v>
      </c>
      <c r="O4144" s="5">
        <v>25644.588869829797</v>
      </c>
      <c r="P4144" s="5">
        <v>20403.656304140692</v>
      </c>
      <c r="Q4144" s="5">
        <v>7457.1844090365566</v>
      </c>
      <c r="R4144" s="5">
        <v>182942.88598316166</v>
      </c>
    </row>
    <row r="4145" spans="9:18">
      <c r="I4145" s="4">
        <v>4130</v>
      </c>
      <c r="J4145" s="5">
        <v>14750.660273177687</v>
      </c>
      <c r="K4145" s="5">
        <v>13520.836427679104</v>
      </c>
      <c r="L4145" s="5">
        <v>16017.890956041876</v>
      </c>
      <c r="M4145" s="5">
        <v>16881.579299055</v>
      </c>
      <c r="N4145" s="5">
        <v>21933.097106966918</v>
      </c>
      <c r="O4145" s="5">
        <v>15936.062371781712</v>
      </c>
      <c r="P4145" s="5">
        <v>83536.241167211992</v>
      </c>
      <c r="Q4145" s="5">
        <v>30495.121067047665</v>
      </c>
      <c r="R4145" s="5">
        <v>39263.770877572199</v>
      </c>
    </row>
    <row r="4146" spans="9:18">
      <c r="I4146" s="4">
        <v>4131</v>
      </c>
      <c r="J4146" s="5">
        <v>16710.807721801892</v>
      </c>
      <c r="K4146" s="5">
        <v>37822.375317881044</v>
      </c>
      <c r="L4146" s="5">
        <v>13417.453622029931</v>
      </c>
      <c r="M4146" s="5">
        <v>23515.935489506261</v>
      </c>
      <c r="N4146" s="5">
        <v>11952.903761138405</v>
      </c>
      <c r="O4146" s="5">
        <v>9320.7026593487881</v>
      </c>
      <c r="P4146" s="5">
        <v>22601.57564624758</v>
      </c>
      <c r="Q4146" s="5">
        <v>6386.5227360487288</v>
      </c>
      <c r="R4146" s="5">
        <v>12130.167062525341</v>
      </c>
    </row>
    <row r="4147" spans="9:18">
      <c r="I4147" s="4">
        <v>4132</v>
      </c>
      <c r="J4147" s="5">
        <v>15081.728672246438</v>
      </c>
      <c r="K4147" s="5">
        <v>23543.914024953676</v>
      </c>
      <c r="L4147" s="5">
        <v>25007.552172398639</v>
      </c>
      <c r="M4147" s="5">
        <v>18043.539897080744</v>
      </c>
      <c r="N4147" s="5">
        <v>13909.728487455486</v>
      </c>
      <c r="O4147" s="5">
        <v>30608.431994348266</v>
      </c>
      <c r="P4147" s="5">
        <v>22708.601480587709</v>
      </c>
      <c r="Q4147" s="5">
        <v>17234.335939857254</v>
      </c>
      <c r="R4147" s="5">
        <v>7394.6358885760465</v>
      </c>
    </row>
    <row r="4148" spans="9:18">
      <c r="I4148" s="4">
        <v>4133</v>
      </c>
      <c r="J4148" s="5">
        <v>19467.17453557903</v>
      </c>
      <c r="K4148" s="5">
        <v>17128.860847126922</v>
      </c>
      <c r="L4148" s="5">
        <v>14344.859750762502</v>
      </c>
      <c r="M4148" s="5">
        <v>13616.35938654862</v>
      </c>
      <c r="N4148" s="5">
        <v>14335.478134989447</v>
      </c>
      <c r="O4148" s="5">
        <v>41800.463215706819</v>
      </c>
      <c r="P4148" s="5">
        <v>95486.196907583406</v>
      </c>
      <c r="Q4148" s="5">
        <v>8880.8074399558282</v>
      </c>
      <c r="R4148" s="5">
        <v>86510.608303273053</v>
      </c>
    </row>
    <row r="4149" spans="9:18">
      <c r="I4149" s="4">
        <v>4134</v>
      </c>
      <c r="J4149" s="5">
        <v>16016.491239086423</v>
      </c>
      <c r="K4149" s="5">
        <v>11558.357574452555</v>
      </c>
      <c r="L4149" s="5">
        <v>18634.523182776735</v>
      </c>
      <c r="M4149" s="5">
        <v>23908.621352410395</v>
      </c>
      <c r="N4149" s="5">
        <v>26152.705108198839</v>
      </c>
      <c r="O4149" s="5">
        <v>35286.662852302201</v>
      </c>
      <c r="P4149" s="5">
        <v>44646.134934589521</v>
      </c>
      <c r="Q4149" s="5">
        <v>30266.563414010914</v>
      </c>
      <c r="R4149" s="5">
        <v>90296.353221228885</v>
      </c>
    </row>
    <row r="4150" spans="9:18">
      <c r="I4150" s="4">
        <v>4135</v>
      </c>
      <c r="J4150" s="5">
        <v>22188.291830993156</v>
      </c>
      <c r="K4150" s="5">
        <v>29672.680843304515</v>
      </c>
      <c r="L4150" s="5">
        <v>21954.536591034263</v>
      </c>
      <c r="M4150" s="5">
        <v>30830.81083227017</v>
      </c>
      <c r="N4150" s="5">
        <v>21933.097106966918</v>
      </c>
      <c r="O4150" s="5">
        <v>15936.062371781712</v>
      </c>
      <c r="P4150" s="5">
        <v>27820.721938889761</v>
      </c>
      <c r="Q4150" s="5">
        <v>9796.0979856104404</v>
      </c>
      <c r="R4150" s="5">
        <v>90296.353221228885</v>
      </c>
    </row>
    <row r="4151" spans="9:18">
      <c r="I4151" s="4">
        <v>4136</v>
      </c>
      <c r="J4151" s="5">
        <v>18650.249281571734</v>
      </c>
      <c r="K4151" s="5">
        <v>12026.500118162745</v>
      </c>
      <c r="L4151" s="5">
        <v>14146.191653372813</v>
      </c>
      <c r="M4151" s="5">
        <v>33862.836621974391</v>
      </c>
      <c r="N4151" s="5">
        <v>11684.605182472778</v>
      </c>
      <c r="O4151" s="5">
        <v>41800.463215706819</v>
      </c>
      <c r="P4151" s="5">
        <v>106091.28270624072</v>
      </c>
      <c r="Q4151" s="5">
        <v>3909.239690544402</v>
      </c>
      <c r="R4151" s="5">
        <v>30571.564004538617</v>
      </c>
    </row>
    <row r="4152" spans="9:18">
      <c r="I4152" s="4">
        <v>4137</v>
      </c>
      <c r="J4152" s="5">
        <v>18650.249281571734</v>
      </c>
      <c r="K4152" s="5">
        <v>35488.449387009874</v>
      </c>
      <c r="L4152" s="5">
        <v>15759.954187048656</v>
      </c>
      <c r="M4152" s="5">
        <v>29041.83725675238</v>
      </c>
      <c r="N4152" s="5">
        <v>29468.83360104046</v>
      </c>
      <c r="O4152" s="5">
        <v>15124.35050053727</v>
      </c>
      <c r="P4152" s="5">
        <v>3017.2887813579896</v>
      </c>
      <c r="Q4152" s="5">
        <v>79566.621912742485</v>
      </c>
      <c r="R4152" s="5">
        <v>81423.874800517297</v>
      </c>
    </row>
    <row r="4153" spans="9:18">
      <c r="I4153" s="4">
        <v>4138</v>
      </c>
      <c r="J4153" s="5">
        <v>13391.049101507895</v>
      </c>
      <c r="K4153" s="5">
        <v>15782.544184844044</v>
      </c>
      <c r="L4153" s="5">
        <v>16777.996633299583</v>
      </c>
      <c r="M4153" s="5">
        <v>10111.451009425113</v>
      </c>
      <c r="N4153" s="5">
        <v>51261.622558090799</v>
      </c>
      <c r="O4153" s="5">
        <v>94068.324736096256</v>
      </c>
      <c r="P4153" s="5">
        <v>49519.098753410741</v>
      </c>
      <c r="Q4153" s="5">
        <v>17493.456269945855</v>
      </c>
      <c r="R4153" s="5">
        <v>10885.018205103002</v>
      </c>
    </row>
    <row r="4154" spans="9:18">
      <c r="I4154" s="4">
        <v>4139</v>
      </c>
      <c r="J4154" s="5">
        <v>17005.744061105343</v>
      </c>
      <c r="K4154" s="5">
        <v>19467.955014411935</v>
      </c>
      <c r="L4154" s="5">
        <v>15487.970507365942</v>
      </c>
      <c r="M4154" s="5">
        <v>13616.35938654862</v>
      </c>
      <c r="N4154" s="5">
        <v>41563.89847100406</v>
      </c>
      <c r="O4154" s="5">
        <v>9869.5889207969612</v>
      </c>
      <c r="P4154" s="5">
        <v>20391.123772341358</v>
      </c>
      <c r="Q4154" s="5">
        <v>13214.632802255031</v>
      </c>
      <c r="R4154" s="5">
        <v>51358.6267760993</v>
      </c>
    </row>
    <row r="4155" spans="9:18">
      <c r="I4155" s="4">
        <v>4140</v>
      </c>
      <c r="J4155" s="5">
        <v>11036.461796239426</v>
      </c>
      <c r="K4155" s="5">
        <v>15129.619337591721</v>
      </c>
      <c r="L4155" s="5">
        <v>15651.346103181355</v>
      </c>
      <c r="M4155" s="5">
        <v>19097.39635881727</v>
      </c>
      <c r="N4155" s="5">
        <v>11604.12831603515</v>
      </c>
      <c r="O4155" s="5">
        <v>35865.625349531729</v>
      </c>
      <c r="P4155" s="5">
        <v>34814.458119125498</v>
      </c>
      <c r="Q4155" s="5">
        <v>73941.636731325911</v>
      </c>
      <c r="R4155" s="5">
        <v>7118.1729476780347</v>
      </c>
    </row>
    <row r="4156" spans="9:18">
      <c r="I4156" s="4">
        <v>4141</v>
      </c>
      <c r="J4156" s="5">
        <v>16459.003095225507</v>
      </c>
      <c r="K4156" s="5">
        <v>21958.925144875713</v>
      </c>
      <c r="L4156" s="5">
        <v>15664.99858445921</v>
      </c>
      <c r="M4156" s="5">
        <v>41403.687663920646</v>
      </c>
      <c r="N4156" s="5">
        <v>22735.120948269971</v>
      </c>
      <c r="O4156" s="5">
        <v>20721.57544042755</v>
      </c>
      <c r="P4156" s="5">
        <v>20391.123772341358</v>
      </c>
      <c r="Q4156" s="5">
        <v>53055.59182561023</v>
      </c>
      <c r="R4156" s="5">
        <v>96845.299789249824</v>
      </c>
    </row>
    <row r="4157" spans="9:18">
      <c r="I4157" s="4">
        <v>4142</v>
      </c>
      <c r="J4157" s="5">
        <v>14420.293087375476</v>
      </c>
      <c r="K4157" s="5">
        <v>6949.5708823216592</v>
      </c>
      <c r="L4157" s="5">
        <v>22018.381599979773</v>
      </c>
      <c r="M4157" s="5">
        <v>14432.283063351901</v>
      </c>
      <c r="N4157" s="5">
        <v>37309.151967087455</v>
      </c>
      <c r="O4157" s="5">
        <v>16505.600261180331</v>
      </c>
      <c r="P4157" s="5">
        <v>35569.894390728325</v>
      </c>
      <c r="Q4157" s="5">
        <v>9652.8114206999071</v>
      </c>
      <c r="R4157" s="5">
        <v>19133.693426869788</v>
      </c>
    </row>
    <row r="4158" spans="9:18">
      <c r="I4158" s="4">
        <v>4143</v>
      </c>
      <c r="J4158" s="5">
        <v>11036.461796239426</v>
      </c>
      <c r="K4158" s="5">
        <v>18086.448513145526</v>
      </c>
      <c r="L4158" s="5">
        <v>21725.131459372977</v>
      </c>
      <c r="M4158" s="5">
        <v>30830.81083227017</v>
      </c>
      <c r="N4158" s="5">
        <v>22511.351424689696</v>
      </c>
      <c r="O4158" s="5">
        <v>20489.622805425737</v>
      </c>
      <c r="P4158" s="5">
        <v>33715.790977629549</v>
      </c>
      <c r="Q4158" s="5">
        <v>17234.335939857254</v>
      </c>
      <c r="R4158" s="5">
        <v>9913.4206865238284</v>
      </c>
    </row>
    <row r="4159" spans="9:18">
      <c r="I4159" s="4">
        <v>4144</v>
      </c>
      <c r="J4159" s="5">
        <v>27392.038553726634</v>
      </c>
      <c r="K4159" s="5">
        <v>21527.93129974293</v>
      </c>
      <c r="L4159" s="5">
        <v>17482.478480142941</v>
      </c>
      <c r="M4159" s="5">
        <v>30785.663999045999</v>
      </c>
      <c r="N4159" s="5">
        <v>19125.360074567652</v>
      </c>
      <c r="O4159" s="5">
        <v>12110.196126281628</v>
      </c>
      <c r="P4159" s="5">
        <v>17737.38315098183</v>
      </c>
      <c r="Q4159" s="5">
        <v>2356.8990887111336</v>
      </c>
      <c r="R4159" s="5">
        <v>29295.938844292672</v>
      </c>
    </row>
    <row r="4160" spans="9:18">
      <c r="I4160" s="4">
        <v>4145</v>
      </c>
      <c r="J4160" s="5">
        <v>16016.491239086423</v>
      </c>
      <c r="K4160" s="5">
        <v>34164.842952759042</v>
      </c>
      <c r="L4160" s="5">
        <v>15764.107424863063</v>
      </c>
      <c r="M4160" s="5">
        <v>19890.009981657669</v>
      </c>
      <c r="N4160" s="5">
        <v>28426.778914975595</v>
      </c>
      <c r="O4160" s="5">
        <v>19430.912633256889</v>
      </c>
      <c r="P4160" s="5">
        <v>83536.241167211992</v>
      </c>
      <c r="Q4160" s="5">
        <v>11928.872068442162</v>
      </c>
      <c r="R4160" s="5">
        <v>33863.04333215439</v>
      </c>
    </row>
    <row r="4161" spans="9:18">
      <c r="I4161" s="4">
        <v>4146</v>
      </c>
      <c r="J4161" s="5">
        <v>7855.2948890116513</v>
      </c>
      <c r="K4161" s="5">
        <v>16934.093371663999</v>
      </c>
      <c r="L4161" s="5">
        <v>16577.562442697115</v>
      </c>
      <c r="M4161" s="5">
        <v>29834.240613550006</v>
      </c>
      <c r="N4161" s="5">
        <v>4770.4216775830728</v>
      </c>
      <c r="O4161" s="5">
        <v>8801.3667015774663</v>
      </c>
      <c r="P4161" s="5">
        <v>17737.38315098183</v>
      </c>
      <c r="Q4161" s="5">
        <v>17234.335939857254</v>
      </c>
      <c r="R4161" s="5">
        <v>46004.399892616471</v>
      </c>
    </row>
    <row r="4162" spans="9:18">
      <c r="I4162" s="4">
        <v>4147</v>
      </c>
      <c r="J4162" s="5">
        <v>9368.8270679249108</v>
      </c>
      <c r="K4162" s="5">
        <v>15347.101709242541</v>
      </c>
      <c r="L4162" s="5">
        <v>18634.523182776735</v>
      </c>
      <c r="M4162" s="5">
        <v>12735.841453044006</v>
      </c>
      <c r="N4162" s="5">
        <v>23283.854578052265</v>
      </c>
      <c r="O4162" s="5">
        <v>77417.02098927302</v>
      </c>
      <c r="P4162" s="5">
        <v>106091.28270624072</v>
      </c>
      <c r="Q4162" s="5">
        <v>100789.83462564547</v>
      </c>
      <c r="R4162" s="5">
        <v>123773.40402252052</v>
      </c>
    </row>
    <row r="4163" spans="9:18">
      <c r="I4163" s="4">
        <v>4148</v>
      </c>
      <c r="J4163" s="5">
        <v>45301.532027110363</v>
      </c>
      <c r="K4163" s="5">
        <v>8223.1266007477425</v>
      </c>
      <c r="L4163" s="5">
        <v>14796.875457021113</v>
      </c>
      <c r="M4163" s="5">
        <v>17116.951435661951</v>
      </c>
      <c r="N4163" s="5">
        <v>37309.151967087455</v>
      </c>
      <c r="O4163" s="5">
        <v>14371.728352806511</v>
      </c>
      <c r="P4163" s="5">
        <v>27708.613526855763</v>
      </c>
      <c r="Q4163" s="5">
        <v>68168.482468129529</v>
      </c>
      <c r="R4163" s="5">
        <v>29295.938844292672</v>
      </c>
    </row>
    <row r="4164" spans="9:18">
      <c r="I4164" s="4">
        <v>4149</v>
      </c>
      <c r="J4164" s="5">
        <v>16733.020222212988</v>
      </c>
      <c r="K4164" s="5">
        <v>14587.813833513306</v>
      </c>
      <c r="L4164" s="5">
        <v>14610.165745300763</v>
      </c>
      <c r="M4164" s="5">
        <v>14660.631931099009</v>
      </c>
      <c r="N4164" s="5">
        <v>26152.705108198839</v>
      </c>
      <c r="O4164" s="5">
        <v>13966.178986479143</v>
      </c>
      <c r="P4164" s="5">
        <v>55119.366528283317</v>
      </c>
      <c r="Q4164" s="5">
        <v>35525.432376048877</v>
      </c>
      <c r="R4164" s="5">
        <v>39788.288251916689</v>
      </c>
    </row>
    <row r="4165" spans="9:18">
      <c r="I4165" s="4">
        <v>4150</v>
      </c>
      <c r="J4165" s="5">
        <v>15352.465904292809</v>
      </c>
      <c r="K4165" s="5">
        <v>21527.93129974293</v>
      </c>
      <c r="L4165" s="5">
        <v>19359.475411188432</v>
      </c>
      <c r="M4165" s="5">
        <v>30785.663999045999</v>
      </c>
      <c r="N4165" s="5">
        <v>13745.376566850549</v>
      </c>
      <c r="O4165" s="5">
        <v>8121.6248378263163</v>
      </c>
      <c r="P4165" s="5">
        <v>48123.003747643132</v>
      </c>
      <c r="Q4165" s="5">
        <v>28078.365156847896</v>
      </c>
      <c r="R4165" s="5">
        <v>33290.909836056817</v>
      </c>
    </row>
    <row r="4166" spans="9:18">
      <c r="I4166" s="4">
        <v>4151</v>
      </c>
      <c r="J4166" s="5">
        <v>17679.321624063952</v>
      </c>
      <c r="K4166" s="5">
        <v>43843.85059185313</v>
      </c>
      <c r="L4166" s="5">
        <v>13358.459356674217</v>
      </c>
      <c r="M4166" s="5">
        <v>30830.81083227017</v>
      </c>
      <c r="N4166" s="5">
        <v>19125.360074567652</v>
      </c>
      <c r="O4166" s="5">
        <v>53504.725169095313</v>
      </c>
      <c r="P4166" s="5">
        <v>17996.895987204196</v>
      </c>
      <c r="Q4166" s="5">
        <v>31855.809428519857</v>
      </c>
      <c r="R4166" s="5">
        <v>35232.418639121184</v>
      </c>
    </row>
    <row r="4167" spans="9:18">
      <c r="I4167" s="4">
        <v>4152</v>
      </c>
      <c r="J4167" s="5">
        <v>12056.41843703942</v>
      </c>
      <c r="K4167" s="5">
        <v>10931.803935361211</v>
      </c>
      <c r="L4167" s="5">
        <v>14691.846656953887</v>
      </c>
      <c r="M4167" s="5">
        <v>23515.935489506261</v>
      </c>
      <c r="N4167" s="5">
        <v>24853.247795632611</v>
      </c>
      <c r="O4167" s="5">
        <v>6199.3195463515376</v>
      </c>
      <c r="P4167" s="5">
        <v>14316.965520592317</v>
      </c>
      <c r="Q4167" s="5">
        <v>13214.632802255031</v>
      </c>
      <c r="R4167" s="5">
        <v>12194.45251033065</v>
      </c>
    </row>
    <row r="4168" spans="9:18">
      <c r="I4168" s="4">
        <v>4153</v>
      </c>
      <c r="J4168" s="5">
        <v>12452.764985867625</v>
      </c>
      <c r="K4168" s="5">
        <v>11507.182177474708</v>
      </c>
      <c r="L4168" s="5">
        <v>25389.332759288587</v>
      </c>
      <c r="M4168" s="5">
        <v>21712.71007234112</v>
      </c>
      <c r="N4168" s="5">
        <v>12592.300437162297</v>
      </c>
      <c r="O4168" s="5">
        <v>13519.384207850644</v>
      </c>
      <c r="P4168" s="5">
        <v>13793.886507202402</v>
      </c>
      <c r="Q4168" s="5">
        <v>13099.063525342741</v>
      </c>
      <c r="R4168" s="5">
        <v>51141.799458534304</v>
      </c>
    </row>
    <row r="4169" spans="9:18">
      <c r="I4169" s="4">
        <v>4154</v>
      </c>
      <c r="J4169" s="5">
        <v>16088.430030489333</v>
      </c>
      <c r="K4169" s="5">
        <v>14095.75230105142</v>
      </c>
      <c r="L4169" s="5">
        <v>18379.634651549037</v>
      </c>
      <c r="M4169" s="5">
        <v>19262.243095117232</v>
      </c>
      <c r="N4169" s="5">
        <v>27833.630848857778</v>
      </c>
      <c r="O4169" s="5">
        <v>20489.622805425737</v>
      </c>
      <c r="P4169" s="5">
        <v>9811.9720599964548</v>
      </c>
      <c r="Q4169" s="5">
        <v>15623.622662102793</v>
      </c>
      <c r="R4169" s="5">
        <v>76851.431017396084</v>
      </c>
    </row>
    <row r="4170" spans="9:18">
      <c r="I4170" s="4">
        <v>4155</v>
      </c>
      <c r="J4170" s="5">
        <v>14594.990625703947</v>
      </c>
      <c r="K4170" s="5">
        <v>8124.7965732661823</v>
      </c>
      <c r="L4170" s="5">
        <v>16577.562442697115</v>
      </c>
      <c r="M4170" s="5">
        <v>15586.009710351766</v>
      </c>
      <c r="N4170" s="5">
        <v>23283.854578052265</v>
      </c>
      <c r="O4170" s="5">
        <v>30656.031716467984</v>
      </c>
      <c r="P4170" s="5">
        <v>22601.57564624758</v>
      </c>
      <c r="Q4170" s="5">
        <v>30495.121067047665</v>
      </c>
      <c r="R4170" s="5">
        <v>38898.713625068609</v>
      </c>
    </row>
    <row r="4171" spans="9:18">
      <c r="I4171" s="4">
        <v>4156</v>
      </c>
      <c r="J4171" s="5">
        <v>20768.286261788198</v>
      </c>
      <c r="K4171" s="5">
        <v>11403.533194020869</v>
      </c>
      <c r="L4171" s="5">
        <v>21954.536591034263</v>
      </c>
      <c r="M4171" s="5">
        <v>19262.243095117232</v>
      </c>
      <c r="N4171" s="5">
        <v>15804.474686449519</v>
      </c>
      <c r="O4171" s="5">
        <v>20489.622805425737</v>
      </c>
      <c r="P4171" s="5">
        <v>27452.975716953504</v>
      </c>
      <c r="Q4171" s="5">
        <v>37101.531383212743</v>
      </c>
      <c r="R4171" s="5">
        <v>29295.938844292672</v>
      </c>
    </row>
    <row r="4172" spans="9:18">
      <c r="I4172" s="4">
        <v>4157</v>
      </c>
      <c r="J4172" s="5">
        <v>16511.332839561353</v>
      </c>
      <c r="K4172" s="5">
        <v>17495.743706488822</v>
      </c>
      <c r="L4172" s="5">
        <v>17716.90539191998</v>
      </c>
      <c r="M4172" s="5">
        <v>19151.339770278159</v>
      </c>
      <c r="N4172" s="5">
        <v>27841.916587595573</v>
      </c>
      <c r="O4172" s="5">
        <v>25802.481365323994</v>
      </c>
      <c r="P4172" s="5">
        <v>9811.9720599964548</v>
      </c>
      <c r="Q4172" s="5">
        <v>30266.563414010914</v>
      </c>
      <c r="R4172" s="5">
        <v>26783.439354489365</v>
      </c>
    </row>
    <row r="4173" spans="9:18">
      <c r="I4173" s="4">
        <v>4158</v>
      </c>
      <c r="J4173" s="5">
        <v>12056.41843703942</v>
      </c>
      <c r="K4173" s="5">
        <v>18821.113178054162</v>
      </c>
      <c r="L4173" s="5">
        <v>14610.165745300763</v>
      </c>
      <c r="M4173" s="5">
        <v>15586.009710351766</v>
      </c>
      <c r="N4173" s="5">
        <v>11251.634703629026</v>
      </c>
      <c r="O4173" s="5">
        <v>24247.516962783076</v>
      </c>
      <c r="P4173" s="5">
        <v>16574.429708560569</v>
      </c>
      <c r="Q4173" s="5">
        <v>27018.509959127641</v>
      </c>
      <c r="R4173" s="5">
        <v>90296.353221228885</v>
      </c>
    </row>
    <row r="4174" spans="9:18">
      <c r="I4174" s="4">
        <v>4159</v>
      </c>
      <c r="J4174" s="5">
        <v>20002.201347927807</v>
      </c>
      <c r="K4174" s="5">
        <v>32073.547537933715</v>
      </c>
      <c r="L4174" s="5">
        <v>17128.574519497746</v>
      </c>
      <c r="M4174" s="5">
        <v>21712.71007234112</v>
      </c>
      <c r="N4174" s="5">
        <v>8555.1229659096207</v>
      </c>
      <c r="O4174" s="5">
        <v>13613.378495715853</v>
      </c>
      <c r="P4174" s="5">
        <v>10180.109839011631</v>
      </c>
      <c r="Q4174" s="5">
        <v>9645.8788061228515</v>
      </c>
      <c r="R4174" s="5">
        <v>7118.1729476780347</v>
      </c>
    </row>
    <row r="4175" spans="9:18">
      <c r="I4175" s="4">
        <v>4160</v>
      </c>
      <c r="J4175" s="5">
        <v>22812.564910649318</v>
      </c>
      <c r="K4175" s="5">
        <v>14587.813833513306</v>
      </c>
      <c r="L4175" s="5">
        <v>20698.842353987733</v>
      </c>
      <c r="M4175" s="5">
        <v>13022.686998540772</v>
      </c>
      <c r="N4175" s="5">
        <v>11952.903761138405</v>
      </c>
      <c r="O4175" s="5">
        <v>20930.098352661731</v>
      </c>
      <c r="P4175" s="5">
        <v>77603.711720266961</v>
      </c>
      <c r="Q4175" s="5">
        <v>35525.432376048877</v>
      </c>
      <c r="R4175" s="5">
        <v>2071.5141323269809</v>
      </c>
    </row>
    <row r="4176" spans="9:18">
      <c r="I4176" s="4">
        <v>4161</v>
      </c>
      <c r="J4176" s="5">
        <v>16145.071869702888</v>
      </c>
      <c r="K4176" s="5">
        <v>32073.547537933715</v>
      </c>
      <c r="L4176" s="5">
        <v>15359.132481533357</v>
      </c>
      <c r="M4176" s="5">
        <v>20041.623430301417</v>
      </c>
      <c r="N4176" s="5">
        <v>21933.097106966918</v>
      </c>
      <c r="O4176" s="5">
        <v>55264.438774006347</v>
      </c>
      <c r="P4176" s="5">
        <v>14376.883105731285</v>
      </c>
      <c r="Q4176" s="5">
        <v>31902.904306425251</v>
      </c>
      <c r="R4176" s="5">
        <v>41056.152565483346</v>
      </c>
    </row>
    <row r="4177" spans="9:18">
      <c r="I4177" s="4">
        <v>4162</v>
      </c>
      <c r="J4177" s="5">
        <v>11036.461796239426</v>
      </c>
      <c r="K4177" s="5">
        <v>24728.095385476983</v>
      </c>
      <c r="L4177" s="5">
        <v>21428.663623484812</v>
      </c>
      <c r="M4177" s="5">
        <v>18043.539897080744</v>
      </c>
      <c r="N4177" s="5">
        <v>12592.300437162297</v>
      </c>
      <c r="O4177" s="5">
        <v>13550.031670770122</v>
      </c>
      <c r="P4177" s="5">
        <v>24349.301972630979</v>
      </c>
      <c r="Q4177" s="5">
        <v>11928.872068442162</v>
      </c>
      <c r="R4177" s="5">
        <v>302760.11878714536</v>
      </c>
    </row>
    <row r="4178" spans="9:18">
      <c r="I4178" s="4">
        <v>4163</v>
      </c>
      <c r="J4178" s="5">
        <v>12035.382213755307</v>
      </c>
      <c r="K4178" s="5">
        <v>14095.75230105142</v>
      </c>
      <c r="L4178" s="5">
        <v>21428.663623484812</v>
      </c>
      <c r="M4178" s="5">
        <v>23067.94260629595</v>
      </c>
      <c r="N4178" s="5">
        <v>20583.564383988036</v>
      </c>
      <c r="O4178" s="5">
        <v>16826.763259351828</v>
      </c>
      <c r="P4178" s="5">
        <v>16650.229067545235</v>
      </c>
      <c r="Q4178" s="5">
        <v>43417.41805414496</v>
      </c>
      <c r="R4178" s="5">
        <v>55012.315589742022</v>
      </c>
    </row>
    <row r="4179" spans="9:18">
      <c r="I4179" s="4">
        <v>4164</v>
      </c>
      <c r="J4179" s="5">
        <v>19048.674633640545</v>
      </c>
      <c r="K4179" s="5">
        <v>14497.035717129334</v>
      </c>
      <c r="L4179" s="5">
        <v>16071.478531535273</v>
      </c>
      <c r="M4179" s="5">
        <v>19097.39635881727</v>
      </c>
      <c r="N4179" s="5">
        <v>24020.875410266352</v>
      </c>
      <c r="O4179" s="5">
        <v>79848.944504816522</v>
      </c>
      <c r="P4179" s="5">
        <v>16072.735485912413</v>
      </c>
      <c r="Q4179" s="5">
        <v>21421.044775857536</v>
      </c>
      <c r="R4179" s="5">
        <v>46004.399892616471</v>
      </c>
    </row>
    <row r="4180" spans="9:18">
      <c r="I4180" s="4">
        <v>4165</v>
      </c>
      <c r="J4180" s="5">
        <v>28169.050633834027</v>
      </c>
      <c r="K4180" s="5">
        <v>17003.901855709089</v>
      </c>
      <c r="L4180" s="5">
        <v>14146.191653372813</v>
      </c>
      <c r="M4180" s="5">
        <v>19262.243095117232</v>
      </c>
      <c r="N4180" s="5">
        <v>4770.4216775830728</v>
      </c>
      <c r="O4180" s="5">
        <v>20489.622805425737</v>
      </c>
      <c r="P4180" s="5">
        <v>10532.667493814919</v>
      </c>
      <c r="Q4180" s="5">
        <v>27018.509959127641</v>
      </c>
      <c r="R4180" s="5">
        <v>33863.04333215439</v>
      </c>
    </row>
    <row r="4181" spans="9:18">
      <c r="I4181" s="4">
        <v>4166</v>
      </c>
      <c r="J4181" s="5">
        <v>13045.114546182727</v>
      </c>
      <c r="K4181" s="5">
        <v>16665.1498926479</v>
      </c>
      <c r="L4181" s="5">
        <v>15922.087958863045</v>
      </c>
      <c r="M4181" s="5">
        <v>26477.996319655329</v>
      </c>
      <c r="N4181" s="5">
        <v>37309.151967087455</v>
      </c>
      <c r="O4181" s="5">
        <v>35865.625349531729</v>
      </c>
      <c r="P4181" s="5">
        <v>3831.1492650071077</v>
      </c>
      <c r="Q4181" s="5">
        <v>48756.323642664109</v>
      </c>
      <c r="R4181" s="5">
        <v>96845.299789249824</v>
      </c>
    </row>
    <row r="4182" spans="9:18">
      <c r="I4182" s="4">
        <v>4167</v>
      </c>
      <c r="J4182" s="5">
        <v>14538.277247583976</v>
      </c>
      <c r="K4182" s="5">
        <v>61827.107730316675</v>
      </c>
      <c r="L4182" s="5">
        <v>17845.207337527903</v>
      </c>
      <c r="M4182" s="5">
        <v>13642.678686731051</v>
      </c>
      <c r="N4182" s="5">
        <v>9209.4418830788036</v>
      </c>
      <c r="O4182" s="5">
        <v>27195.510785031525</v>
      </c>
      <c r="P4182" s="5">
        <v>14327.191387816954</v>
      </c>
      <c r="Q4182" s="5">
        <v>22483.395143121877</v>
      </c>
      <c r="R4182" s="5">
        <v>59414.886464347241</v>
      </c>
    </row>
    <row r="4183" spans="9:18">
      <c r="I4183" s="4">
        <v>4168</v>
      </c>
      <c r="J4183" s="5">
        <v>17679.321624063952</v>
      </c>
      <c r="K4183" s="5">
        <v>19467.955014411935</v>
      </c>
      <c r="L4183" s="5">
        <v>15225.811035017256</v>
      </c>
      <c r="M4183" s="5">
        <v>29058.117767351498</v>
      </c>
      <c r="N4183" s="5">
        <v>41563.89847100406</v>
      </c>
      <c r="O4183" s="5">
        <v>31172.963108652857</v>
      </c>
      <c r="P4183" s="5">
        <v>10733.318076105543</v>
      </c>
      <c r="Q4183" s="5">
        <v>9454.5906023793759</v>
      </c>
      <c r="R4183" s="5">
        <v>181970.23111012415</v>
      </c>
    </row>
    <row r="4184" spans="9:18">
      <c r="I4184" s="4">
        <v>4169</v>
      </c>
      <c r="J4184" s="5">
        <v>16544.73779470181</v>
      </c>
      <c r="K4184" s="5">
        <v>14579.232378315752</v>
      </c>
      <c r="L4184" s="5">
        <v>15060.431658965737</v>
      </c>
      <c r="M4184" s="5">
        <v>29058.117767351498</v>
      </c>
      <c r="N4184" s="5">
        <v>25549.748582175915</v>
      </c>
      <c r="O4184" s="5">
        <v>42492.261063288854</v>
      </c>
      <c r="P4184" s="5">
        <v>34768.042801665702</v>
      </c>
      <c r="Q4184" s="5">
        <v>30495.121067047665</v>
      </c>
      <c r="R4184" s="5">
        <v>17304.847214362417</v>
      </c>
    </row>
    <row r="4185" spans="9:18">
      <c r="I4185" s="4">
        <v>4170</v>
      </c>
      <c r="J4185" s="5">
        <v>15081.728672246438</v>
      </c>
      <c r="K4185" s="5">
        <v>26110.948843472826</v>
      </c>
      <c r="L4185" s="5">
        <v>14316.474075738101</v>
      </c>
      <c r="M4185" s="5">
        <v>18177.175180585615</v>
      </c>
      <c r="N4185" s="5">
        <v>21931.347680292267</v>
      </c>
      <c r="O4185" s="5">
        <v>10746.295275180995</v>
      </c>
      <c r="P4185" s="5">
        <v>10733.318076105543</v>
      </c>
      <c r="Q4185" s="5">
        <v>13099.063525342741</v>
      </c>
      <c r="R4185" s="5">
        <v>5865.9802599669383</v>
      </c>
    </row>
    <row r="4186" spans="9:18">
      <c r="I4186" s="4">
        <v>4171</v>
      </c>
      <c r="J4186" s="5">
        <v>13841.207384998772</v>
      </c>
      <c r="K4186" s="5">
        <v>95171.967522309933</v>
      </c>
      <c r="L4186" s="5">
        <v>13622.976145621742</v>
      </c>
      <c r="M4186" s="5">
        <v>13011.820191946215</v>
      </c>
      <c r="N4186" s="5">
        <v>24853.247795632611</v>
      </c>
      <c r="O4186" s="5">
        <v>19430.912633256889</v>
      </c>
      <c r="P4186" s="5">
        <v>35569.894390728325</v>
      </c>
      <c r="Q4186" s="5">
        <v>9796.0979856104404</v>
      </c>
      <c r="R4186" s="5">
        <v>87776.138236389699</v>
      </c>
    </row>
    <row r="4187" spans="9:18">
      <c r="I4187" s="4">
        <v>4172</v>
      </c>
      <c r="J4187" s="5">
        <v>12056.41843703942</v>
      </c>
      <c r="K4187" s="5">
        <v>14017.262946034314</v>
      </c>
      <c r="L4187" s="5">
        <v>14796.875457021113</v>
      </c>
      <c r="M4187" s="5">
        <v>15346.383801976139</v>
      </c>
      <c r="N4187" s="5">
        <v>16418.492928415813</v>
      </c>
      <c r="O4187" s="5">
        <v>53504.725169095313</v>
      </c>
      <c r="P4187" s="5">
        <v>31127.87225845682</v>
      </c>
      <c r="Q4187" s="5">
        <v>71213.172792303565</v>
      </c>
      <c r="R4187" s="5">
        <v>6360.7905155660001</v>
      </c>
    </row>
    <row r="4188" spans="9:18">
      <c r="I4188" s="4">
        <v>4173</v>
      </c>
      <c r="J4188" s="5">
        <v>14671.176405938595</v>
      </c>
      <c r="K4188" s="5">
        <v>34164.842952759042</v>
      </c>
      <c r="L4188" s="5">
        <v>16577.562442697115</v>
      </c>
      <c r="M4188" s="5">
        <v>17542.15972125496</v>
      </c>
      <c r="N4188" s="5">
        <v>59876.136849941562</v>
      </c>
      <c r="O4188" s="5">
        <v>24247.516962783076</v>
      </c>
      <c r="P4188" s="5">
        <v>54100.778483493887</v>
      </c>
      <c r="Q4188" s="5">
        <v>15623.622662102793</v>
      </c>
      <c r="R4188" s="5">
        <v>8105.1944146993656</v>
      </c>
    </row>
    <row r="4189" spans="9:18">
      <c r="I4189" s="4">
        <v>4174</v>
      </c>
      <c r="J4189" s="5">
        <v>45301.532027110363</v>
      </c>
      <c r="K4189" s="5">
        <v>15487.124352801369</v>
      </c>
      <c r="L4189" s="5">
        <v>20698.842353987733</v>
      </c>
      <c r="M4189" s="5">
        <v>15346.383801976139</v>
      </c>
      <c r="N4189" s="5">
        <v>9209.4418830788036</v>
      </c>
      <c r="O4189" s="5">
        <v>66253.993323243907</v>
      </c>
      <c r="P4189" s="5">
        <v>17996.895987204196</v>
      </c>
      <c r="Q4189" s="5">
        <v>31618.396253255491</v>
      </c>
      <c r="R4189" s="5">
        <v>93933.045103013996</v>
      </c>
    </row>
    <row r="4190" spans="9:18">
      <c r="I4190" s="4">
        <v>4175</v>
      </c>
      <c r="J4190" s="5">
        <v>23517.429992060665</v>
      </c>
      <c r="K4190" s="5">
        <v>12026.500118162745</v>
      </c>
      <c r="L4190" s="5">
        <v>16451.333928028147</v>
      </c>
      <c r="M4190" s="5">
        <v>17349.963215818931</v>
      </c>
      <c r="N4190" s="5">
        <v>23746.795665493762</v>
      </c>
      <c r="O4190" s="5">
        <v>13117.417685535194</v>
      </c>
      <c r="P4190" s="5">
        <v>6275.8915673055426</v>
      </c>
      <c r="Q4190" s="5">
        <v>7457.1844090365566</v>
      </c>
      <c r="R4190" s="5">
        <v>96845.299789249824</v>
      </c>
    </row>
    <row r="4191" spans="9:18">
      <c r="I4191" s="4">
        <v>4176</v>
      </c>
      <c r="J4191" s="5">
        <v>14741.240040396578</v>
      </c>
      <c r="K4191" s="5">
        <v>14017.262946034314</v>
      </c>
      <c r="L4191" s="5">
        <v>14364.472927446199</v>
      </c>
      <c r="M4191" s="5">
        <v>11529.920007560097</v>
      </c>
      <c r="N4191" s="5">
        <v>14921.795973817481</v>
      </c>
      <c r="O4191" s="5">
        <v>94068.324736096256</v>
      </c>
      <c r="P4191" s="5">
        <v>8662.4232458952465</v>
      </c>
      <c r="Q4191" s="5">
        <v>15663.43865741136</v>
      </c>
      <c r="R4191" s="5">
        <v>14706.681111065362</v>
      </c>
    </row>
    <row r="4192" spans="9:18">
      <c r="I4192" s="4">
        <v>4177</v>
      </c>
      <c r="J4192" s="5">
        <v>15623.733864199699</v>
      </c>
      <c r="K4192" s="5">
        <v>14021.934268028277</v>
      </c>
      <c r="L4192" s="5">
        <v>15471.738323660695</v>
      </c>
      <c r="M4192" s="5">
        <v>16842.379179328669</v>
      </c>
      <c r="N4192" s="5">
        <v>25424.029865101274</v>
      </c>
      <c r="O4192" s="5">
        <v>67717.30633712461</v>
      </c>
      <c r="P4192" s="5">
        <v>35569.894390728325</v>
      </c>
      <c r="Q4192" s="5">
        <v>37277.391668005912</v>
      </c>
      <c r="R4192" s="5">
        <v>18349.337771428582</v>
      </c>
    </row>
    <row r="4193" spans="9:18">
      <c r="I4193" s="4">
        <v>4178</v>
      </c>
      <c r="J4193" s="5">
        <v>13918.242013140338</v>
      </c>
      <c r="K4193" s="5">
        <v>15768.312122029349</v>
      </c>
      <c r="L4193" s="5">
        <v>14264.23790876064</v>
      </c>
      <c r="M4193" s="5">
        <v>17542.15972125496</v>
      </c>
      <c r="N4193" s="5">
        <v>11684.605182472778</v>
      </c>
      <c r="O4193" s="5">
        <v>16462.170789592048</v>
      </c>
      <c r="P4193" s="5">
        <v>14376.883105731285</v>
      </c>
      <c r="Q4193" s="5">
        <v>9652.8114206999071</v>
      </c>
      <c r="R4193" s="5">
        <v>18720.450716365784</v>
      </c>
    </row>
    <row r="4194" spans="9:18">
      <c r="I4194" s="4">
        <v>4179</v>
      </c>
      <c r="J4194" s="5">
        <v>20002.201347927807</v>
      </c>
      <c r="K4194" s="5">
        <v>16665.1498926479</v>
      </c>
      <c r="L4194" s="5">
        <v>16017.890956041876</v>
      </c>
      <c r="M4194" s="5">
        <v>19097.39635881727</v>
      </c>
      <c r="N4194" s="5">
        <v>39406.658185292261</v>
      </c>
      <c r="O4194" s="5">
        <v>16505.600261180331</v>
      </c>
      <c r="P4194" s="5">
        <v>8069.5385577067918</v>
      </c>
      <c r="Q4194" s="5">
        <v>48866.209623168346</v>
      </c>
      <c r="R4194" s="5">
        <v>34970.397641695177</v>
      </c>
    </row>
    <row r="4195" spans="9:18">
      <c r="I4195" s="4">
        <v>4180</v>
      </c>
      <c r="J4195" s="5">
        <v>14750.660273177687</v>
      </c>
      <c r="K4195" s="5">
        <v>14351.415257675473</v>
      </c>
      <c r="L4195" s="5">
        <v>15664.99858445921</v>
      </c>
      <c r="M4195" s="5">
        <v>12619.198742021435</v>
      </c>
      <c r="N4195" s="5">
        <v>48565.498233359976</v>
      </c>
      <c r="O4195" s="5">
        <v>9320.7026593487881</v>
      </c>
      <c r="P4195" s="5">
        <v>27373.102585108634</v>
      </c>
      <c r="Q4195" s="5">
        <v>30266.563414010914</v>
      </c>
      <c r="R4195" s="5">
        <v>90296.353221228885</v>
      </c>
    </row>
    <row r="4196" spans="9:18">
      <c r="I4196" s="4">
        <v>4181</v>
      </c>
      <c r="J4196" s="5">
        <v>17005.744061105343</v>
      </c>
      <c r="K4196" s="5">
        <v>14611.618478071941</v>
      </c>
      <c r="L4196" s="5">
        <v>14811.370758813007</v>
      </c>
      <c r="M4196" s="5">
        <v>22961.931350882205</v>
      </c>
      <c r="N4196" s="5">
        <v>16148.901635865295</v>
      </c>
      <c r="O4196" s="5">
        <v>79848.944504816522</v>
      </c>
      <c r="P4196" s="5">
        <v>3017.2887813579896</v>
      </c>
      <c r="Q4196" s="5">
        <v>148345.62878828164</v>
      </c>
      <c r="R4196" s="5">
        <v>182942.88598316166</v>
      </c>
    </row>
    <row r="4197" spans="9:18">
      <c r="I4197" s="4">
        <v>4182</v>
      </c>
      <c r="J4197" s="5">
        <v>14076.209333698853</v>
      </c>
      <c r="K4197" s="5">
        <v>14136.873097602549</v>
      </c>
      <c r="L4197" s="5">
        <v>15126.980926457318</v>
      </c>
      <c r="M4197" s="5">
        <v>23449.501569180404</v>
      </c>
      <c r="N4197" s="5">
        <v>14240.123545764454</v>
      </c>
      <c r="O4197" s="5">
        <v>27195.510785031525</v>
      </c>
      <c r="P4197" s="5">
        <v>20391.123772341358</v>
      </c>
      <c r="Q4197" s="5">
        <v>37101.531383212743</v>
      </c>
      <c r="R4197" s="5">
        <v>41056.152565483346</v>
      </c>
    </row>
    <row r="4198" spans="9:18">
      <c r="I4198" s="4">
        <v>4183</v>
      </c>
      <c r="J4198" s="5">
        <v>16016.491239086423</v>
      </c>
      <c r="K4198" s="5">
        <v>95171.967522309933</v>
      </c>
      <c r="L4198" s="5">
        <v>13867.07093008449</v>
      </c>
      <c r="M4198" s="5">
        <v>16001.653036457456</v>
      </c>
      <c r="N4198" s="5">
        <v>20292.069765667391</v>
      </c>
      <c r="O4198" s="5">
        <v>10738.305003664611</v>
      </c>
      <c r="P4198" s="5">
        <v>27452.975716953504</v>
      </c>
      <c r="Q4198" s="5">
        <v>14064.158297039334</v>
      </c>
      <c r="R4198" s="5">
        <v>18349.337771428582</v>
      </c>
    </row>
    <row r="4199" spans="9:18">
      <c r="I4199" s="4">
        <v>4184</v>
      </c>
      <c r="J4199" s="5">
        <v>16788.081681455456</v>
      </c>
      <c r="K4199" s="5">
        <v>18086.448513145526</v>
      </c>
      <c r="L4199" s="5">
        <v>17311.244744664215</v>
      </c>
      <c r="M4199" s="5">
        <v>20788.503422877813</v>
      </c>
      <c r="N4199" s="5">
        <v>14921.795973817481</v>
      </c>
      <c r="O4199" s="5">
        <v>35865.625349531729</v>
      </c>
      <c r="P4199" s="5">
        <v>20391.123772341358</v>
      </c>
      <c r="Q4199" s="5">
        <v>148345.62878828164</v>
      </c>
      <c r="R4199" s="5">
        <v>84289.422255274636</v>
      </c>
    </row>
    <row r="4200" spans="9:18">
      <c r="I4200" s="4">
        <v>4185</v>
      </c>
      <c r="J4200" s="5">
        <v>14750.660273177687</v>
      </c>
      <c r="K4200" s="5">
        <v>12423.491400404893</v>
      </c>
      <c r="L4200" s="5">
        <v>17845.207337527903</v>
      </c>
      <c r="M4200" s="5">
        <v>15202.972920708273</v>
      </c>
      <c r="N4200" s="5">
        <v>39672.376281023731</v>
      </c>
      <c r="O4200" s="5">
        <v>24247.516962783076</v>
      </c>
      <c r="P4200" s="5">
        <v>16072.735485912413</v>
      </c>
      <c r="Q4200" s="5">
        <v>47365.380972950254</v>
      </c>
      <c r="R4200" s="5">
        <v>18720.450716365784</v>
      </c>
    </row>
    <row r="4201" spans="9:18">
      <c r="I4201" s="4">
        <v>4186</v>
      </c>
      <c r="J4201" s="5">
        <v>14420.293087375476</v>
      </c>
      <c r="K4201" s="5">
        <v>15782.544184844044</v>
      </c>
      <c r="L4201" s="5">
        <v>15923.549351835489</v>
      </c>
      <c r="M4201" s="5">
        <v>18691.941789825862</v>
      </c>
      <c r="N4201" s="5">
        <v>37309.151967087455</v>
      </c>
      <c r="O4201" s="5">
        <v>13613.378495715853</v>
      </c>
      <c r="P4201" s="5">
        <v>13452.921824087563</v>
      </c>
      <c r="Q4201" s="5">
        <v>31855.809428519857</v>
      </c>
      <c r="R4201" s="5">
        <v>24722.972470599001</v>
      </c>
    </row>
    <row r="4202" spans="9:18">
      <c r="I4202" s="4">
        <v>4187</v>
      </c>
      <c r="J4202" s="5">
        <v>45301.532027110363</v>
      </c>
      <c r="K4202" s="5">
        <v>11206.053243692098</v>
      </c>
      <c r="L4202" s="5">
        <v>19078.910217042379</v>
      </c>
      <c r="M4202" s="5">
        <v>17542.15972125496</v>
      </c>
      <c r="N4202" s="5">
        <v>18367.429489032103</v>
      </c>
      <c r="O4202" s="5">
        <v>8121.6248378263163</v>
      </c>
      <c r="P4202" s="5">
        <v>13793.886507202402</v>
      </c>
      <c r="Q4202" s="5">
        <v>71213.172792303565</v>
      </c>
      <c r="R4202" s="5">
        <v>13258.538726001538</v>
      </c>
    </row>
    <row r="4203" spans="9:18">
      <c r="I4203" s="4">
        <v>4188</v>
      </c>
      <c r="J4203" s="5">
        <v>16459.003095225507</v>
      </c>
      <c r="K4203" s="5">
        <v>16132.555399908759</v>
      </c>
      <c r="L4203" s="5">
        <v>34748.877779456467</v>
      </c>
      <c r="M4203" s="5">
        <v>19042.78605337895</v>
      </c>
      <c r="N4203" s="5">
        <v>23283.854578052265</v>
      </c>
      <c r="O4203" s="5">
        <v>12110.196126281628</v>
      </c>
      <c r="P4203" s="5">
        <v>18963.234565965948</v>
      </c>
      <c r="Q4203" s="5">
        <v>92068.726035424203</v>
      </c>
      <c r="R4203" s="5">
        <v>122304.95880137496</v>
      </c>
    </row>
    <row r="4204" spans="9:18">
      <c r="I4204" s="4">
        <v>4189</v>
      </c>
      <c r="J4204" s="5">
        <v>12056.41843703942</v>
      </c>
      <c r="K4204" s="5">
        <v>15768.312122029349</v>
      </c>
      <c r="L4204" s="5">
        <v>17683.765335572589</v>
      </c>
      <c r="M4204" s="5">
        <v>41403.687663920646</v>
      </c>
      <c r="N4204" s="5">
        <v>23583.581287126868</v>
      </c>
      <c r="O4204" s="5">
        <v>13613.378495715853</v>
      </c>
      <c r="P4204" s="5">
        <v>13793.886507202402</v>
      </c>
      <c r="Q4204" s="5">
        <v>31974.553851773013</v>
      </c>
      <c r="R4204" s="5">
        <v>8720.6503563381029</v>
      </c>
    </row>
    <row r="4205" spans="9:18">
      <c r="I4205" s="4">
        <v>4190</v>
      </c>
      <c r="J4205" s="5">
        <v>16305.770155972396</v>
      </c>
      <c r="K4205" s="5">
        <v>12777.667398488715</v>
      </c>
      <c r="L4205" s="5">
        <v>25007.552172398639</v>
      </c>
      <c r="M4205" s="5">
        <v>29834.240613550006</v>
      </c>
      <c r="N4205" s="5">
        <v>59876.136849941562</v>
      </c>
      <c r="O4205" s="5">
        <v>10746.295275180995</v>
      </c>
      <c r="P4205" s="5">
        <v>3930.0915591834291</v>
      </c>
      <c r="Q4205" s="5">
        <v>64585.328088516922</v>
      </c>
      <c r="R4205" s="5">
        <v>29295.938844292672</v>
      </c>
    </row>
    <row r="4206" spans="9:18">
      <c r="I4206" s="4">
        <v>4191</v>
      </c>
      <c r="J4206" s="5">
        <v>16544.73779470181</v>
      </c>
      <c r="K4206" s="5">
        <v>14136.873097602549</v>
      </c>
      <c r="L4206" s="5">
        <v>16106.634875163341</v>
      </c>
      <c r="M4206" s="5">
        <v>6367.5407465007311</v>
      </c>
      <c r="N4206" s="5">
        <v>21617.945168312468</v>
      </c>
      <c r="O4206" s="5">
        <v>24369.28567093279</v>
      </c>
      <c r="P4206" s="5">
        <v>6275.8915673055426</v>
      </c>
      <c r="Q4206" s="5">
        <v>37802.358878968138</v>
      </c>
      <c r="R4206" s="5">
        <v>54594.567438884274</v>
      </c>
    </row>
    <row r="4207" spans="9:18">
      <c r="I4207" s="4">
        <v>4192</v>
      </c>
      <c r="J4207" s="5">
        <v>11936.262457073821</v>
      </c>
      <c r="K4207" s="5">
        <v>11507.182177474708</v>
      </c>
      <c r="L4207" s="5">
        <v>22319.409576580376</v>
      </c>
      <c r="M4207" s="5">
        <v>14432.283063351901</v>
      </c>
      <c r="N4207" s="5">
        <v>16418.492928415813</v>
      </c>
      <c r="O4207" s="5">
        <v>27068.054847826614</v>
      </c>
      <c r="P4207" s="5">
        <v>35569.894390728325</v>
      </c>
      <c r="Q4207" s="5">
        <v>16803.875627203233</v>
      </c>
      <c r="R4207" s="5">
        <v>86510.608303273053</v>
      </c>
    </row>
    <row r="4208" spans="9:18">
      <c r="I4208" s="4">
        <v>4193</v>
      </c>
      <c r="J4208" s="5">
        <v>15352.465904292809</v>
      </c>
      <c r="K4208" s="5">
        <v>16934.093371663999</v>
      </c>
      <c r="L4208" s="5">
        <v>17578.712723867691</v>
      </c>
      <c r="M4208" s="5">
        <v>25580.243606220469</v>
      </c>
      <c r="N4208" s="5">
        <v>9989.086510768735</v>
      </c>
      <c r="O4208" s="5">
        <v>5909.5347260996277</v>
      </c>
      <c r="P4208" s="5">
        <v>17737.38315098183</v>
      </c>
      <c r="Q4208" s="5">
        <v>12253.299944531094</v>
      </c>
      <c r="R4208" s="5">
        <v>91403.228438796665</v>
      </c>
    </row>
    <row r="4209" spans="9:18">
      <c r="I4209" s="4">
        <v>4194</v>
      </c>
      <c r="J4209" s="5">
        <v>13663.281817546009</v>
      </c>
      <c r="K4209" s="5">
        <v>21958.925144875713</v>
      </c>
      <c r="L4209" s="5">
        <v>29265.217478369766</v>
      </c>
      <c r="M4209" s="5">
        <v>14217.48832834715</v>
      </c>
      <c r="N4209" s="5">
        <v>15786.177386596903</v>
      </c>
      <c r="O4209" s="5">
        <v>9956.4031238965053</v>
      </c>
      <c r="P4209" s="5">
        <v>22708.601480587709</v>
      </c>
      <c r="Q4209" s="5">
        <v>70295.978314632754</v>
      </c>
      <c r="R4209" s="5">
        <v>7952.6989268572033</v>
      </c>
    </row>
    <row r="4210" spans="9:18">
      <c r="I4210" s="4">
        <v>4195</v>
      </c>
      <c r="J4210" s="5">
        <v>15623.733864199699</v>
      </c>
      <c r="K4210" s="5">
        <v>14611.618478071941</v>
      </c>
      <c r="L4210" s="5">
        <v>15126.980926457318</v>
      </c>
      <c r="M4210" s="5">
        <v>31554.722481137964</v>
      </c>
      <c r="N4210" s="5">
        <v>17891.96347244953</v>
      </c>
      <c r="O4210" s="5">
        <v>15124.35050053727</v>
      </c>
      <c r="P4210" s="5">
        <v>24349.301972630979</v>
      </c>
      <c r="Q4210" s="5">
        <v>14064.158297039334</v>
      </c>
      <c r="R4210" s="5">
        <v>17991.870496434763</v>
      </c>
    </row>
    <row r="4211" spans="9:18">
      <c r="I4211" s="4">
        <v>4196</v>
      </c>
      <c r="J4211" s="5">
        <v>11036.461796239426</v>
      </c>
      <c r="K4211" s="5">
        <v>11403.533194020869</v>
      </c>
      <c r="L4211" s="5">
        <v>14316.474075738101</v>
      </c>
      <c r="M4211" s="5">
        <v>29041.83725675238</v>
      </c>
      <c r="N4211" s="5">
        <v>32184.535272543482</v>
      </c>
      <c r="O4211" s="5">
        <v>27503.656957929088</v>
      </c>
      <c r="P4211" s="5">
        <v>8069.5385577067918</v>
      </c>
      <c r="Q4211" s="5">
        <v>16803.875627203233</v>
      </c>
      <c r="R4211" s="5">
        <v>123773.40402252052</v>
      </c>
    </row>
    <row r="4212" spans="9:18">
      <c r="I4212" s="4">
        <v>4197</v>
      </c>
      <c r="J4212" s="5">
        <v>11936.262457073821</v>
      </c>
      <c r="K4212" s="5">
        <v>13652.224205833634</v>
      </c>
      <c r="L4212" s="5">
        <v>15832.5469007027</v>
      </c>
      <c r="M4212" s="5">
        <v>21712.71007234112</v>
      </c>
      <c r="N4212" s="5">
        <v>45581.602064432409</v>
      </c>
      <c r="O4212" s="5">
        <v>51330.340277512776</v>
      </c>
      <c r="P4212" s="5">
        <v>49519.098753410741</v>
      </c>
      <c r="Q4212" s="5">
        <v>9138.5169630896526</v>
      </c>
      <c r="R4212" s="5">
        <v>86510.608303273053</v>
      </c>
    </row>
    <row r="4213" spans="9:18">
      <c r="I4213" s="4">
        <v>4198</v>
      </c>
      <c r="J4213" s="5">
        <v>15623.733864199699</v>
      </c>
      <c r="K4213" s="5">
        <v>14878.52734402675</v>
      </c>
      <c r="L4213" s="5">
        <v>15746.942257105531</v>
      </c>
      <c r="M4213" s="5">
        <v>23913.435663027711</v>
      </c>
      <c r="N4213" s="5">
        <v>27841.916587595573</v>
      </c>
      <c r="O4213" s="5">
        <v>11282.178219986479</v>
      </c>
      <c r="P4213" s="5">
        <v>16072.735485912413</v>
      </c>
      <c r="Q4213" s="5">
        <v>31902.904306425251</v>
      </c>
      <c r="R4213" s="5">
        <v>9913.4206865238284</v>
      </c>
    </row>
    <row r="4214" spans="9:18">
      <c r="I4214" s="4">
        <v>4199</v>
      </c>
      <c r="J4214" s="5">
        <v>16416.142496463777</v>
      </c>
      <c r="K4214" s="5">
        <v>31910.762633549082</v>
      </c>
      <c r="L4214" s="5">
        <v>15759.954187048656</v>
      </c>
      <c r="M4214" s="5">
        <v>12426.949970383979</v>
      </c>
      <c r="N4214" s="5">
        <v>39406.658185292261</v>
      </c>
      <c r="O4214" s="5">
        <v>40304.23053285561</v>
      </c>
      <c r="P4214" s="5">
        <v>74840.036182179319</v>
      </c>
      <c r="Q4214" s="5">
        <v>54060.5331097772</v>
      </c>
      <c r="R4214" s="5">
        <v>34970.397641695177</v>
      </c>
    </row>
    <row r="4215" spans="9:18">
      <c r="I4215" s="4">
        <v>4200</v>
      </c>
      <c r="J4215" s="5">
        <v>11036.461796239426</v>
      </c>
      <c r="K4215" s="5">
        <v>11149.572204897504</v>
      </c>
      <c r="L4215" s="5">
        <v>14691.846656953887</v>
      </c>
      <c r="M4215" s="5">
        <v>41698.977215629871</v>
      </c>
      <c r="N4215" s="5">
        <v>21617.945168312468</v>
      </c>
      <c r="O4215" s="5">
        <v>12110.196126281628</v>
      </c>
      <c r="P4215" s="5">
        <v>32167.874670939738</v>
      </c>
      <c r="Q4215" s="5">
        <v>8502.450657922871</v>
      </c>
      <c r="R4215" s="5">
        <v>20236.767651156802</v>
      </c>
    </row>
    <row r="4216" spans="9:18">
      <c r="I4216" s="4">
        <v>4201</v>
      </c>
      <c r="J4216" s="5">
        <v>9368.8270679249108</v>
      </c>
      <c r="K4216" s="5">
        <v>15347.101709242541</v>
      </c>
      <c r="L4216" s="5">
        <v>23760.785349782636</v>
      </c>
      <c r="M4216" s="5">
        <v>18816.787977140237</v>
      </c>
      <c r="N4216" s="5">
        <v>9989.086510768735</v>
      </c>
      <c r="O4216" s="5">
        <v>31172.963108652857</v>
      </c>
      <c r="P4216" s="5">
        <v>49519.098753410741</v>
      </c>
      <c r="Q4216" s="5">
        <v>25156.033327562815</v>
      </c>
      <c r="R4216" s="5">
        <v>87776.138236389699</v>
      </c>
    </row>
    <row r="4217" spans="9:18">
      <c r="I4217" s="4">
        <v>4202</v>
      </c>
      <c r="J4217" s="5">
        <v>26634.853073396614</v>
      </c>
      <c r="K4217" s="5">
        <v>20887.307279900142</v>
      </c>
      <c r="L4217" s="5">
        <v>14175.160754078657</v>
      </c>
      <c r="M4217" s="5">
        <v>22326.253555179093</v>
      </c>
      <c r="N4217" s="5">
        <v>22735.120948269971</v>
      </c>
      <c r="O4217" s="5">
        <v>20827.029306810669</v>
      </c>
      <c r="P4217" s="5">
        <v>26541.896041444568</v>
      </c>
      <c r="Q4217" s="5">
        <v>54060.5331097772</v>
      </c>
      <c r="R4217" s="5">
        <v>182942.88598316166</v>
      </c>
    </row>
    <row r="4218" spans="9:18">
      <c r="I4218" s="4">
        <v>4203</v>
      </c>
      <c r="J4218" s="5">
        <v>15064.079707240266</v>
      </c>
      <c r="K4218" s="5">
        <v>18086.448513145526</v>
      </c>
      <c r="L4218" s="5">
        <v>15300.182042823812</v>
      </c>
      <c r="M4218" s="5">
        <v>20788.503422877813</v>
      </c>
      <c r="N4218" s="5">
        <v>11684.605182472778</v>
      </c>
      <c r="O4218" s="5">
        <v>19430.912633256889</v>
      </c>
      <c r="P4218" s="5">
        <v>20403.656304140692</v>
      </c>
      <c r="Q4218" s="5">
        <v>18097.768262249352</v>
      </c>
      <c r="R4218" s="5">
        <v>51141.799458534304</v>
      </c>
    </row>
    <row r="4219" spans="9:18">
      <c r="I4219" s="4">
        <v>4204</v>
      </c>
      <c r="J4219" s="5">
        <v>22188.291830993156</v>
      </c>
      <c r="K4219" s="5">
        <v>21527.93129974293</v>
      </c>
      <c r="L4219" s="5">
        <v>14042.41908879921</v>
      </c>
      <c r="M4219" s="5">
        <v>20550.782384061673</v>
      </c>
      <c r="N4219" s="5">
        <v>12297.015342318469</v>
      </c>
      <c r="O4219" s="5">
        <v>10369.402667058452</v>
      </c>
      <c r="P4219" s="5">
        <v>27820.721938889761</v>
      </c>
      <c r="Q4219" s="5">
        <v>11928.872068442162</v>
      </c>
      <c r="R4219" s="5">
        <v>84289.422255274636</v>
      </c>
    </row>
    <row r="4220" spans="9:18">
      <c r="I4220" s="4">
        <v>4205</v>
      </c>
      <c r="J4220" s="5">
        <v>16788.081681455456</v>
      </c>
      <c r="K4220" s="5">
        <v>34058.671324159091</v>
      </c>
      <c r="L4220" s="5">
        <v>13867.07093008449</v>
      </c>
      <c r="M4220" s="5">
        <v>14660.631931099009</v>
      </c>
      <c r="N4220" s="5">
        <v>21909.120225822895</v>
      </c>
      <c r="O4220" s="5">
        <v>3171.3006415671193</v>
      </c>
      <c r="P4220" s="5">
        <v>5836.7810663002319</v>
      </c>
      <c r="Q4220" s="5">
        <v>9454.5906023793759</v>
      </c>
      <c r="R4220" s="5">
        <v>7201.7586694681067</v>
      </c>
    </row>
    <row r="4221" spans="9:18">
      <c r="I4221" s="4">
        <v>4206</v>
      </c>
      <c r="J4221" s="5">
        <v>15786.811016780619</v>
      </c>
      <c r="K4221" s="5">
        <v>18086.448513145526</v>
      </c>
      <c r="L4221" s="5">
        <v>15471.738323660695</v>
      </c>
      <c r="M4221" s="5">
        <v>6367.5407465007311</v>
      </c>
      <c r="N4221" s="5">
        <v>41563.89847100406</v>
      </c>
      <c r="O4221" s="5">
        <v>20827.029306810669</v>
      </c>
      <c r="P4221" s="5">
        <v>66904.018529955298</v>
      </c>
      <c r="Q4221" s="5">
        <v>35525.432376048877</v>
      </c>
      <c r="R4221" s="5">
        <v>122304.95880137496</v>
      </c>
    </row>
    <row r="4222" spans="9:18">
      <c r="I4222" s="4">
        <v>4207</v>
      </c>
      <c r="J4222" s="5">
        <v>15130.594750069789</v>
      </c>
      <c r="K4222" s="5">
        <v>15051.330276415061</v>
      </c>
      <c r="L4222" s="5">
        <v>10896.494237357269</v>
      </c>
      <c r="M4222" s="5">
        <v>12987.517521908694</v>
      </c>
      <c r="N4222" s="5">
        <v>63974.903847153939</v>
      </c>
      <c r="O4222" s="5">
        <v>45451.954570113048</v>
      </c>
      <c r="P4222" s="5">
        <v>9482.0186426688688</v>
      </c>
      <c r="Q4222" s="5">
        <v>16591.881190929333</v>
      </c>
      <c r="R4222" s="5">
        <v>76851.431017396084</v>
      </c>
    </row>
    <row r="4223" spans="9:18">
      <c r="I4223" s="4">
        <v>4208</v>
      </c>
      <c r="J4223" s="5">
        <v>14741.240040396578</v>
      </c>
      <c r="K4223" s="5">
        <v>17003.901855709089</v>
      </c>
      <c r="L4223" s="5">
        <v>27289.607394458035</v>
      </c>
      <c r="M4223" s="5">
        <v>16001.653036457456</v>
      </c>
      <c r="N4223" s="5">
        <v>20583.564383988036</v>
      </c>
      <c r="O4223" s="5">
        <v>20930.098352661731</v>
      </c>
      <c r="P4223" s="5">
        <v>18963.234565965948</v>
      </c>
      <c r="Q4223" s="5">
        <v>42044.890065817184</v>
      </c>
      <c r="R4223" s="5">
        <v>34970.397641695177</v>
      </c>
    </row>
    <row r="4224" spans="9:18">
      <c r="I4224" s="4">
        <v>4209</v>
      </c>
      <c r="J4224" s="5">
        <v>34933.039312618188</v>
      </c>
      <c r="K4224" s="5">
        <v>15768.312122029349</v>
      </c>
      <c r="L4224" s="5">
        <v>14146.191653372813</v>
      </c>
      <c r="M4224" s="5">
        <v>19890.009981657669</v>
      </c>
      <c r="N4224" s="5">
        <v>24769.339976495565</v>
      </c>
      <c r="O4224" s="5">
        <v>8121.6248378263163</v>
      </c>
      <c r="P4224" s="5">
        <v>36724.352187786957</v>
      </c>
      <c r="Q4224" s="5">
        <v>12451.066014448154</v>
      </c>
      <c r="R4224" s="5">
        <v>81423.874800517297</v>
      </c>
    </row>
    <row r="4225" spans="9:18">
      <c r="I4225" s="4">
        <v>4210</v>
      </c>
      <c r="J4225" s="5">
        <v>13045.114546182727</v>
      </c>
      <c r="K4225" s="5">
        <v>16934.093371663999</v>
      </c>
      <c r="L4225" s="5">
        <v>15225.811035017256</v>
      </c>
      <c r="M4225" s="5">
        <v>20550.782384061673</v>
      </c>
      <c r="N4225" s="5">
        <v>4770.4216775830728</v>
      </c>
      <c r="O4225" s="5">
        <v>9708.4497800977806</v>
      </c>
      <c r="P4225" s="5">
        <v>21933.779100635442</v>
      </c>
      <c r="Q4225" s="5">
        <v>47365.380972950254</v>
      </c>
      <c r="R4225" s="5">
        <v>14706.681111065362</v>
      </c>
    </row>
    <row r="4226" spans="9:18">
      <c r="I4226" s="4">
        <v>4211</v>
      </c>
      <c r="J4226" s="5">
        <v>14960.076233580705</v>
      </c>
      <c r="K4226" s="5">
        <v>21958.925144875713</v>
      </c>
      <c r="L4226" s="5">
        <v>16071.478531535273</v>
      </c>
      <c r="M4226" s="5">
        <v>21332.072353846772</v>
      </c>
      <c r="N4226" s="5">
        <v>24769.339976495565</v>
      </c>
      <c r="O4226" s="5">
        <v>20991.103410982985</v>
      </c>
      <c r="P4226" s="5">
        <v>26541.896041444568</v>
      </c>
      <c r="Q4226" s="5">
        <v>129470.11441833655</v>
      </c>
      <c r="R4226" s="5">
        <v>81423.874800517297</v>
      </c>
    </row>
    <row r="4227" spans="9:18">
      <c r="I4227" s="4">
        <v>4212</v>
      </c>
      <c r="J4227" s="5">
        <v>16459.003095225507</v>
      </c>
      <c r="K4227" s="5">
        <v>23327.217259521742</v>
      </c>
      <c r="L4227" s="5">
        <v>14364.472927446199</v>
      </c>
      <c r="M4227" s="5">
        <v>20041.623430301417</v>
      </c>
      <c r="N4227" s="5">
        <v>11751.639947035985</v>
      </c>
      <c r="O4227" s="5">
        <v>33720.545907536376</v>
      </c>
      <c r="P4227" s="5">
        <v>23769.190223735484</v>
      </c>
      <c r="Q4227" s="5">
        <v>9454.5906023793759</v>
      </c>
      <c r="R4227" s="5">
        <v>216919.53009911609</v>
      </c>
    </row>
    <row r="4228" spans="9:18">
      <c r="I4228" s="4">
        <v>4213</v>
      </c>
      <c r="J4228" s="5">
        <v>14594.990625703947</v>
      </c>
      <c r="K4228" s="5">
        <v>15487.124352801369</v>
      </c>
      <c r="L4228" s="5">
        <v>17693.864646288712</v>
      </c>
      <c r="M4228" s="5">
        <v>21072.983263501868</v>
      </c>
      <c r="N4228" s="5">
        <v>10882.757905166785</v>
      </c>
      <c r="O4228" s="5">
        <v>31172.963108652857</v>
      </c>
      <c r="P4228" s="5">
        <v>40377.463755170742</v>
      </c>
      <c r="Q4228" s="5">
        <v>4631.7430487757983</v>
      </c>
      <c r="R4228" s="5">
        <v>8105.1944146993656</v>
      </c>
    </row>
    <row r="4229" spans="9:18">
      <c r="I4229" s="4">
        <v>4214</v>
      </c>
      <c r="J4229" s="5">
        <v>12452.764985867625</v>
      </c>
      <c r="K4229" s="5">
        <v>15129.619337591721</v>
      </c>
      <c r="L4229" s="5">
        <v>13037.115556745504</v>
      </c>
      <c r="M4229" s="5">
        <v>13011.820191946215</v>
      </c>
      <c r="N4229" s="5">
        <v>4770.4216775830728</v>
      </c>
      <c r="O4229" s="5">
        <v>20489.622805425737</v>
      </c>
      <c r="P4229" s="5">
        <v>21933.779100635442</v>
      </c>
      <c r="Q4229" s="5">
        <v>52421.574537857021</v>
      </c>
      <c r="R4229" s="5">
        <v>40368.364083205248</v>
      </c>
    </row>
    <row r="4230" spans="9:18">
      <c r="I4230" s="4">
        <v>4215</v>
      </c>
      <c r="J4230" s="5">
        <v>12888.204629170894</v>
      </c>
      <c r="K4230" s="5">
        <v>14136.873097602549</v>
      </c>
      <c r="L4230" s="5">
        <v>21428.663623484812</v>
      </c>
      <c r="M4230" s="5">
        <v>7334.8610818348589</v>
      </c>
      <c r="N4230" s="5">
        <v>11788.341482962171</v>
      </c>
      <c r="O4230" s="5">
        <v>30876.675913171162</v>
      </c>
      <c r="P4230" s="5">
        <v>21933.779100635442</v>
      </c>
      <c r="Q4230" s="5">
        <v>31902.904306425251</v>
      </c>
      <c r="R4230" s="5">
        <v>41418.225609677866</v>
      </c>
    </row>
    <row r="4231" spans="9:18">
      <c r="I4231" s="4">
        <v>4216</v>
      </c>
      <c r="J4231" s="5">
        <v>15352.465904292809</v>
      </c>
      <c r="K4231" s="5">
        <v>13719.930466819731</v>
      </c>
      <c r="L4231" s="5">
        <v>13417.453622029931</v>
      </c>
      <c r="M4231" s="5">
        <v>23454.775510296178</v>
      </c>
      <c r="N4231" s="5">
        <v>19225.139878706803</v>
      </c>
      <c r="O4231" s="5">
        <v>30656.031716467984</v>
      </c>
      <c r="P4231" s="5">
        <v>12790.85158217316</v>
      </c>
      <c r="Q4231" s="5">
        <v>37802.358878968138</v>
      </c>
      <c r="R4231" s="5">
        <v>7118.1729476780347</v>
      </c>
    </row>
    <row r="4232" spans="9:18">
      <c r="I4232" s="4">
        <v>4217</v>
      </c>
      <c r="J4232" s="5">
        <v>45301.532027110363</v>
      </c>
      <c r="K4232" s="5">
        <v>15768.312122029349</v>
      </c>
      <c r="L4232" s="5">
        <v>16616.161224349555</v>
      </c>
      <c r="M4232" s="5">
        <v>19151.339770278159</v>
      </c>
      <c r="N4232" s="5">
        <v>40377.252444397986</v>
      </c>
      <c r="O4232" s="5">
        <v>8801.3667015774663</v>
      </c>
      <c r="P4232" s="5">
        <v>5735.6883097179207</v>
      </c>
      <c r="Q4232" s="5">
        <v>52545.991451361173</v>
      </c>
      <c r="R4232" s="5">
        <v>14051.647494499957</v>
      </c>
    </row>
    <row r="4233" spans="9:18">
      <c r="I4233" s="4">
        <v>4218</v>
      </c>
      <c r="J4233" s="5">
        <v>21150.169973104224</v>
      </c>
      <c r="K4233" s="5">
        <v>9739.7813029644258</v>
      </c>
      <c r="L4233" s="5">
        <v>14811.370758813007</v>
      </c>
      <c r="M4233" s="5">
        <v>18691.941789825862</v>
      </c>
      <c r="N4233" s="5">
        <v>21909.120225822895</v>
      </c>
      <c r="O4233" s="5">
        <v>10738.305003664611</v>
      </c>
      <c r="P4233" s="5">
        <v>38771.994792132391</v>
      </c>
      <c r="Q4233" s="5">
        <v>9138.5169630896526</v>
      </c>
      <c r="R4233" s="5">
        <v>8720.6503563381029</v>
      </c>
    </row>
    <row r="4234" spans="9:18">
      <c r="I4234" s="4">
        <v>4219</v>
      </c>
      <c r="J4234" s="5">
        <v>49463.324094345015</v>
      </c>
      <c r="K4234" s="5">
        <v>29672.680843304515</v>
      </c>
      <c r="L4234" s="5">
        <v>10752.183901283248</v>
      </c>
      <c r="M4234" s="5">
        <v>16510.442870615672</v>
      </c>
      <c r="N4234" s="5">
        <v>4770.4216775830728</v>
      </c>
      <c r="O4234" s="5">
        <v>20930.098352661731</v>
      </c>
      <c r="P4234" s="5">
        <v>55152.110177667731</v>
      </c>
      <c r="Q4234" s="5">
        <v>31618.396253255491</v>
      </c>
      <c r="R4234" s="5">
        <v>6360.7905155660001</v>
      </c>
    </row>
    <row r="4235" spans="9:18">
      <c r="I4235" s="4">
        <v>4220</v>
      </c>
      <c r="J4235" s="5">
        <v>28590.354879265724</v>
      </c>
      <c r="K4235" s="5">
        <v>15631.937142257386</v>
      </c>
      <c r="L4235" s="5">
        <v>16451.333928028147</v>
      </c>
      <c r="M4235" s="5">
        <v>13065.820809359835</v>
      </c>
      <c r="N4235" s="5">
        <v>48565.498233359976</v>
      </c>
      <c r="O4235" s="5">
        <v>5444.7598502623823</v>
      </c>
      <c r="P4235" s="5">
        <v>28537.545734403488</v>
      </c>
      <c r="Q4235" s="5">
        <v>21421.044775857536</v>
      </c>
      <c r="R4235" s="5">
        <v>44707.053087992797</v>
      </c>
    </row>
    <row r="4236" spans="9:18">
      <c r="I4236" s="4">
        <v>4221</v>
      </c>
      <c r="J4236" s="5">
        <v>26634.853073396614</v>
      </c>
      <c r="K4236" s="5">
        <v>22732.797143159998</v>
      </c>
      <c r="L4236" s="5">
        <v>16017.890956041876</v>
      </c>
      <c r="M4236" s="5">
        <v>10142.860128720422</v>
      </c>
      <c r="N4236" s="5">
        <v>20718.434293991453</v>
      </c>
      <c r="O4236" s="5">
        <v>27503.656957929088</v>
      </c>
      <c r="P4236" s="5">
        <v>55152.110177667731</v>
      </c>
      <c r="Q4236" s="5">
        <v>73941.636731325911</v>
      </c>
      <c r="R4236" s="5">
        <v>62674.060343500474</v>
      </c>
    </row>
    <row r="4237" spans="9:18">
      <c r="I4237" s="4">
        <v>4222</v>
      </c>
      <c r="J4237" s="5">
        <v>16544.73779470181</v>
      </c>
      <c r="K4237" s="5">
        <v>53937.689698015136</v>
      </c>
      <c r="L4237" s="5">
        <v>22412.045018675239</v>
      </c>
      <c r="M4237" s="5">
        <v>6367.5407465007311</v>
      </c>
      <c r="N4237" s="5">
        <v>15251.140047572881</v>
      </c>
      <c r="O4237" s="5">
        <v>13519.384207850644</v>
      </c>
      <c r="P4237" s="5">
        <v>9811.9720599964548</v>
      </c>
      <c r="Q4237" s="5">
        <v>11928.872068442162</v>
      </c>
      <c r="R4237" s="5">
        <v>7394.6358885760465</v>
      </c>
    </row>
    <row r="4238" spans="9:18">
      <c r="I4238" s="4">
        <v>4223</v>
      </c>
      <c r="J4238" s="5">
        <v>29760.443016608337</v>
      </c>
      <c r="K4238" s="5">
        <v>12026.500118162745</v>
      </c>
      <c r="L4238" s="5">
        <v>21428.663623484812</v>
      </c>
      <c r="M4238" s="5">
        <v>10451.914120098167</v>
      </c>
      <c r="N4238" s="5">
        <v>23583.581287126868</v>
      </c>
      <c r="O4238" s="5">
        <v>94068.324736096256</v>
      </c>
      <c r="P4238" s="5">
        <v>27820.721938889761</v>
      </c>
      <c r="Q4238" s="5">
        <v>18097.768262249352</v>
      </c>
      <c r="R4238" s="5">
        <v>17687.533637716911</v>
      </c>
    </row>
    <row r="4239" spans="9:18">
      <c r="I4239" s="4">
        <v>4224</v>
      </c>
      <c r="J4239" s="5">
        <v>11116.191595722205</v>
      </c>
      <c r="K4239" s="5">
        <v>14017.262946034314</v>
      </c>
      <c r="L4239" s="5">
        <v>16577.562442697115</v>
      </c>
      <c r="M4239" s="5">
        <v>13011.820191946215</v>
      </c>
      <c r="N4239" s="5">
        <v>15658.063692994532</v>
      </c>
      <c r="O4239" s="5">
        <v>53007.660727727191</v>
      </c>
      <c r="P4239" s="5">
        <v>17737.38315098183</v>
      </c>
      <c r="Q4239" s="5">
        <v>16591.881190929333</v>
      </c>
      <c r="R4239" s="5">
        <v>87776.138236389699</v>
      </c>
    </row>
    <row r="4240" spans="9:18">
      <c r="I4240" s="4">
        <v>4225</v>
      </c>
      <c r="J4240" s="5">
        <v>17005.744061105343</v>
      </c>
      <c r="K4240" s="5">
        <v>13288.692555879701</v>
      </c>
      <c r="L4240" s="5">
        <v>16071.260291253868</v>
      </c>
      <c r="M4240" s="5">
        <v>21332.072353846772</v>
      </c>
      <c r="N4240" s="5">
        <v>41563.89847100406</v>
      </c>
      <c r="O4240" s="5">
        <v>40304.23053285561</v>
      </c>
      <c r="P4240" s="5">
        <v>3831.1492650071077</v>
      </c>
      <c r="Q4240" s="5">
        <v>17153.530968450712</v>
      </c>
      <c r="R4240" s="5">
        <v>46004.399892616471</v>
      </c>
    </row>
    <row r="4241" spans="9:18">
      <c r="I4241" s="4">
        <v>4226</v>
      </c>
      <c r="J4241" s="5">
        <v>23517.429992060665</v>
      </c>
      <c r="K4241" s="5">
        <v>32294.121255311245</v>
      </c>
      <c r="L4241" s="5">
        <v>15922.087958863045</v>
      </c>
      <c r="M4241" s="5">
        <v>19890.009981657669</v>
      </c>
      <c r="N4241" s="5">
        <v>39406.658185292261</v>
      </c>
      <c r="O4241" s="5">
        <v>18637.945795127704</v>
      </c>
      <c r="P4241" s="5">
        <v>63015.124693769802</v>
      </c>
      <c r="Q4241" s="5">
        <v>37497.234505125656</v>
      </c>
      <c r="R4241" s="5">
        <v>86510.608303273053</v>
      </c>
    </row>
    <row r="4242" spans="9:18">
      <c r="I4242" s="4">
        <v>4227</v>
      </c>
      <c r="J4242" s="5">
        <v>15352.465904292809</v>
      </c>
      <c r="K4242" s="5">
        <v>17003.901855709089</v>
      </c>
      <c r="L4242" s="5">
        <v>15225.811035017256</v>
      </c>
      <c r="M4242" s="5">
        <v>6367.5407465007311</v>
      </c>
      <c r="N4242" s="5">
        <v>57711.498171893618</v>
      </c>
      <c r="O4242" s="5">
        <v>9956.4031238965053</v>
      </c>
      <c r="P4242" s="5">
        <v>10966.822219855034</v>
      </c>
      <c r="Q4242" s="5">
        <v>68168.482468129529</v>
      </c>
      <c r="R4242" s="5">
        <v>17991.870496434763</v>
      </c>
    </row>
    <row r="4243" spans="9:18">
      <c r="I4243" s="4">
        <v>4228</v>
      </c>
      <c r="J4243" s="5">
        <v>15873.12561080002</v>
      </c>
      <c r="K4243" s="5">
        <v>16665.1498926479</v>
      </c>
      <c r="L4243" s="5">
        <v>23561.450544884348</v>
      </c>
      <c r="M4243" s="5">
        <v>19042.78605337895</v>
      </c>
      <c r="N4243" s="5">
        <v>11604.12831603515</v>
      </c>
      <c r="O4243" s="5">
        <v>15124.35050053727</v>
      </c>
      <c r="P4243" s="5">
        <v>12639.596794453437</v>
      </c>
      <c r="Q4243" s="5">
        <v>21421.044775857536</v>
      </c>
      <c r="R4243" s="5">
        <v>1535.701520095213</v>
      </c>
    </row>
    <row r="4244" spans="9:18">
      <c r="I4244" s="4">
        <v>4229</v>
      </c>
      <c r="J4244" s="5">
        <v>17005.744061105343</v>
      </c>
      <c r="K4244" s="5">
        <v>14579.232378315752</v>
      </c>
      <c r="L4244" s="5">
        <v>16616.161224349555</v>
      </c>
      <c r="M4244" s="5">
        <v>33862.836621974391</v>
      </c>
      <c r="N4244" s="5">
        <v>8104.6265149430556</v>
      </c>
      <c r="O4244" s="5">
        <v>40581.847217937895</v>
      </c>
      <c r="P4244" s="5">
        <v>10532.667493814919</v>
      </c>
      <c r="Q4244" s="5">
        <v>37802.358878968138</v>
      </c>
      <c r="R4244" s="5">
        <v>12130.167062525341</v>
      </c>
    </row>
    <row r="4245" spans="9:18">
      <c r="I4245" s="4">
        <v>4230</v>
      </c>
      <c r="J4245" s="5">
        <v>16166.107684907736</v>
      </c>
      <c r="K4245" s="5">
        <v>19467.955014411935</v>
      </c>
      <c r="L4245" s="5">
        <v>14364.472927446199</v>
      </c>
      <c r="M4245" s="5">
        <v>15202.972920708273</v>
      </c>
      <c r="N4245" s="5">
        <v>12523.573732460784</v>
      </c>
      <c r="O4245" s="5">
        <v>67717.30633712461</v>
      </c>
      <c r="P4245" s="5">
        <v>63015.124693769802</v>
      </c>
      <c r="Q4245" s="5">
        <v>6386.5227360487288</v>
      </c>
      <c r="R4245" s="5">
        <v>10885.018205103002</v>
      </c>
    </row>
    <row r="4246" spans="9:18">
      <c r="I4246" s="4">
        <v>4231</v>
      </c>
      <c r="J4246" s="5">
        <v>14017.326487344162</v>
      </c>
      <c r="K4246" s="5">
        <v>13288.692555879701</v>
      </c>
      <c r="L4246" s="5">
        <v>18379.634651549037</v>
      </c>
      <c r="M4246" s="5">
        <v>10142.860128720422</v>
      </c>
      <c r="N4246" s="5">
        <v>4770.4216775830728</v>
      </c>
      <c r="O4246" s="5">
        <v>10676.618215263648</v>
      </c>
      <c r="P4246" s="5">
        <v>32167.874670939738</v>
      </c>
      <c r="Q4246" s="5">
        <v>47365.380972950254</v>
      </c>
      <c r="R4246" s="5">
        <v>31715.273557891396</v>
      </c>
    </row>
    <row r="4247" spans="9:18">
      <c r="I4247" s="4">
        <v>4232</v>
      </c>
      <c r="J4247" s="5">
        <v>16016.491239086423</v>
      </c>
      <c r="K4247" s="5">
        <v>16132.555399908759</v>
      </c>
      <c r="L4247" s="5">
        <v>14264.23790876064</v>
      </c>
      <c r="M4247" s="5">
        <v>36301.422888051464</v>
      </c>
      <c r="N4247" s="5">
        <v>21933.097106966918</v>
      </c>
      <c r="O4247" s="5">
        <v>40942.522561879181</v>
      </c>
      <c r="P4247" s="5">
        <v>5735.6883097179207</v>
      </c>
      <c r="Q4247" s="5">
        <v>14064.158297039334</v>
      </c>
      <c r="R4247" s="5">
        <v>123773.40402252052</v>
      </c>
    </row>
    <row r="4248" spans="9:18">
      <c r="I4248" s="4">
        <v>4233</v>
      </c>
      <c r="J4248" s="5">
        <v>7855.2948890116513</v>
      </c>
      <c r="K4248" s="5">
        <v>13331.01856102917</v>
      </c>
      <c r="L4248" s="5">
        <v>29265.217478369766</v>
      </c>
      <c r="M4248" s="5">
        <v>30785.663999045999</v>
      </c>
      <c r="N4248" s="5">
        <v>15251.140047572881</v>
      </c>
      <c r="O4248" s="5">
        <v>24247.516962783076</v>
      </c>
      <c r="P4248" s="5">
        <v>32155.527541400057</v>
      </c>
      <c r="Q4248" s="5">
        <v>25156.033327562815</v>
      </c>
      <c r="R4248" s="5">
        <v>76851.431017396084</v>
      </c>
    </row>
    <row r="4249" spans="9:18">
      <c r="I4249" s="4">
        <v>4234</v>
      </c>
      <c r="J4249" s="5">
        <v>15352.465904292809</v>
      </c>
      <c r="K4249" s="5">
        <v>11857.447519815871</v>
      </c>
      <c r="L4249" s="5">
        <v>15664.99858445921</v>
      </c>
      <c r="M4249" s="5">
        <v>29041.83725675238</v>
      </c>
      <c r="N4249" s="5">
        <v>10882.757905166785</v>
      </c>
      <c r="O4249" s="5">
        <v>9320.7026593487881</v>
      </c>
      <c r="P4249" s="5">
        <v>55152.110177667731</v>
      </c>
      <c r="Q4249" s="5">
        <v>96632.959478514502</v>
      </c>
      <c r="R4249" s="5">
        <v>18349.337771428582</v>
      </c>
    </row>
    <row r="4250" spans="9:18">
      <c r="I4250" s="4">
        <v>4235</v>
      </c>
      <c r="J4250" s="5">
        <v>14420.293087375476</v>
      </c>
      <c r="K4250" s="5">
        <v>13288.692555879701</v>
      </c>
      <c r="L4250" s="5">
        <v>14146.191653372813</v>
      </c>
      <c r="M4250" s="5">
        <v>13065.820809359835</v>
      </c>
      <c r="N4250" s="5">
        <v>17811.114014514766</v>
      </c>
      <c r="O4250" s="5">
        <v>14371.728352806511</v>
      </c>
      <c r="P4250" s="5">
        <v>12639.596794453437</v>
      </c>
      <c r="Q4250" s="5">
        <v>52545.991451361173</v>
      </c>
      <c r="R4250" s="5">
        <v>38898.713625068609</v>
      </c>
    </row>
    <row r="4251" spans="9:18">
      <c r="I4251" s="4">
        <v>4236</v>
      </c>
      <c r="J4251" s="5">
        <v>45301.532027110363</v>
      </c>
      <c r="K4251" s="5">
        <v>13652.224205833634</v>
      </c>
      <c r="L4251" s="5">
        <v>19359.475411188432</v>
      </c>
      <c r="M4251" s="5">
        <v>10451.914120098167</v>
      </c>
      <c r="N4251" s="5">
        <v>34295.124147811541</v>
      </c>
      <c r="O4251" s="5">
        <v>30656.031716467984</v>
      </c>
      <c r="P4251" s="5">
        <v>28537.545734403488</v>
      </c>
      <c r="Q4251" s="5">
        <v>71213.172792303565</v>
      </c>
      <c r="R4251" s="5">
        <v>34970.397641695177</v>
      </c>
    </row>
    <row r="4252" spans="9:18">
      <c r="I4252" s="4">
        <v>4237</v>
      </c>
      <c r="J4252" s="5">
        <v>15623.733864199699</v>
      </c>
      <c r="K4252" s="5">
        <v>19467.955014411935</v>
      </c>
      <c r="L4252" s="5">
        <v>18810.091753970282</v>
      </c>
      <c r="M4252" s="5">
        <v>23067.94260629595</v>
      </c>
      <c r="N4252" s="5">
        <v>42744.618431291936</v>
      </c>
      <c r="O4252" s="5">
        <v>66253.993323243907</v>
      </c>
      <c r="P4252" s="5">
        <v>27373.102585108634</v>
      </c>
      <c r="Q4252" s="5">
        <v>96632.959478514502</v>
      </c>
      <c r="R4252" s="5">
        <v>93933.045103013996</v>
      </c>
    </row>
    <row r="4253" spans="9:18">
      <c r="I4253" s="4">
        <v>4238</v>
      </c>
      <c r="J4253" s="5">
        <v>11936.262457073821</v>
      </c>
      <c r="K4253" s="5">
        <v>11206.053243692098</v>
      </c>
      <c r="L4253" s="5">
        <v>18810.091753970282</v>
      </c>
      <c r="M4253" s="5">
        <v>41698.977215629871</v>
      </c>
      <c r="N4253" s="5">
        <v>23998.040874392525</v>
      </c>
      <c r="O4253" s="5">
        <v>24369.28567093279</v>
      </c>
      <c r="P4253" s="5">
        <v>5836.7810663002319</v>
      </c>
      <c r="Q4253" s="5">
        <v>27018.509959127641</v>
      </c>
      <c r="R4253" s="5">
        <v>3989.7956692889929</v>
      </c>
    </row>
    <row r="4254" spans="9:18">
      <c r="I4254" s="4">
        <v>4239</v>
      </c>
      <c r="J4254" s="5">
        <v>15554.996700302558</v>
      </c>
      <c r="K4254" s="5">
        <v>17003.901855709089</v>
      </c>
      <c r="L4254" s="5">
        <v>19359.475411188432</v>
      </c>
      <c r="M4254" s="5">
        <v>14660.631931099009</v>
      </c>
      <c r="N4254" s="5">
        <v>26152.705108198839</v>
      </c>
      <c r="O4254" s="5">
        <v>13966.178986479143</v>
      </c>
      <c r="P4254" s="5">
        <v>35213.322626437533</v>
      </c>
      <c r="Q4254" s="5">
        <v>14064.158297039334</v>
      </c>
      <c r="R4254" s="5">
        <v>44707.053087992797</v>
      </c>
    </row>
    <row r="4255" spans="9:18">
      <c r="I4255" s="4">
        <v>4240</v>
      </c>
      <c r="J4255" s="5">
        <v>14420.293087375476</v>
      </c>
      <c r="K4255" s="5">
        <v>18218.584572172625</v>
      </c>
      <c r="L4255" s="5">
        <v>14815.394001212817</v>
      </c>
      <c r="M4255" s="5">
        <v>18177.175180585615</v>
      </c>
      <c r="N4255" s="5">
        <v>25424.029865101274</v>
      </c>
      <c r="O4255" s="5">
        <v>42492.261063288854</v>
      </c>
      <c r="P4255" s="5">
        <v>17737.38315098183</v>
      </c>
      <c r="Q4255" s="5">
        <v>30266.563414010914</v>
      </c>
      <c r="R4255" s="5">
        <v>6360.7905155660001</v>
      </c>
    </row>
    <row r="4256" spans="9:18">
      <c r="I4256" s="4">
        <v>4241</v>
      </c>
      <c r="J4256" s="5">
        <v>14749.343145806102</v>
      </c>
      <c r="K4256" s="5">
        <v>11558.357574452555</v>
      </c>
      <c r="L4256" s="5">
        <v>15359.132481533357</v>
      </c>
      <c r="M4256" s="5">
        <v>11680.747299075838</v>
      </c>
      <c r="N4256" s="5">
        <v>23746.795665493762</v>
      </c>
      <c r="O4256" s="5">
        <v>40942.522561879181</v>
      </c>
      <c r="P4256" s="5">
        <v>17996.895987204196</v>
      </c>
      <c r="Q4256" s="5">
        <v>25156.033327562815</v>
      </c>
      <c r="R4256" s="5">
        <v>181970.23111012415</v>
      </c>
    </row>
    <row r="4257" spans="9:18">
      <c r="I4257" s="4">
        <v>4242</v>
      </c>
      <c r="J4257" s="5">
        <v>43272.831879770602</v>
      </c>
      <c r="K4257" s="5">
        <v>15698.764831033119</v>
      </c>
      <c r="L4257" s="5">
        <v>13023.361770761438</v>
      </c>
      <c r="M4257" s="5">
        <v>15586.009710351766</v>
      </c>
      <c r="N4257" s="5">
        <v>10882.757905166785</v>
      </c>
      <c r="O4257" s="5">
        <v>25604.597681740845</v>
      </c>
      <c r="P4257" s="5">
        <v>5836.7810663002319</v>
      </c>
      <c r="Q4257" s="5">
        <v>47365.380972950254</v>
      </c>
      <c r="R4257" s="5">
        <v>54594.567438884274</v>
      </c>
    </row>
    <row r="4258" spans="9:18">
      <c r="I4258" s="4">
        <v>4243</v>
      </c>
      <c r="J4258" s="5">
        <v>19121.054099180623</v>
      </c>
      <c r="K4258" s="5">
        <v>13520.836427679104</v>
      </c>
      <c r="L4258" s="5">
        <v>16472.138192556791</v>
      </c>
      <c r="M4258" s="5">
        <v>13616.35938654862</v>
      </c>
      <c r="N4258" s="5">
        <v>18367.429489032103</v>
      </c>
      <c r="O4258" s="5">
        <v>27062.73412298776</v>
      </c>
      <c r="P4258" s="5">
        <v>16072.735485912413</v>
      </c>
      <c r="Q4258" s="5">
        <v>12451.066014448154</v>
      </c>
      <c r="R4258" s="5">
        <v>12116.34255245842</v>
      </c>
    </row>
    <row r="4259" spans="9:18">
      <c r="I4259" s="4">
        <v>4244</v>
      </c>
      <c r="J4259" s="5">
        <v>16088.430030489333</v>
      </c>
      <c r="K4259" s="5">
        <v>14611.618478071941</v>
      </c>
      <c r="L4259" s="5">
        <v>16577.562442697115</v>
      </c>
      <c r="M4259" s="5">
        <v>33862.836621974391</v>
      </c>
      <c r="N4259" s="5">
        <v>9989.086510768735</v>
      </c>
      <c r="O4259" s="5">
        <v>27508.313315384185</v>
      </c>
      <c r="P4259" s="5">
        <v>17737.38315098183</v>
      </c>
      <c r="Q4259" s="5">
        <v>15663.43865741136</v>
      </c>
      <c r="R4259" s="5">
        <v>34970.397641695177</v>
      </c>
    </row>
    <row r="4260" spans="9:18">
      <c r="I4260" s="4">
        <v>4245</v>
      </c>
      <c r="J4260" s="5">
        <v>14017.326487344162</v>
      </c>
      <c r="K4260" s="5">
        <v>24728.095385476983</v>
      </c>
      <c r="L4260" s="5">
        <v>17683.765335572589</v>
      </c>
      <c r="M4260" s="5">
        <v>18879.640760542785</v>
      </c>
      <c r="N4260" s="5">
        <v>26152.705108198839</v>
      </c>
      <c r="O4260" s="5">
        <v>27068.054847826614</v>
      </c>
      <c r="P4260" s="5">
        <v>32155.527541400057</v>
      </c>
      <c r="Q4260" s="5">
        <v>20987.925664394581</v>
      </c>
      <c r="R4260" s="5">
        <v>55012.315589742022</v>
      </c>
    </row>
    <row r="4261" spans="9:18">
      <c r="I4261" s="4">
        <v>4246</v>
      </c>
      <c r="J4261" s="5">
        <v>15554.996700302558</v>
      </c>
      <c r="K4261" s="5">
        <v>15782.544184844044</v>
      </c>
      <c r="L4261" s="5">
        <v>19078.910217042379</v>
      </c>
      <c r="M4261" s="5">
        <v>19097.39635881727</v>
      </c>
      <c r="N4261" s="5">
        <v>13909.728487455486</v>
      </c>
      <c r="O4261" s="5">
        <v>4231.3144655921506</v>
      </c>
      <c r="P4261" s="5">
        <v>18862.487147419793</v>
      </c>
      <c r="Q4261" s="5">
        <v>116445.46783345108</v>
      </c>
      <c r="R4261" s="5">
        <v>46004.399892616471</v>
      </c>
    </row>
    <row r="4262" spans="9:18">
      <c r="I4262" s="4">
        <v>4247</v>
      </c>
      <c r="J4262" s="5">
        <v>16544.73779470181</v>
      </c>
      <c r="K4262" s="5">
        <v>16873.752266014431</v>
      </c>
      <c r="L4262" s="5">
        <v>21428.663623484812</v>
      </c>
      <c r="M4262" s="5">
        <v>10142.860128720422</v>
      </c>
      <c r="N4262" s="5">
        <v>39406.658185292261</v>
      </c>
      <c r="O4262" s="5">
        <v>24258.192244316608</v>
      </c>
      <c r="P4262" s="5">
        <v>29283.825979394511</v>
      </c>
      <c r="Q4262" s="5">
        <v>22895.455950885695</v>
      </c>
      <c r="R4262" s="5">
        <v>72561.496699005787</v>
      </c>
    </row>
    <row r="4263" spans="9:18">
      <c r="I4263" s="4">
        <v>4248</v>
      </c>
      <c r="J4263" s="5">
        <v>29760.443016608337</v>
      </c>
      <c r="K4263" s="5">
        <v>95171.967522309933</v>
      </c>
      <c r="L4263" s="5">
        <v>17073.17760523731</v>
      </c>
      <c r="M4263" s="5">
        <v>24981.974172352908</v>
      </c>
      <c r="N4263" s="5">
        <v>35826.921212852278</v>
      </c>
      <c r="O4263" s="5">
        <v>53028.643350899503</v>
      </c>
      <c r="P4263" s="5">
        <v>21039.927746191301</v>
      </c>
      <c r="Q4263" s="5">
        <v>16591.881190929333</v>
      </c>
      <c r="R4263" s="5">
        <v>18230.645544621442</v>
      </c>
    </row>
    <row r="4264" spans="9:18">
      <c r="I4264" s="4">
        <v>4249</v>
      </c>
      <c r="J4264" s="5">
        <v>19048.674633640545</v>
      </c>
      <c r="K4264" s="5">
        <v>13719.930466819731</v>
      </c>
      <c r="L4264" s="5">
        <v>22319.409576580376</v>
      </c>
      <c r="M4264" s="5">
        <v>7334.8610818348589</v>
      </c>
      <c r="N4264" s="5">
        <v>11635.644856128632</v>
      </c>
      <c r="O4264" s="5">
        <v>26268.613803794757</v>
      </c>
      <c r="P4264" s="5">
        <v>27708.613526855763</v>
      </c>
      <c r="Q4264" s="5">
        <v>25156.033327562815</v>
      </c>
      <c r="R4264" s="5">
        <v>93933.045103013996</v>
      </c>
    </row>
    <row r="4265" spans="9:18">
      <c r="I4265" s="4">
        <v>4250</v>
      </c>
      <c r="J4265" s="5">
        <v>15623.733864199699</v>
      </c>
      <c r="K4265" s="5">
        <v>21527.93129974293</v>
      </c>
      <c r="L4265" s="5">
        <v>16777.996633299583</v>
      </c>
      <c r="M4265" s="5">
        <v>19097.39635881727</v>
      </c>
      <c r="N4265" s="5">
        <v>39406.658185292261</v>
      </c>
      <c r="O4265" s="5">
        <v>12110.196126281628</v>
      </c>
      <c r="P4265" s="5">
        <v>23769.190223735484</v>
      </c>
      <c r="Q4265" s="5">
        <v>15623.622662102793</v>
      </c>
      <c r="R4265" s="5">
        <v>261393.32711858812</v>
      </c>
    </row>
    <row r="4266" spans="9:18">
      <c r="I4266" s="4">
        <v>4251</v>
      </c>
      <c r="J4266" s="5">
        <v>13595.404057849493</v>
      </c>
      <c r="K4266" s="5">
        <v>16199.334613834633</v>
      </c>
      <c r="L4266" s="5">
        <v>16955.349467865559</v>
      </c>
      <c r="M4266" s="5">
        <v>37411.178129764201</v>
      </c>
      <c r="N4266" s="5">
        <v>13745.376566850549</v>
      </c>
      <c r="O4266" s="5">
        <v>24369.28567093279</v>
      </c>
      <c r="P4266" s="5">
        <v>9965.8330787532959</v>
      </c>
      <c r="Q4266" s="5">
        <v>56069.347629295014</v>
      </c>
      <c r="R4266" s="5">
        <v>122304.95880137496</v>
      </c>
    </row>
    <row r="4267" spans="9:18">
      <c r="I4267" s="4">
        <v>4252</v>
      </c>
      <c r="J4267" s="5">
        <v>12888.204629170894</v>
      </c>
      <c r="K4267" s="5">
        <v>8223.1266007477425</v>
      </c>
      <c r="L4267" s="5">
        <v>14649.721476864312</v>
      </c>
      <c r="M4267" s="5">
        <v>19795.661011456152</v>
      </c>
      <c r="N4267" s="5">
        <v>46248.895746171031</v>
      </c>
      <c r="O4267" s="5">
        <v>40942.522561879181</v>
      </c>
      <c r="P4267" s="5">
        <v>8877.9712092977989</v>
      </c>
      <c r="Q4267" s="5">
        <v>31855.809428519857</v>
      </c>
      <c r="R4267" s="5">
        <v>44707.053087992797</v>
      </c>
    </row>
    <row r="4268" spans="9:18">
      <c r="I4268" s="4">
        <v>4253</v>
      </c>
      <c r="J4268" s="5">
        <v>16544.73779470181</v>
      </c>
      <c r="K4268" s="5">
        <v>15051.330276415061</v>
      </c>
      <c r="L4268" s="5">
        <v>14146.191653372813</v>
      </c>
      <c r="M4268" s="5">
        <v>21072.983263501868</v>
      </c>
      <c r="N4268" s="5">
        <v>21617.945168312468</v>
      </c>
      <c r="O4268" s="5">
        <v>5909.5347260996277</v>
      </c>
      <c r="P4268" s="5">
        <v>6275.8915673055426</v>
      </c>
      <c r="Q4268" s="5">
        <v>53055.59182561023</v>
      </c>
      <c r="R4268" s="5">
        <v>84289.422255274636</v>
      </c>
    </row>
    <row r="4269" spans="9:18">
      <c r="I4269" s="4">
        <v>4254</v>
      </c>
      <c r="J4269" s="5">
        <v>7855.2948890116513</v>
      </c>
      <c r="K4269" s="5">
        <v>14351.415257675473</v>
      </c>
      <c r="L4269" s="5">
        <v>11827.803406885578</v>
      </c>
      <c r="M4269" s="5">
        <v>14660.631931099009</v>
      </c>
      <c r="N4269" s="5">
        <v>18410.937863650517</v>
      </c>
      <c r="O4269" s="5">
        <v>10369.402667058452</v>
      </c>
      <c r="P4269" s="5">
        <v>22708.601480587709</v>
      </c>
      <c r="Q4269" s="5">
        <v>27018.509959127641</v>
      </c>
      <c r="R4269" s="5">
        <v>59414.886464347241</v>
      </c>
    </row>
    <row r="4270" spans="9:18">
      <c r="I4270" s="4">
        <v>4255</v>
      </c>
      <c r="J4270" s="5">
        <v>20768.286261788198</v>
      </c>
      <c r="K4270" s="5">
        <v>11507.182177474708</v>
      </c>
      <c r="L4270" s="5">
        <v>16577.562442697115</v>
      </c>
      <c r="M4270" s="5">
        <v>6367.5407465007311</v>
      </c>
      <c r="N4270" s="5">
        <v>59876.136849941562</v>
      </c>
      <c r="O4270" s="5">
        <v>25802.481365323994</v>
      </c>
      <c r="P4270" s="5">
        <v>34814.458119125498</v>
      </c>
      <c r="Q4270" s="5">
        <v>9454.5906023793759</v>
      </c>
      <c r="R4270" s="5">
        <v>20303.08745527079</v>
      </c>
    </row>
    <row r="4271" spans="9:18">
      <c r="I4271" s="4">
        <v>4256</v>
      </c>
      <c r="J4271" s="5">
        <v>13391.049101507895</v>
      </c>
      <c r="K4271" s="5">
        <v>14017.262946034314</v>
      </c>
      <c r="L4271" s="5">
        <v>25389.332759288587</v>
      </c>
      <c r="M4271" s="5">
        <v>31554.722481137964</v>
      </c>
      <c r="N4271" s="5">
        <v>35826.921212852278</v>
      </c>
      <c r="O4271" s="5">
        <v>16505.600261180331</v>
      </c>
      <c r="P4271" s="5">
        <v>44646.134934589521</v>
      </c>
      <c r="Q4271" s="5">
        <v>15623.622662102793</v>
      </c>
      <c r="R4271" s="5">
        <v>59414.886464347241</v>
      </c>
    </row>
    <row r="4272" spans="9:18">
      <c r="I4272" s="4">
        <v>4257</v>
      </c>
      <c r="J4272" s="5">
        <v>14680.308400328413</v>
      </c>
      <c r="K4272" s="5">
        <v>6949.5708823216592</v>
      </c>
      <c r="L4272" s="5">
        <v>17482.478480142941</v>
      </c>
      <c r="M4272" s="5">
        <v>41698.977215629871</v>
      </c>
      <c r="N4272" s="5">
        <v>17891.96347244953</v>
      </c>
      <c r="O4272" s="5">
        <v>8801.3667015774663</v>
      </c>
      <c r="P4272" s="5">
        <v>45161.732159568586</v>
      </c>
      <c r="Q4272" s="5">
        <v>19541.409060825732</v>
      </c>
      <c r="R4272" s="5">
        <v>12116.34255245842</v>
      </c>
    </row>
    <row r="4273" spans="9:18">
      <c r="I4273" s="4">
        <v>4258</v>
      </c>
      <c r="J4273" s="5">
        <v>14076.209333698853</v>
      </c>
      <c r="K4273" s="5">
        <v>26110.948843472826</v>
      </c>
      <c r="L4273" s="5">
        <v>13037.115556745504</v>
      </c>
      <c r="M4273" s="5">
        <v>13022.686998540772</v>
      </c>
      <c r="N4273" s="5">
        <v>11751.639947035985</v>
      </c>
      <c r="O4273" s="5">
        <v>10676.618215263648</v>
      </c>
      <c r="P4273" s="5">
        <v>35569.894390728325</v>
      </c>
      <c r="Q4273" s="5">
        <v>16803.875627203233</v>
      </c>
      <c r="R4273" s="5">
        <v>41056.152565483346</v>
      </c>
    </row>
    <row r="4274" spans="9:18">
      <c r="I4274" s="4">
        <v>4259</v>
      </c>
      <c r="J4274" s="5">
        <v>13918.242013140338</v>
      </c>
      <c r="K4274" s="5">
        <v>11558.357574452555</v>
      </c>
      <c r="L4274" s="5">
        <v>16071.478531535273</v>
      </c>
      <c r="M4274" s="5">
        <v>13616.35938654862</v>
      </c>
      <c r="N4274" s="5">
        <v>22010.718648995869</v>
      </c>
      <c r="O4274" s="5">
        <v>49114.195066822271</v>
      </c>
      <c r="P4274" s="5">
        <v>3930.0915591834291</v>
      </c>
      <c r="Q4274" s="5">
        <v>19315.033835554255</v>
      </c>
      <c r="R4274" s="5">
        <v>6360.7905155660001</v>
      </c>
    </row>
    <row r="4275" spans="9:18">
      <c r="I4275" s="4">
        <v>4260</v>
      </c>
      <c r="J4275" s="5">
        <v>28214.771032351968</v>
      </c>
      <c r="K4275" s="5">
        <v>32073.547537933715</v>
      </c>
      <c r="L4275" s="5">
        <v>14649.721476864312</v>
      </c>
      <c r="M4275" s="5">
        <v>12735.841453044006</v>
      </c>
      <c r="N4275" s="5">
        <v>9563.1256545330361</v>
      </c>
      <c r="O4275" s="5">
        <v>25644.588869829797</v>
      </c>
      <c r="P4275" s="5">
        <v>8877.9712092977989</v>
      </c>
      <c r="Q4275" s="5">
        <v>28078.365156847896</v>
      </c>
      <c r="R4275" s="5">
        <v>6360.7905155660001</v>
      </c>
    </row>
    <row r="4276" spans="9:18">
      <c r="I4276" s="4">
        <v>4261</v>
      </c>
      <c r="J4276" s="5">
        <v>11936.262457073821</v>
      </c>
      <c r="K4276" s="5">
        <v>14497.035717129334</v>
      </c>
      <c r="L4276" s="5">
        <v>15923.549351835489</v>
      </c>
      <c r="M4276" s="5">
        <v>29041.83725675238</v>
      </c>
      <c r="N4276" s="5">
        <v>11751.639947035985</v>
      </c>
      <c r="O4276" s="5">
        <v>5909.5347260996277</v>
      </c>
      <c r="P4276" s="5">
        <v>13452.921824087563</v>
      </c>
      <c r="Q4276" s="5">
        <v>9645.8788061228515</v>
      </c>
      <c r="R4276" s="5">
        <v>18720.450716365784</v>
      </c>
    </row>
    <row r="4277" spans="9:18">
      <c r="I4277" s="4">
        <v>4262</v>
      </c>
      <c r="J4277" s="5">
        <v>18650.249281571734</v>
      </c>
      <c r="K4277" s="5">
        <v>16934.093371663999</v>
      </c>
      <c r="L4277" s="5">
        <v>13358.459356674217</v>
      </c>
      <c r="M4277" s="5">
        <v>25580.243606220469</v>
      </c>
      <c r="N4277" s="5">
        <v>21909.120225822895</v>
      </c>
      <c r="O4277" s="5">
        <v>19492.655596593511</v>
      </c>
      <c r="P4277" s="5">
        <v>10180.109839011631</v>
      </c>
      <c r="Q4277" s="5">
        <v>9645.8788061228515</v>
      </c>
      <c r="R4277" s="5">
        <v>46004.399892616471</v>
      </c>
    </row>
    <row r="4278" spans="9:18">
      <c r="I4278" s="4">
        <v>4263</v>
      </c>
      <c r="J4278" s="5">
        <v>16710.807721801892</v>
      </c>
      <c r="K4278" s="5">
        <v>6949.5708823216592</v>
      </c>
      <c r="L4278" s="5">
        <v>15923.549351835489</v>
      </c>
      <c r="M4278" s="5">
        <v>30830.81083227017</v>
      </c>
      <c r="N4278" s="5">
        <v>11604.12831603515</v>
      </c>
      <c r="O4278" s="5">
        <v>21930.527973988665</v>
      </c>
      <c r="P4278" s="5">
        <v>48123.003747643132</v>
      </c>
      <c r="Q4278" s="5">
        <v>19315.033835554255</v>
      </c>
      <c r="R4278" s="5">
        <v>72640.340924600489</v>
      </c>
    </row>
    <row r="4279" spans="9:18">
      <c r="I4279" s="4">
        <v>4264</v>
      </c>
      <c r="J4279" s="5">
        <v>49463.324094345015</v>
      </c>
      <c r="K4279" s="5">
        <v>14579.232378315752</v>
      </c>
      <c r="L4279" s="5">
        <v>16014.071850041886</v>
      </c>
      <c r="M4279" s="5">
        <v>19042.78605337895</v>
      </c>
      <c r="N4279" s="5">
        <v>57711.498171893618</v>
      </c>
      <c r="O4279" s="5">
        <v>36759.655306288936</v>
      </c>
      <c r="P4279" s="5">
        <v>22708.601480587709</v>
      </c>
      <c r="Q4279" s="5">
        <v>13099.063525342741</v>
      </c>
      <c r="R4279" s="5">
        <v>35232.418639121184</v>
      </c>
    </row>
    <row r="4280" spans="9:18">
      <c r="I4280" s="4">
        <v>4265</v>
      </c>
      <c r="J4280" s="5">
        <v>20002.201347927807</v>
      </c>
      <c r="K4280" s="5">
        <v>15129.619337591721</v>
      </c>
      <c r="L4280" s="5">
        <v>22412.045018675239</v>
      </c>
      <c r="M4280" s="5">
        <v>23515.935489506261</v>
      </c>
      <c r="N4280" s="5">
        <v>40377.252444397986</v>
      </c>
      <c r="O4280" s="5">
        <v>83458.030763693328</v>
      </c>
      <c r="P4280" s="5">
        <v>5735.6883097179207</v>
      </c>
      <c r="Q4280" s="5">
        <v>70295.978314632754</v>
      </c>
      <c r="R4280" s="5">
        <v>40368.364083205248</v>
      </c>
    </row>
    <row r="4281" spans="9:18">
      <c r="I4281" s="4">
        <v>4266</v>
      </c>
      <c r="J4281" s="5">
        <v>13841.207384998772</v>
      </c>
      <c r="K4281" s="5">
        <v>21218.439146892688</v>
      </c>
      <c r="L4281" s="5">
        <v>17128.574519497746</v>
      </c>
      <c r="M4281" s="5">
        <v>20550.782384061673</v>
      </c>
      <c r="N4281" s="5">
        <v>21009.255892677338</v>
      </c>
      <c r="O4281" s="5">
        <v>49114.195066822271</v>
      </c>
      <c r="P4281" s="5">
        <v>22708.601480587709</v>
      </c>
      <c r="Q4281" s="5">
        <v>22483.395143121877</v>
      </c>
      <c r="R4281" s="5">
        <v>7118.1729476780347</v>
      </c>
    </row>
    <row r="4282" spans="9:18">
      <c r="I4282" s="4">
        <v>4267</v>
      </c>
      <c r="J4282" s="5">
        <v>14594.990625703947</v>
      </c>
      <c r="K4282" s="5">
        <v>21958.925144875713</v>
      </c>
      <c r="L4282" s="5">
        <v>14610.165745300763</v>
      </c>
      <c r="M4282" s="5">
        <v>13414.385151739983</v>
      </c>
      <c r="N4282" s="5">
        <v>24314.043643333731</v>
      </c>
      <c r="O4282" s="5">
        <v>33720.545907536376</v>
      </c>
      <c r="P4282" s="5">
        <v>8662.4232458952465</v>
      </c>
      <c r="Q4282" s="5">
        <v>12451.066014448154</v>
      </c>
      <c r="R4282" s="5">
        <v>14079.827908007112</v>
      </c>
    </row>
    <row r="4283" spans="9:18">
      <c r="I4283" s="4">
        <v>4268</v>
      </c>
      <c r="J4283" s="5">
        <v>15623.733864199699</v>
      </c>
      <c r="K4283" s="5">
        <v>18086.448513145526</v>
      </c>
      <c r="L4283" s="5">
        <v>13622.976145621742</v>
      </c>
      <c r="M4283" s="5">
        <v>21272.00214469912</v>
      </c>
      <c r="N4283" s="5">
        <v>26152.705108198839</v>
      </c>
      <c r="O4283" s="5">
        <v>36759.655306288936</v>
      </c>
      <c r="P4283" s="5">
        <v>20403.656304140692</v>
      </c>
      <c r="Q4283" s="5">
        <v>37802.358878968138</v>
      </c>
      <c r="R4283" s="5">
        <v>39788.288251916689</v>
      </c>
    </row>
    <row r="4284" spans="9:18">
      <c r="I4284" s="4">
        <v>4269</v>
      </c>
      <c r="J4284" s="5">
        <v>14344.692898101612</v>
      </c>
      <c r="K4284" s="5">
        <v>34164.842952759042</v>
      </c>
      <c r="L4284" s="5">
        <v>16293.265064857471</v>
      </c>
      <c r="M4284" s="5">
        <v>30830.81083227017</v>
      </c>
      <c r="N4284" s="5">
        <v>40377.252444397986</v>
      </c>
      <c r="O4284" s="5">
        <v>26268.613803794757</v>
      </c>
      <c r="P4284" s="5">
        <v>38771.994792132391</v>
      </c>
      <c r="Q4284" s="5">
        <v>14064.158297039334</v>
      </c>
      <c r="R4284" s="5">
        <v>14079.827908007112</v>
      </c>
    </row>
    <row r="4285" spans="9:18">
      <c r="I4285" s="4">
        <v>4270</v>
      </c>
      <c r="J4285" s="5">
        <v>7855.2948890116513</v>
      </c>
      <c r="K4285" s="5">
        <v>13719.930466819731</v>
      </c>
      <c r="L4285" s="5">
        <v>22018.381599979773</v>
      </c>
      <c r="M4285" s="5">
        <v>21272.00214469912</v>
      </c>
      <c r="N4285" s="5">
        <v>11751.639947035985</v>
      </c>
      <c r="O4285" s="5">
        <v>5444.7598502623823</v>
      </c>
      <c r="P4285" s="5">
        <v>55119.366528283317</v>
      </c>
      <c r="Q4285" s="5">
        <v>54060.5331097772</v>
      </c>
      <c r="R4285" s="5">
        <v>50287.76786557267</v>
      </c>
    </row>
    <row r="4286" spans="9:18">
      <c r="I4286" s="4">
        <v>4271</v>
      </c>
      <c r="J4286" s="5">
        <v>14420.293087375476</v>
      </c>
      <c r="K4286" s="5">
        <v>16934.093371663999</v>
      </c>
      <c r="L4286" s="5">
        <v>14042.41908879921</v>
      </c>
      <c r="M4286" s="5">
        <v>22961.931350882205</v>
      </c>
      <c r="N4286" s="5">
        <v>18367.429489032103</v>
      </c>
      <c r="O4286" s="5">
        <v>27195.510785031525</v>
      </c>
      <c r="P4286" s="5">
        <v>14327.191387816954</v>
      </c>
      <c r="Q4286" s="5">
        <v>27789.973552634947</v>
      </c>
      <c r="R4286" s="5">
        <v>7394.6358885760465</v>
      </c>
    </row>
    <row r="4287" spans="9:18">
      <c r="I4287" s="4">
        <v>4272</v>
      </c>
      <c r="J4287" s="5">
        <v>26634.853073396614</v>
      </c>
      <c r="K4287" s="5">
        <v>13652.224205833634</v>
      </c>
      <c r="L4287" s="5">
        <v>13417.453622029931</v>
      </c>
      <c r="M4287" s="5">
        <v>6367.5407465007311</v>
      </c>
      <c r="N4287" s="5">
        <v>22735.120948269971</v>
      </c>
      <c r="O4287" s="5">
        <v>53028.643350899503</v>
      </c>
      <c r="P4287" s="5">
        <v>49519.098753410741</v>
      </c>
      <c r="Q4287" s="5">
        <v>79566.621912742485</v>
      </c>
      <c r="R4287" s="5">
        <v>16039.216896723072</v>
      </c>
    </row>
    <row r="4288" spans="9:18">
      <c r="I4288" s="4">
        <v>4273</v>
      </c>
      <c r="J4288" s="5">
        <v>21888.821432026474</v>
      </c>
      <c r="K4288" s="5">
        <v>14878.52734402675</v>
      </c>
      <c r="L4288" s="5">
        <v>15923.549351835489</v>
      </c>
      <c r="M4288" s="5">
        <v>31472.019071027709</v>
      </c>
      <c r="N4288" s="5">
        <v>11604.12831603515</v>
      </c>
      <c r="O4288" s="5">
        <v>9708.4497800977806</v>
      </c>
      <c r="P4288" s="5">
        <v>8069.5385577067918</v>
      </c>
      <c r="Q4288" s="5">
        <v>79566.621912742485</v>
      </c>
      <c r="R4288" s="5">
        <v>302760.11878714536</v>
      </c>
    </row>
    <row r="4289" spans="9:18">
      <c r="I4289" s="4">
        <v>4274</v>
      </c>
      <c r="J4289" s="5">
        <v>28590.354879265724</v>
      </c>
      <c r="K4289" s="5">
        <v>21958.925144875713</v>
      </c>
      <c r="L4289" s="5">
        <v>21725.131459372977</v>
      </c>
      <c r="M4289" s="5">
        <v>20185.026038758231</v>
      </c>
      <c r="N4289" s="5">
        <v>21617.945168312468</v>
      </c>
      <c r="O4289" s="5">
        <v>12110.196126281628</v>
      </c>
      <c r="P4289" s="5">
        <v>44816.412248582856</v>
      </c>
      <c r="Q4289" s="5">
        <v>31855.809428519857</v>
      </c>
      <c r="R4289" s="5">
        <v>30571.564004538617</v>
      </c>
    </row>
    <row r="4290" spans="9:18">
      <c r="I4290" s="4">
        <v>4275</v>
      </c>
      <c r="J4290" s="5">
        <v>8580.4413740966302</v>
      </c>
      <c r="K4290" s="5">
        <v>9769.3659785458403</v>
      </c>
      <c r="L4290" s="5">
        <v>22018.381599979773</v>
      </c>
      <c r="M4290" s="5">
        <v>15346.383801976139</v>
      </c>
      <c r="N4290" s="5">
        <v>59876.136849941562</v>
      </c>
      <c r="O4290" s="5">
        <v>24247.516962783076</v>
      </c>
      <c r="P4290" s="5">
        <v>9633.1652908310007</v>
      </c>
      <c r="Q4290" s="5">
        <v>12253.299944531094</v>
      </c>
      <c r="R4290" s="5">
        <v>7394.6358885760465</v>
      </c>
    </row>
    <row r="4291" spans="9:18">
      <c r="I4291" s="4">
        <v>4276</v>
      </c>
      <c r="J4291" s="5">
        <v>16016.491239086423</v>
      </c>
      <c r="K4291" s="5">
        <v>31910.762633549082</v>
      </c>
      <c r="L4291" s="5">
        <v>17716.90539191998</v>
      </c>
      <c r="M4291" s="5">
        <v>15346.383801976139</v>
      </c>
      <c r="N4291" s="5">
        <v>12297.015342318469</v>
      </c>
      <c r="O4291" s="5">
        <v>13966.178986479143</v>
      </c>
      <c r="P4291" s="5">
        <v>27452.975716953504</v>
      </c>
      <c r="Q4291" s="5">
        <v>30266.563414010914</v>
      </c>
      <c r="R4291" s="5">
        <v>24831.679362998926</v>
      </c>
    </row>
    <row r="4292" spans="9:18">
      <c r="I4292" s="4">
        <v>4277</v>
      </c>
      <c r="J4292" s="5">
        <v>13663.281817546009</v>
      </c>
      <c r="K4292" s="5">
        <v>16273.14570113692</v>
      </c>
      <c r="L4292" s="5">
        <v>17243.440968229323</v>
      </c>
      <c r="M4292" s="5">
        <v>19042.78605337895</v>
      </c>
      <c r="N4292" s="5">
        <v>11251.634703629026</v>
      </c>
      <c r="O4292" s="5">
        <v>19492.655596593511</v>
      </c>
      <c r="P4292" s="5">
        <v>38024.168395914428</v>
      </c>
      <c r="Q4292" s="5">
        <v>52421.574537857021</v>
      </c>
      <c r="R4292" s="5">
        <v>17687.533637716911</v>
      </c>
    </row>
    <row r="4293" spans="9:18">
      <c r="I4293" s="4">
        <v>4278</v>
      </c>
      <c r="J4293" s="5">
        <v>15648.665245032147</v>
      </c>
      <c r="K4293" s="5">
        <v>26110.948843472826</v>
      </c>
      <c r="L4293" s="5">
        <v>19078.910217042379</v>
      </c>
      <c r="M4293" s="5">
        <v>30830.81083227017</v>
      </c>
      <c r="N4293" s="5">
        <v>20558.672182394013</v>
      </c>
      <c r="O4293" s="5">
        <v>41653.890350944224</v>
      </c>
      <c r="P4293" s="5">
        <v>27373.102585108634</v>
      </c>
      <c r="Q4293" s="5">
        <v>28078.365156847896</v>
      </c>
      <c r="R4293" s="5">
        <v>17304.847214362417</v>
      </c>
    </row>
    <row r="4294" spans="9:18">
      <c r="I4294" s="4">
        <v>4279</v>
      </c>
      <c r="J4294" s="5">
        <v>11854.381651026555</v>
      </c>
      <c r="K4294" s="5">
        <v>61827.107730316675</v>
      </c>
      <c r="L4294" s="5">
        <v>16071.260291253868</v>
      </c>
      <c r="M4294" s="5">
        <v>18816.787977140237</v>
      </c>
      <c r="N4294" s="5">
        <v>13745.376566850549</v>
      </c>
      <c r="O4294" s="5">
        <v>10746.295275180995</v>
      </c>
      <c r="P4294" s="5">
        <v>14327.191387816954</v>
      </c>
      <c r="Q4294" s="5">
        <v>42044.890065817184</v>
      </c>
      <c r="R4294" s="5">
        <v>5865.9802599669383</v>
      </c>
    </row>
    <row r="4295" spans="9:18">
      <c r="I4295" s="4">
        <v>4280</v>
      </c>
      <c r="J4295" s="5">
        <v>16788.081681455456</v>
      </c>
      <c r="K4295" s="5">
        <v>21218.439146892688</v>
      </c>
      <c r="L4295" s="5">
        <v>14811.370758813007</v>
      </c>
      <c r="M4295" s="5">
        <v>12987.517521908694</v>
      </c>
      <c r="N4295" s="5">
        <v>16148.901635865295</v>
      </c>
      <c r="O4295" s="5">
        <v>40942.522561879181</v>
      </c>
      <c r="P4295" s="5">
        <v>8662.4232458952465</v>
      </c>
      <c r="Q4295" s="5">
        <v>28078.365156847896</v>
      </c>
      <c r="R4295" s="5">
        <v>7879.038918914337</v>
      </c>
    </row>
    <row r="4296" spans="9:18">
      <c r="I4296" s="4">
        <v>4281</v>
      </c>
      <c r="J4296" s="5">
        <v>16088.430030489333</v>
      </c>
      <c r="K4296" s="5">
        <v>35488.449387009874</v>
      </c>
      <c r="L4296" s="5">
        <v>21954.536591034263</v>
      </c>
      <c r="M4296" s="5">
        <v>23908.621352410395</v>
      </c>
      <c r="N4296" s="5">
        <v>9989.086510768735</v>
      </c>
      <c r="O4296" s="5">
        <v>10270.120415297655</v>
      </c>
      <c r="P4296" s="5">
        <v>8069.5385577067918</v>
      </c>
      <c r="Q4296" s="5">
        <v>20987.925664394581</v>
      </c>
      <c r="R4296" s="5">
        <v>7118.1729476780347</v>
      </c>
    </row>
    <row r="4297" spans="9:18">
      <c r="I4297" s="4">
        <v>4282</v>
      </c>
      <c r="J4297" s="5">
        <v>31053.540961463306</v>
      </c>
      <c r="K4297" s="5">
        <v>15347.101709242541</v>
      </c>
      <c r="L4297" s="5">
        <v>17243.440968229323</v>
      </c>
      <c r="M4297" s="5">
        <v>17370.588707072598</v>
      </c>
      <c r="N4297" s="5">
        <v>4770.4216775830728</v>
      </c>
      <c r="O4297" s="5">
        <v>42492.261063288854</v>
      </c>
      <c r="P4297" s="5">
        <v>9826.8369575407578</v>
      </c>
      <c r="Q4297" s="5">
        <v>10151.908492905288</v>
      </c>
      <c r="R4297" s="5">
        <v>8105.1944146993656</v>
      </c>
    </row>
    <row r="4298" spans="9:18">
      <c r="I4298" s="4">
        <v>4283</v>
      </c>
      <c r="J4298" s="5">
        <v>16305.770155972396</v>
      </c>
      <c r="K4298" s="5">
        <v>17128.860847126922</v>
      </c>
      <c r="L4298" s="5">
        <v>18475.258050488967</v>
      </c>
      <c r="M4298" s="5">
        <v>21913.431401527439</v>
      </c>
      <c r="N4298" s="5">
        <v>9209.4418830788036</v>
      </c>
      <c r="O4298" s="5">
        <v>16462.170789592048</v>
      </c>
      <c r="P4298" s="5">
        <v>33500.490132682797</v>
      </c>
      <c r="Q4298" s="5">
        <v>129470.11441833655</v>
      </c>
      <c r="R4298" s="5">
        <v>54594.567438884274</v>
      </c>
    </row>
    <row r="4299" spans="9:18">
      <c r="I4299" s="4">
        <v>4284</v>
      </c>
      <c r="J4299" s="5">
        <v>14076.209333698853</v>
      </c>
      <c r="K4299" s="5">
        <v>8223.1266007477425</v>
      </c>
      <c r="L4299" s="5">
        <v>16071.478531535273</v>
      </c>
      <c r="M4299" s="5">
        <v>12619.198742021435</v>
      </c>
      <c r="N4299" s="5">
        <v>28426.778914975595</v>
      </c>
      <c r="O4299" s="5">
        <v>31172.963108652857</v>
      </c>
      <c r="P4299" s="5">
        <v>44816.412248582856</v>
      </c>
      <c r="Q4299" s="5">
        <v>148345.62878828164</v>
      </c>
      <c r="R4299" s="5">
        <v>302760.11878714536</v>
      </c>
    </row>
    <row r="4300" spans="9:18">
      <c r="I4300" s="4">
        <v>4285</v>
      </c>
      <c r="J4300" s="5">
        <v>29760.443016608337</v>
      </c>
      <c r="K4300" s="5">
        <v>23934.551191616061</v>
      </c>
      <c r="L4300" s="5">
        <v>16293.265064857471</v>
      </c>
      <c r="M4300" s="5">
        <v>32497.510405113037</v>
      </c>
      <c r="N4300" s="5">
        <v>14240.123545764454</v>
      </c>
      <c r="O4300" s="5">
        <v>32474.063027682765</v>
      </c>
      <c r="P4300" s="5">
        <v>27373.102585108634</v>
      </c>
      <c r="Q4300" s="5">
        <v>25156.033327562815</v>
      </c>
      <c r="R4300" s="5">
        <v>76851.431017396084</v>
      </c>
    </row>
    <row r="4301" spans="9:18">
      <c r="I4301" s="4">
        <v>4286</v>
      </c>
      <c r="J4301" s="5">
        <v>31559.699247539775</v>
      </c>
      <c r="K4301" s="5">
        <v>12777.667398488715</v>
      </c>
      <c r="L4301" s="5">
        <v>18475.258050488967</v>
      </c>
      <c r="M4301" s="5">
        <v>12934.591863415189</v>
      </c>
      <c r="N4301" s="5">
        <v>22511.351424689696</v>
      </c>
      <c r="O4301" s="5">
        <v>20930.098352661731</v>
      </c>
      <c r="P4301" s="5">
        <v>12992.105410393709</v>
      </c>
      <c r="Q4301" s="5">
        <v>54060.5331097772</v>
      </c>
      <c r="R4301" s="5">
        <v>7201.7586694681067</v>
      </c>
    </row>
    <row r="4302" spans="9:18">
      <c r="I4302" s="4">
        <v>4287</v>
      </c>
      <c r="J4302" s="5">
        <v>17592.832480262863</v>
      </c>
      <c r="K4302" s="5">
        <v>22732.797143159998</v>
      </c>
      <c r="L4302" s="5">
        <v>18602.881797624486</v>
      </c>
      <c r="M4302" s="5">
        <v>22961.931350882205</v>
      </c>
      <c r="N4302" s="5">
        <v>9563.1256545330361</v>
      </c>
      <c r="O4302" s="5">
        <v>55264.438774006347</v>
      </c>
      <c r="P4302" s="5">
        <v>66904.018529955298</v>
      </c>
      <c r="Q4302" s="5">
        <v>37802.358878968138</v>
      </c>
      <c r="R4302" s="5">
        <v>26783.439354489365</v>
      </c>
    </row>
    <row r="4303" spans="9:18">
      <c r="I4303" s="4">
        <v>4288</v>
      </c>
      <c r="J4303" s="5">
        <v>12056.41843703942</v>
      </c>
      <c r="K4303" s="5">
        <v>8124.7965732661823</v>
      </c>
      <c r="L4303" s="5">
        <v>34748.877779456467</v>
      </c>
      <c r="M4303" s="5">
        <v>21332.072353846772</v>
      </c>
      <c r="N4303" s="5">
        <v>32184.535272543482</v>
      </c>
      <c r="O4303" s="5">
        <v>27195.510785031525</v>
      </c>
      <c r="P4303" s="5">
        <v>55152.110177667731</v>
      </c>
      <c r="Q4303" s="5">
        <v>37073.980790337926</v>
      </c>
      <c r="R4303" s="5">
        <v>39727.513802035661</v>
      </c>
    </row>
    <row r="4304" spans="9:18">
      <c r="I4304" s="4">
        <v>4289</v>
      </c>
      <c r="J4304" s="5">
        <v>11116.191595722205</v>
      </c>
      <c r="K4304" s="5">
        <v>21218.439146892688</v>
      </c>
      <c r="L4304" s="5">
        <v>16577.562442697115</v>
      </c>
      <c r="M4304" s="5">
        <v>23449.501569180404</v>
      </c>
      <c r="N4304" s="5">
        <v>17214.078970533748</v>
      </c>
      <c r="O4304" s="5">
        <v>19492.655596593511</v>
      </c>
      <c r="P4304" s="5">
        <v>32155.527541400057</v>
      </c>
      <c r="Q4304" s="5">
        <v>16591.881190929333</v>
      </c>
      <c r="R4304" s="5">
        <v>122304.95880137496</v>
      </c>
    </row>
    <row r="4305" spans="9:18">
      <c r="I4305" s="4">
        <v>4290</v>
      </c>
      <c r="J4305" s="5">
        <v>7855.2948890116513</v>
      </c>
      <c r="K4305" s="5">
        <v>8124.7965732661823</v>
      </c>
      <c r="L4305" s="5">
        <v>15487.970507365942</v>
      </c>
      <c r="M4305" s="5">
        <v>9623.0342442006167</v>
      </c>
      <c r="N4305" s="5">
        <v>39672.376281023731</v>
      </c>
      <c r="O4305" s="5">
        <v>20827.029306810669</v>
      </c>
      <c r="P4305" s="5">
        <v>13793.886507202402</v>
      </c>
      <c r="Q4305" s="5">
        <v>28776.080424849053</v>
      </c>
      <c r="R4305" s="5">
        <v>24722.972470599001</v>
      </c>
    </row>
    <row r="4306" spans="9:18">
      <c r="I4306" s="4">
        <v>4291</v>
      </c>
      <c r="J4306" s="5">
        <v>15081.728672246438</v>
      </c>
      <c r="K4306" s="5">
        <v>18086.448513145526</v>
      </c>
      <c r="L4306" s="5">
        <v>18475.258050488967</v>
      </c>
      <c r="M4306" s="5">
        <v>15202.972920708273</v>
      </c>
      <c r="N4306" s="5">
        <v>39406.658185292261</v>
      </c>
      <c r="O4306" s="5">
        <v>79848.944504816522</v>
      </c>
      <c r="P4306" s="5">
        <v>17996.895987204196</v>
      </c>
      <c r="Q4306" s="5">
        <v>15623.622662102793</v>
      </c>
      <c r="R4306" s="5">
        <v>23583.884732956092</v>
      </c>
    </row>
    <row r="4307" spans="9:18">
      <c r="I4307" s="4">
        <v>4292</v>
      </c>
      <c r="J4307" s="5">
        <v>21717.214093683677</v>
      </c>
      <c r="K4307" s="5">
        <v>12026.500118162745</v>
      </c>
      <c r="L4307" s="5">
        <v>19359.475411188432</v>
      </c>
      <c r="M4307" s="5">
        <v>13642.678686731051</v>
      </c>
      <c r="N4307" s="5">
        <v>22010.718648995869</v>
      </c>
      <c r="O4307" s="5">
        <v>27195.510785031525</v>
      </c>
      <c r="P4307" s="5">
        <v>22601.57564624758</v>
      </c>
      <c r="Q4307" s="5">
        <v>92068.726035424203</v>
      </c>
      <c r="R4307" s="5">
        <v>33290.909836056817</v>
      </c>
    </row>
    <row r="4308" spans="9:18">
      <c r="I4308" s="4">
        <v>4293</v>
      </c>
      <c r="J4308" s="5">
        <v>15873.12561080002</v>
      </c>
      <c r="K4308" s="5">
        <v>13719.930466819731</v>
      </c>
      <c r="L4308" s="5">
        <v>17073.17760523731</v>
      </c>
      <c r="M4308" s="5">
        <v>7334.8610818348589</v>
      </c>
      <c r="N4308" s="5">
        <v>15786.177386596903</v>
      </c>
      <c r="O4308" s="5">
        <v>13840.304699955392</v>
      </c>
      <c r="P4308" s="5">
        <v>55152.110177667731</v>
      </c>
      <c r="Q4308" s="5">
        <v>21421.044775857536</v>
      </c>
      <c r="R4308" s="5">
        <v>5865.9802599669383</v>
      </c>
    </row>
    <row r="4309" spans="9:18">
      <c r="I4309" s="4">
        <v>4294</v>
      </c>
      <c r="J4309" s="5">
        <v>13663.281817546009</v>
      </c>
      <c r="K4309" s="5">
        <v>14579.232378315752</v>
      </c>
      <c r="L4309" s="5">
        <v>22319.409576580376</v>
      </c>
      <c r="M4309" s="5">
        <v>15202.972920708273</v>
      </c>
      <c r="N4309" s="5">
        <v>46248.895746171031</v>
      </c>
      <c r="O4309" s="5">
        <v>3171.3006415671193</v>
      </c>
      <c r="P4309" s="5">
        <v>38024.168395914428</v>
      </c>
      <c r="Q4309" s="5">
        <v>17153.530968450712</v>
      </c>
      <c r="R4309" s="5">
        <v>8130.5639219412278</v>
      </c>
    </row>
    <row r="4310" spans="9:18">
      <c r="I4310" s="4">
        <v>4295</v>
      </c>
      <c r="J4310" s="5">
        <v>19048.674633640545</v>
      </c>
      <c r="K4310" s="5">
        <v>10931.803935361211</v>
      </c>
      <c r="L4310" s="5">
        <v>15923.549351835489</v>
      </c>
      <c r="M4310" s="5">
        <v>21913.431401527439</v>
      </c>
      <c r="N4310" s="5">
        <v>4770.4216775830728</v>
      </c>
      <c r="O4310" s="5">
        <v>13550.031670770122</v>
      </c>
      <c r="P4310" s="5">
        <v>33500.490132682797</v>
      </c>
      <c r="Q4310" s="5">
        <v>59134.059519022907</v>
      </c>
      <c r="R4310" s="5">
        <v>41056.152565483346</v>
      </c>
    </row>
    <row r="4311" spans="9:18">
      <c r="I4311" s="4">
        <v>4296</v>
      </c>
      <c r="J4311" s="5">
        <v>22812.564910649318</v>
      </c>
      <c r="K4311" s="5">
        <v>7753.2116148734594</v>
      </c>
      <c r="L4311" s="5">
        <v>29265.217478369766</v>
      </c>
      <c r="M4311" s="5">
        <v>23515.935489506261</v>
      </c>
      <c r="N4311" s="5">
        <v>59876.136849941562</v>
      </c>
      <c r="O4311" s="5">
        <v>19492.655596593511</v>
      </c>
      <c r="P4311" s="5">
        <v>29283.825979394511</v>
      </c>
      <c r="Q4311" s="5">
        <v>31902.904306425251</v>
      </c>
      <c r="R4311" s="5">
        <v>33290.909836056817</v>
      </c>
    </row>
    <row r="4312" spans="9:18">
      <c r="I4312" s="4">
        <v>4297</v>
      </c>
      <c r="J4312" s="5">
        <v>15786.811016780619</v>
      </c>
      <c r="K4312" s="5">
        <v>21527.93129974293</v>
      </c>
      <c r="L4312" s="5">
        <v>27144.958215276103</v>
      </c>
      <c r="M4312" s="5">
        <v>31460.745851561904</v>
      </c>
      <c r="N4312" s="5">
        <v>23746.795665493762</v>
      </c>
      <c r="O4312" s="5">
        <v>10746.295275180995</v>
      </c>
      <c r="P4312" s="5">
        <v>12639.596794453437</v>
      </c>
      <c r="Q4312" s="5">
        <v>20987.925664394581</v>
      </c>
      <c r="R4312" s="5">
        <v>18230.645544621442</v>
      </c>
    </row>
    <row r="4313" spans="9:18">
      <c r="I4313" s="4">
        <v>4298</v>
      </c>
      <c r="J4313" s="5">
        <v>14960.076233580705</v>
      </c>
      <c r="K4313" s="5">
        <v>35705.595198125673</v>
      </c>
      <c r="L4313" s="5">
        <v>14649.721476864312</v>
      </c>
      <c r="M4313" s="5">
        <v>31554.722481137964</v>
      </c>
      <c r="N4313" s="5">
        <v>21909.120225822895</v>
      </c>
      <c r="O4313" s="5">
        <v>27062.73412298776</v>
      </c>
      <c r="P4313" s="5">
        <v>8877.9712092977989</v>
      </c>
      <c r="Q4313" s="5">
        <v>22145.301831504508</v>
      </c>
      <c r="R4313" s="5">
        <v>7118.1729476780347</v>
      </c>
    </row>
    <row r="4314" spans="9:18">
      <c r="I4314" s="4">
        <v>4299</v>
      </c>
      <c r="J4314" s="5">
        <v>7855.2948890116513</v>
      </c>
      <c r="K4314" s="5">
        <v>14136.873097602549</v>
      </c>
      <c r="L4314" s="5">
        <v>15832.5469007027</v>
      </c>
      <c r="M4314" s="5">
        <v>19262.243095117232</v>
      </c>
      <c r="N4314" s="5">
        <v>28426.778914975595</v>
      </c>
      <c r="O4314" s="5">
        <v>36759.655306288936</v>
      </c>
      <c r="P4314" s="5">
        <v>22708.601480587709</v>
      </c>
      <c r="Q4314" s="5">
        <v>52421.574537857021</v>
      </c>
      <c r="R4314" s="5">
        <v>44707.053087992797</v>
      </c>
    </row>
    <row r="4315" spans="9:18">
      <c r="I4315" s="4">
        <v>4300</v>
      </c>
      <c r="J4315" s="5">
        <v>11843.28062342474</v>
      </c>
      <c r="K4315" s="5">
        <v>11507.182177474708</v>
      </c>
      <c r="L4315" s="5">
        <v>15923.549351835489</v>
      </c>
      <c r="M4315" s="5">
        <v>17542.15972125496</v>
      </c>
      <c r="N4315" s="5">
        <v>16148.901635865295</v>
      </c>
      <c r="O4315" s="5">
        <v>40581.847217937895</v>
      </c>
      <c r="P4315" s="5">
        <v>21039.927746191301</v>
      </c>
      <c r="Q4315" s="5">
        <v>9138.5169630896526</v>
      </c>
      <c r="R4315" s="5">
        <v>181970.23111012415</v>
      </c>
    </row>
    <row r="4316" spans="9:18">
      <c r="I4316" s="4">
        <v>4301</v>
      </c>
      <c r="J4316" s="5">
        <v>15623.733864199699</v>
      </c>
      <c r="K4316" s="5">
        <v>16132.555399908759</v>
      </c>
      <c r="L4316" s="5">
        <v>34748.877779456467</v>
      </c>
      <c r="M4316" s="5">
        <v>19795.661011456152</v>
      </c>
      <c r="N4316" s="5">
        <v>23043.345403059295</v>
      </c>
      <c r="O4316" s="5">
        <v>15936.062371781712</v>
      </c>
      <c r="P4316" s="5">
        <v>38771.994792132391</v>
      </c>
      <c r="Q4316" s="5">
        <v>12253.299944531094</v>
      </c>
      <c r="R4316" s="5">
        <v>6681.1887184356683</v>
      </c>
    </row>
    <row r="4317" spans="9:18">
      <c r="I4317" s="4">
        <v>4302</v>
      </c>
      <c r="J4317" s="5">
        <v>14076.209333698853</v>
      </c>
      <c r="K4317" s="5">
        <v>32294.121255311245</v>
      </c>
      <c r="L4317" s="5">
        <v>15300.182042823812</v>
      </c>
      <c r="M4317" s="5">
        <v>31460.745851561904</v>
      </c>
      <c r="N4317" s="5">
        <v>48565.498233359976</v>
      </c>
      <c r="O4317" s="5">
        <v>20721.57544042755</v>
      </c>
      <c r="P4317" s="5">
        <v>14773.185437294762</v>
      </c>
      <c r="Q4317" s="5">
        <v>17234.335939857254</v>
      </c>
      <c r="R4317" s="5">
        <v>96845.299789249824</v>
      </c>
    </row>
    <row r="4318" spans="9:18">
      <c r="I4318" s="4">
        <v>4303</v>
      </c>
      <c r="J4318" s="5">
        <v>16145.071869702888</v>
      </c>
      <c r="K4318" s="5">
        <v>12026.500118162745</v>
      </c>
      <c r="L4318" s="5">
        <v>15471.738323660695</v>
      </c>
      <c r="M4318" s="5">
        <v>21072.983263501868</v>
      </c>
      <c r="N4318" s="5">
        <v>11788.341482962171</v>
      </c>
      <c r="O4318" s="5">
        <v>79848.944504816522</v>
      </c>
      <c r="P4318" s="5">
        <v>39054.462981000084</v>
      </c>
      <c r="Q4318" s="5">
        <v>70295.978314632754</v>
      </c>
      <c r="R4318" s="5">
        <v>7879.038918914337</v>
      </c>
    </row>
    <row r="4319" spans="9:18">
      <c r="I4319" s="4">
        <v>4304</v>
      </c>
      <c r="J4319" s="5">
        <v>14076.209333698853</v>
      </c>
      <c r="K4319" s="5">
        <v>8124.7965732661823</v>
      </c>
      <c r="L4319" s="5">
        <v>17693.864646288712</v>
      </c>
      <c r="M4319" s="5">
        <v>12987.517521908694</v>
      </c>
      <c r="N4319" s="5">
        <v>19125.360074567652</v>
      </c>
      <c r="O4319" s="5">
        <v>40942.522561879181</v>
      </c>
      <c r="P4319" s="5">
        <v>106091.28270624072</v>
      </c>
      <c r="Q4319" s="5">
        <v>21421.044775857536</v>
      </c>
      <c r="R4319" s="5">
        <v>6681.1887184356683</v>
      </c>
    </row>
    <row r="4320" spans="9:18">
      <c r="I4320" s="4">
        <v>4305</v>
      </c>
      <c r="J4320" s="5">
        <v>20002.201347927807</v>
      </c>
      <c r="K4320" s="5">
        <v>37822.375317881044</v>
      </c>
      <c r="L4320" s="5">
        <v>18602.881797624486</v>
      </c>
      <c r="M4320" s="5">
        <v>19262.243095117232</v>
      </c>
      <c r="N4320" s="5">
        <v>13909.728487455486</v>
      </c>
      <c r="O4320" s="5">
        <v>10369.402667058452</v>
      </c>
      <c r="P4320" s="5">
        <v>10532.667493814919</v>
      </c>
      <c r="Q4320" s="5">
        <v>3272.4685014937832</v>
      </c>
      <c r="R4320" s="5">
        <v>86510.608303273053</v>
      </c>
    </row>
    <row r="4321" spans="9:18">
      <c r="I4321" s="4">
        <v>4306</v>
      </c>
      <c r="J4321" s="5">
        <v>73074.062486361407</v>
      </c>
      <c r="K4321" s="5">
        <v>15129.619337591721</v>
      </c>
      <c r="L4321" s="5">
        <v>14264.23790876064</v>
      </c>
      <c r="M4321" s="5">
        <v>7334.8610818348589</v>
      </c>
      <c r="N4321" s="5">
        <v>41563.89847100406</v>
      </c>
      <c r="O4321" s="5">
        <v>20489.622805425737</v>
      </c>
      <c r="P4321" s="5">
        <v>36724.352187786957</v>
      </c>
      <c r="Q4321" s="5">
        <v>13865.641566869812</v>
      </c>
      <c r="R4321" s="5">
        <v>7118.1729476780347</v>
      </c>
    </row>
    <row r="4322" spans="9:18">
      <c r="I4322" s="4">
        <v>4307</v>
      </c>
      <c r="J4322" s="5">
        <v>16145.071869702888</v>
      </c>
      <c r="K4322" s="5">
        <v>16952.949313901812</v>
      </c>
      <c r="L4322" s="5">
        <v>17243.440968229323</v>
      </c>
      <c r="M4322" s="5">
        <v>31472.019071027709</v>
      </c>
      <c r="N4322" s="5">
        <v>19225.139878706803</v>
      </c>
      <c r="O4322" s="5">
        <v>16524.769946939996</v>
      </c>
      <c r="P4322" s="5">
        <v>23769.190223735484</v>
      </c>
      <c r="Q4322" s="5">
        <v>13099.063525342741</v>
      </c>
      <c r="R4322" s="5">
        <v>24722.972470599001</v>
      </c>
    </row>
    <row r="4323" spans="9:18">
      <c r="I4323" s="4">
        <v>4308</v>
      </c>
      <c r="J4323" s="5">
        <v>11116.191595722205</v>
      </c>
      <c r="K4323" s="5">
        <v>12026.500118162745</v>
      </c>
      <c r="L4323" s="5">
        <v>13023.361770761438</v>
      </c>
      <c r="M4323" s="5">
        <v>16510.442870615672</v>
      </c>
      <c r="N4323" s="5">
        <v>18367.429489032103</v>
      </c>
      <c r="O4323" s="5">
        <v>55264.438774006347</v>
      </c>
      <c r="P4323" s="5">
        <v>21813.848941464526</v>
      </c>
      <c r="Q4323" s="5">
        <v>17493.456269945855</v>
      </c>
      <c r="R4323" s="5">
        <v>5865.9802599669383</v>
      </c>
    </row>
    <row r="4324" spans="9:18">
      <c r="I4324" s="4">
        <v>4309</v>
      </c>
      <c r="J4324" s="5">
        <v>11854.381651026555</v>
      </c>
      <c r="K4324" s="5">
        <v>11507.182177474708</v>
      </c>
      <c r="L4324" s="5">
        <v>14264.23790876064</v>
      </c>
      <c r="M4324" s="5">
        <v>13616.35938654862</v>
      </c>
      <c r="N4324" s="5">
        <v>26565.664379767408</v>
      </c>
      <c r="O4324" s="5">
        <v>53007.660727727191</v>
      </c>
      <c r="P4324" s="5">
        <v>27708.613526855763</v>
      </c>
      <c r="Q4324" s="5">
        <v>52421.574537857021</v>
      </c>
      <c r="R4324" s="5">
        <v>24722.972470599001</v>
      </c>
    </row>
    <row r="4325" spans="9:18">
      <c r="I4325" s="4">
        <v>4310</v>
      </c>
      <c r="J4325" s="5">
        <v>28169.050633834027</v>
      </c>
      <c r="K4325" s="5">
        <v>16132.555399908759</v>
      </c>
      <c r="L4325" s="5">
        <v>14042.41908879921</v>
      </c>
      <c r="M4325" s="5">
        <v>17370.588707072598</v>
      </c>
      <c r="N4325" s="5">
        <v>57711.498171893618</v>
      </c>
      <c r="O4325" s="5">
        <v>40581.847217937895</v>
      </c>
      <c r="P4325" s="5">
        <v>20403.656304140692</v>
      </c>
      <c r="Q4325" s="5">
        <v>48866.209623168346</v>
      </c>
      <c r="R4325" s="5">
        <v>7784.2246210242874</v>
      </c>
    </row>
    <row r="4326" spans="9:18">
      <c r="I4326" s="4">
        <v>4311</v>
      </c>
      <c r="J4326" s="5">
        <v>16511.332839561353</v>
      </c>
      <c r="K4326" s="5">
        <v>56656.842992470461</v>
      </c>
      <c r="L4326" s="5">
        <v>16017.890956041876</v>
      </c>
      <c r="M4326" s="5">
        <v>11680.747299075838</v>
      </c>
      <c r="N4326" s="5">
        <v>28426.778914975595</v>
      </c>
      <c r="O4326" s="5">
        <v>25604.597681740845</v>
      </c>
      <c r="P4326" s="5">
        <v>9047.5556949992188</v>
      </c>
      <c r="Q4326" s="5">
        <v>37073.980790337926</v>
      </c>
      <c r="R4326" s="5">
        <v>59414.886464347241</v>
      </c>
    </row>
    <row r="4327" spans="9:18">
      <c r="I4327" s="4">
        <v>4312</v>
      </c>
      <c r="J4327" s="5">
        <v>16016.491239086423</v>
      </c>
      <c r="K4327" s="5">
        <v>15428.770955406064</v>
      </c>
      <c r="L4327" s="5">
        <v>15359.132481533357</v>
      </c>
      <c r="M4327" s="5">
        <v>29058.117767351498</v>
      </c>
      <c r="N4327" s="5">
        <v>22010.718648995869</v>
      </c>
      <c r="O4327" s="5">
        <v>27508.313315384185</v>
      </c>
      <c r="P4327" s="5">
        <v>40377.463755170742</v>
      </c>
      <c r="Q4327" s="5">
        <v>14064.158297039334</v>
      </c>
      <c r="R4327" s="5">
        <v>35232.418639121184</v>
      </c>
    </row>
    <row r="4328" spans="9:18">
      <c r="I4328" s="4">
        <v>4313</v>
      </c>
      <c r="J4328" s="5">
        <v>16710.807721801892</v>
      </c>
      <c r="K4328" s="5">
        <v>21218.439146892688</v>
      </c>
      <c r="L4328" s="5">
        <v>15759.954187048656</v>
      </c>
      <c r="M4328" s="5">
        <v>21072.983263501868</v>
      </c>
      <c r="N4328" s="5">
        <v>13745.376566850549</v>
      </c>
      <c r="O4328" s="5">
        <v>62082.6862081785</v>
      </c>
      <c r="P4328" s="5">
        <v>41657.50350099193</v>
      </c>
      <c r="Q4328" s="5">
        <v>30495.121067047665</v>
      </c>
      <c r="R4328" s="5">
        <v>3433.6677391851467</v>
      </c>
    </row>
    <row r="4329" spans="9:18">
      <c r="I4329" s="4">
        <v>4314</v>
      </c>
      <c r="J4329" s="5">
        <v>16511.332839561353</v>
      </c>
      <c r="K4329" s="5">
        <v>11206.053243692098</v>
      </c>
      <c r="L4329" s="5">
        <v>15651.346103181355</v>
      </c>
      <c r="M4329" s="5">
        <v>10451.914120098167</v>
      </c>
      <c r="N4329" s="5">
        <v>25549.748582175915</v>
      </c>
      <c r="O4329" s="5">
        <v>27508.313315384185</v>
      </c>
      <c r="P4329" s="5">
        <v>36724.352187786957</v>
      </c>
      <c r="Q4329" s="5">
        <v>29432.473148002948</v>
      </c>
      <c r="R4329" s="5">
        <v>12116.34255245842</v>
      </c>
    </row>
    <row r="4330" spans="9:18">
      <c r="I4330" s="4">
        <v>4315</v>
      </c>
      <c r="J4330" s="5">
        <v>14671.176405938595</v>
      </c>
      <c r="K4330" s="5">
        <v>12423.491400404893</v>
      </c>
      <c r="L4330" s="5">
        <v>13622.976145621742</v>
      </c>
      <c r="M4330" s="5">
        <v>22961.931350882205</v>
      </c>
      <c r="N4330" s="5">
        <v>11952.903761138405</v>
      </c>
      <c r="O4330" s="5">
        <v>21930.527973988665</v>
      </c>
      <c r="P4330" s="5">
        <v>63015.124693769802</v>
      </c>
      <c r="Q4330" s="5">
        <v>19315.033835554255</v>
      </c>
      <c r="R4330" s="5">
        <v>59414.886464347241</v>
      </c>
    </row>
    <row r="4331" spans="9:18">
      <c r="I4331" s="4">
        <v>4316</v>
      </c>
      <c r="J4331" s="5">
        <v>13663.281817546009</v>
      </c>
      <c r="K4331" s="5">
        <v>15129.619337591721</v>
      </c>
      <c r="L4331" s="5">
        <v>16017.890956041876</v>
      </c>
      <c r="M4331" s="5">
        <v>14217.48832834715</v>
      </c>
      <c r="N4331" s="5">
        <v>15251.140047572881</v>
      </c>
      <c r="O4331" s="5">
        <v>16462.170789592048</v>
      </c>
      <c r="P4331" s="5">
        <v>16650.229067545235</v>
      </c>
      <c r="Q4331" s="5">
        <v>18097.768262249352</v>
      </c>
      <c r="R4331" s="5">
        <v>31715.273557891396</v>
      </c>
    </row>
    <row r="4332" spans="9:18">
      <c r="I4332" s="4">
        <v>4317</v>
      </c>
      <c r="J4332" s="5">
        <v>33627.941293959229</v>
      </c>
      <c r="K4332" s="5">
        <v>18218.584572172625</v>
      </c>
      <c r="L4332" s="5">
        <v>18634.523182776735</v>
      </c>
      <c r="M4332" s="5">
        <v>33862.836621974391</v>
      </c>
      <c r="N4332" s="5">
        <v>20583.564383988036</v>
      </c>
      <c r="O4332" s="5">
        <v>20991.103410982985</v>
      </c>
      <c r="P4332" s="5">
        <v>27373.102585108634</v>
      </c>
      <c r="Q4332" s="5">
        <v>7349.2234634219121</v>
      </c>
      <c r="R4332" s="5">
        <v>9913.4206865238284</v>
      </c>
    </row>
    <row r="4333" spans="9:18">
      <c r="I4333" s="4">
        <v>4318</v>
      </c>
      <c r="J4333" s="5">
        <v>15648.665245032147</v>
      </c>
      <c r="K4333" s="5">
        <v>6949.5708823216592</v>
      </c>
      <c r="L4333" s="5">
        <v>16017.890956041876</v>
      </c>
      <c r="M4333" s="5">
        <v>16881.579299055</v>
      </c>
      <c r="N4333" s="5">
        <v>45581.602064432409</v>
      </c>
      <c r="O4333" s="5">
        <v>20489.622805425737</v>
      </c>
      <c r="P4333" s="5">
        <v>24349.301972630979</v>
      </c>
      <c r="Q4333" s="5">
        <v>31618.396253255491</v>
      </c>
      <c r="R4333" s="5">
        <v>50287.76786557267</v>
      </c>
    </row>
    <row r="4334" spans="9:18">
      <c r="I4334" s="4">
        <v>4319</v>
      </c>
      <c r="J4334" s="5">
        <v>15873.12561080002</v>
      </c>
      <c r="K4334" s="5">
        <v>95171.967522309933</v>
      </c>
      <c r="L4334" s="5">
        <v>16777.996633299583</v>
      </c>
      <c r="M4334" s="5">
        <v>22815.60259636537</v>
      </c>
      <c r="N4334" s="5">
        <v>11635.644856128632</v>
      </c>
      <c r="O4334" s="5">
        <v>9869.5889207969612</v>
      </c>
      <c r="P4334" s="5">
        <v>44816.412248582856</v>
      </c>
      <c r="Q4334" s="5">
        <v>29432.473148002948</v>
      </c>
      <c r="R4334" s="5">
        <v>38898.713625068609</v>
      </c>
    </row>
    <row r="4335" spans="9:18">
      <c r="I4335" s="4">
        <v>4320</v>
      </c>
      <c r="J4335" s="5">
        <v>7855.2948890116513</v>
      </c>
      <c r="K4335" s="5">
        <v>29672.680843304515</v>
      </c>
      <c r="L4335" s="5">
        <v>21954.536591034263</v>
      </c>
      <c r="M4335" s="5">
        <v>12426.949970383979</v>
      </c>
      <c r="N4335" s="5">
        <v>27833.630848857778</v>
      </c>
      <c r="O4335" s="5">
        <v>27195.510785031525</v>
      </c>
      <c r="P4335" s="5">
        <v>55152.110177667731</v>
      </c>
      <c r="Q4335" s="5">
        <v>3272.4685014937832</v>
      </c>
      <c r="R4335" s="5">
        <v>7118.1729476780347</v>
      </c>
    </row>
    <row r="4336" spans="9:18">
      <c r="I4336" s="4">
        <v>4321</v>
      </c>
      <c r="J4336" s="5">
        <v>49463.324094345015</v>
      </c>
      <c r="K4336" s="5">
        <v>17903.387243834499</v>
      </c>
      <c r="L4336" s="5">
        <v>21954.536591034263</v>
      </c>
      <c r="M4336" s="5">
        <v>13011.820191946215</v>
      </c>
      <c r="N4336" s="5">
        <v>23283.854578052265</v>
      </c>
      <c r="O4336" s="5">
        <v>10369.402667058452</v>
      </c>
      <c r="P4336" s="5">
        <v>10966.822219855034</v>
      </c>
      <c r="Q4336" s="5">
        <v>31855.809428519857</v>
      </c>
      <c r="R4336" s="5">
        <v>26783.439354489365</v>
      </c>
    </row>
    <row r="4337" spans="9:18">
      <c r="I4337" s="4">
        <v>4322</v>
      </c>
      <c r="J4337" s="5">
        <v>20002.201347927807</v>
      </c>
      <c r="K4337" s="5">
        <v>16199.334613834633</v>
      </c>
      <c r="L4337" s="5">
        <v>17578.712723867691</v>
      </c>
      <c r="M4337" s="5">
        <v>11529.920007560097</v>
      </c>
      <c r="N4337" s="5">
        <v>14240.123545764454</v>
      </c>
      <c r="O4337" s="5">
        <v>27503.656957929088</v>
      </c>
      <c r="P4337" s="5">
        <v>13452.921824087563</v>
      </c>
      <c r="Q4337" s="5">
        <v>9454.5906023793759</v>
      </c>
      <c r="R4337" s="5">
        <v>81423.874800517297</v>
      </c>
    </row>
    <row r="4338" spans="9:18">
      <c r="I4338" s="4">
        <v>4323</v>
      </c>
      <c r="J4338" s="5">
        <v>28085.9245102444</v>
      </c>
      <c r="K4338" s="5">
        <v>17495.743706488822</v>
      </c>
      <c r="L4338" s="5">
        <v>15060.431658965737</v>
      </c>
      <c r="M4338" s="5">
        <v>18691.941789825862</v>
      </c>
      <c r="N4338" s="5">
        <v>12297.015342318469</v>
      </c>
      <c r="O4338" s="5">
        <v>42492.261063288854</v>
      </c>
      <c r="P4338" s="5">
        <v>13793.886507202402</v>
      </c>
      <c r="Q4338" s="5">
        <v>28776.080424849053</v>
      </c>
      <c r="R4338" s="5">
        <v>72640.340924600489</v>
      </c>
    </row>
    <row r="4339" spans="9:18">
      <c r="I4339" s="4">
        <v>4324</v>
      </c>
      <c r="J4339" s="5">
        <v>15554.996700302558</v>
      </c>
      <c r="K4339" s="5">
        <v>16952.949313901812</v>
      </c>
      <c r="L4339" s="5">
        <v>15487.970507365942</v>
      </c>
      <c r="M4339" s="5">
        <v>10451.914120098167</v>
      </c>
      <c r="N4339" s="5">
        <v>8555.1229659096207</v>
      </c>
      <c r="O4339" s="5">
        <v>10369.402667058452</v>
      </c>
      <c r="P4339" s="5">
        <v>48123.003747643132</v>
      </c>
      <c r="Q4339" s="5">
        <v>27018.509959127641</v>
      </c>
      <c r="R4339" s="5">
        <v>51358.6267760993</v>
      </c>
    </row>
    <row r="4340" spans="9:18">
      <c r="I4340" s="4">
        <v>4325</v>
      </c>
      <c r="J4340" s="5">
        <v>16145.071869702888</v>
      </c>
      <c r="K4340" s="5">
        <v>12423.491400404893</v>
      </c>
      <c r="L4340" s="5">
        <v>22319.409576580376</v>
      </c>
      <c r="M4340" s="5">
        <v>10142.860128720422</v>
      </c>
      <c r="N4340" s="5">
        <v>13909.728487455486</v>
      </c>
      <c r="O4340" s="5">
        <v>31172.963108652857</v>
      </c>
      <c r="P4340" s="5">
        <v>77603.711720266961</v>
      </c>
      <c r="Q4340" s="5">
        <v>22895.455950885695</v>
      </c>
      <c r="R4340" s="5">
        <v>13258.538726001538</v>
      </c>
    </row>
    <row r="4341" spans="9:18">
      <c r="I4341" s="4">
        <v>4326</v>
      </c>
      <c r="J4341" s="5">
        <v>15130.594750069789</v>
      </c>
      <c r="K4341" s="5">
        <v>16873.752266014431</v>
      </c>
      <c r="L4341" s="5">
        <v>18379.634651549037</v>
      </c>
      <c r="M4341" s="5">
        <v>18177.175180585615</v>
      </c>
      <c r="N4341" s="5">
        <v>23998.040874392525</v>
      </c>
      <c r="O4341" s="5">
        <v>59207.798737851255</v>
      </c>
      <c r="P4341" s="5">
        <v>38771.994792132391</v>
      </c>
      <c r="Q4341" s="5">
        <v>3909.239690544402</v>
      </c>
      <c r="R4341" s="5">
        <v>76851.431017396084</v>
      </c>
    </row>
    <row r="4342" spans="9:18">
      <c r="I4342" s="4">
        <v>4327</v>
      </c>
      <c r="J4342" s="5">
        <v>31053.540961463306</v>
      </c>
      <c r="K4342" s="5">
        <v>15428.770955406064</v>
      </c>
      <c r="L4342" s="5">
        <v>17920.486090689363</v>
      </c>
      <c r="M4342" s="5">
        <v>36301.422888051464</v>
      </c>
      <c r="N4342" s="5">
        <v>21617.945168312468</v>
      </c>
      <c r="O4342" s="5">
        <v>55264.438774006347</v>
      </c>
      <c r="P4342" s="5">
        <v>38024.168395914428</v>
      </c>
      <c r="Q4342" s="5">
        <v>79566.621912742485</v>
      </c>
      <c r="R4342" s="5">
        <v>14051.647494499957</v>
      </c>
    </row>
    <row r="4343" spans="9:18">
      <c r="I4343" s="4">
        <v>4328</v>
      </c>
      <c r="J4343" s="5">
        <v>26634.853073396614</v>
      </c>
      <c r="K4343" s="5">
        <v>16081.362509465702</v>
      </c>
      <c r="L4343" s="5">
        <v>15759.954187048656</v>
      </c>
      <c r="M4343" s="5">
        <v>21833.004790208965</v>
      </c>
      <c r="N4343" s="5">
        <v>28426.778914975595</v>
      </c>
      <c r="O4343" s="5">
        <v>40942.522561879181</v>
      </c>
      <c r="P4343" s="5">
        <v>9965.8330787532959</v>
      </c>
      <c r="Q4343" s="5">
        <v>43417.41805414496</v>
      </c>
      <c r="R4343" s="5">
        <v>10885.018205103002</v>
      </c>
    </row>
    <row r="4344" spans="9:18">
      <c r="I4344" s="4">
        <v>4329</v>
      </c>
      <c r="J4344" s="5">
        <v>18650.249281571734</v>
      </c>
      <c r="K4344" s="5">
        <v>23327.217259521742</v>
      </c>
      <c r="L4344" s="5">
        <v>19078.910217042379</v>
      </c>
      <c r="M4344" s="5">
        <v>10111.451009425113</v>
      </c>
      <c r="N4344" s="5">
        <v>18367.429489032103</v>
      </c>
      <c r="O4344" s="5">
        <v>36759.655306288936</v>
      </c>
      <c r="P4344" s="5">
        <v>18862.487147419793</v>
      </c>
      <c r="Q4344" s="5">
        <v>3272.4685014937832</v>
      </c>
      <c r="R4344" s="5">
        <v>9913.4206865238284</v>
      </c>
    </row>
    <row r="4345" spans="9:18">
      <c r="I4345" s="4">
        <v>4330</v>
      </c>
      <c r="J4345" s="5">
        <v>16511.332839561353</v>
      </c>
      <c r="K4345" s="5">
        <v>15391.837334808681</v>
      </c>
      <c r="L4345" s="5">
        <v>13358.459356674217</v>
      </c>
      <c r="M4345" s="5">
        <v>21332.072353846772</v>
      </c>
      <c r="N4345" s="5">
        <v>20583.564383988036</v>
      </c>
      <c r="O4345" s="5">
        <v>35865.625349531729</v>
      </c>
      <c r="P4345" s="5">
        <v>39054.462981000084</v>
      </c>
      <c r="Q4345" s="5">
        <v>70295.978314632754</v>
      </c>
      <c r="R4345" s="5">
        <v>7879.038918914337</v>
      </c>
    </row>
    <row r="4346" spans="9:18">
      <c r="I4346" s="4">
        <v>4331</v>
      </c>
      <c r="J4346" s="5">
        <v>12035.382213755307</v>
      </c>
      <c r="K4346" s="5">
        <v>14017.262946034314</v>
      </c>
      <c r="L4346" s="5">
        <v>18475.258050488967</v>
      </c>
      <c r="M4346" s="5">
        <v>23449.501569180404</v>
      </c>
      <c r="N4346" s="5">
        <v>21931.347680292267</v>
      </c>
      <c r="O4346" s="5">
        <v>16524.769946939996</v>
      </c>
      <c r="P4346" s="5">
        <v>77603.711720266961</v>
      </c>
      <c r="Q4346" s="5">
        <v>11928.872068442162</v>
      </c>
      <c r="R4346" s="5">
        <v>181970.23111012415</v>
      </c>
    </row>
    <row r="4347" spans="9:18">
      <c r="I4347" s="4">
        <v>4332</v>
      </c>
      <c r="J4347" s="5">
        <v>20768.286261788198</v>
      </c>
      <c r="K4347" s="5">
        <v>12026.500118162745</v>
      </c>
      <c r="L4347" s="5">
        <v>16014.071850041886</v>
      </c>
      <c r="M4347" s="5">
        <v>20550.782384061673</v>
      </c>
      <c r="N4347" s="5">
        <v>8104.6265149430556</v>
      </c>
      <c r="O4347" s="5">
        <v>8801.3667015774663</v>
      </c>
      <c r="P4347" s="5">
        <v>45161.732159568586</v>
      </c>
      <c r="Q4347" s="5">
        <v>12451.066014448154</v>
      </c>
      <c r="R4347" s="5">
        <v>34970.397641695177</v>
      </c>
    </row>
    <row r="4348" spans="9:18">
      <c r="I4348" s="4">
        <v>4333</v>
      </c>
      <c r="J4348" s="5">
        <v>16416.142496463777</v>
      </c>
      <c r="K4348" s="5">
        <v>14674.169276244838</v>
      </c>
      <c r="L4348" s="5">
        <v>15746.942257105531</v>
      </c>
      <c r="M4348" s="5">
        <v>13616.35938654862</v>
      </c>
      <c r="N4348" s="5">
        <v>24853.247795632611</v>
      </c>
      <c r="O4348" s="5">
        <v>8121.6248378263163</v>
      </c>
      <c r="P4348" s="5">
        <v>6275.8915673055426</v>
      </c>
      <c r="Q4348" s="5">
        <v>20987.925664394581</v>
      </c>
      <c r="R4348" s="5">
        <v>216919.53009911609</v>
      </c>
    </row>
    <row r="4349" spans="9:18">
      <c r="I4349" s="4">
        <v>4334</v>
      </c>
      <c r="J4349" s="5">
        <v>73074.062486361407</v>
      </c>
      <c r="K4349" s="5">
        <v>23934.551191616061</v>
      </c>
      <c r="L4349" s="5">
        <v>14264.23790876064</v>
      </c>
      <c r="M4349" s="5">
        <v>21272.00214469912</v>
      </c>
      <c r="N4349" s="5">
        <v>23583.581287126868</v>
      </c>
      <c r="O4349" s="5">
        <v>27508.313315384185</v>
      </c>
      <c r="P4349" s="5">
        <v>16072.735485912413</v>
      </c>
      <c r="Q4349" s="5">
        <v>8502.450657922871</v>
      </c>
      <c r="R4349" s="5">
        <v>12116.34255245842</v>
      </c>
    </row>
    <row r="4350" spans="9:18">
      <c r="I4350" s="4">
        <v>4335</v>
      </c>
      <c r="J4350" s="5">
        <v>31559.699247539775</v>
      </c>
      <c r="K4350" s="5">
        <v>56656.842992470461</v>
      </c>
      <c r="L4350" s="5">
        <v>17845.207337527903</v>
      </c>
      <c r="M4350" s="5">
        <v>31460.745851561904</v>
      </c>
      <c r="N4350" s="5">
        <v>19125.360074567652</v>
      </c>
      <c r="O4350" s="5">
        <v>40942.522561879181</v>
      </c>
      <c r="P4350" s="5">
        <v>27820.721938889761</v>
      </c>
      <c r="Q4350" s="5">
        <v>22145.301831504508</v>
      </c>
      <c r="R4350" s="5">
        <v>114016.93673542379</v>
      </c>
    </row>
    <row r="4351" spans="9:18">
      <c r="I4351" s="4">
        <v>4336</v>
      </c>
      <c r="J4351" s="5">
        <v>14017.326487344162</v>
      </c>
      <c r="K4351" s="5">
        <v>26110.948843472826</v>
      </c>
      <c r="L4351" s="5">
        <v>16955.349467865559</v>
      </c>
      <c r="M4351" s="5">
        <v>29058.117767351498</v>
      </c>
      <c r="N4351" s="5">
        <v>40377.252444397986</v>
      </c>
      <c r="O4351" s="5">
        <v>20827.029306810669</v>
      </c>
      <c r="P4351" s="5">
        <v>3831.1492650071077</v>
      </c>
      <c r="Q4351" s="5">
        <v>28776.080424849053</v>
      </c>
      <c r="R4351" s="5">
        <v>2180.6148629084787</v>
      </c>
    </row>
    <row r="4352" spans="9:18">
      <c r="I4352" s="4">
        <v>4337</v>
      </c>
      <c r="J4352" s="5">
        <v>16511.332839561353</v>
      </c>
      <c r="K4352" s="5">
        <v>13331.01856102917</v>
      </c>
      <c r="L4352" s="5">
        <v>17693.864646288712</v>
      </c>
      <c r="M4352" s="5">
        <v>19262.243095117232</v>
      </c>
      <c r="N4352" s="5">
        <v>23283.854578052265</v>
      </c>
      <c r="O4352" s="5">
        <v>10676.618215263648</v>
      </c>
      <c r="P4352" s="5">
        <v>10733.318076105543</v>
      </c>
      <c r="Q4352" s="5">
        <v>22483.395143121877</v>
      </c>
      <c r="R4352" s="5">
        <v>39263.770877572199</v>
      </c>
    </row>
    <row r="4353" spans="9:18">
      <c r="I4353" s="4">
        <v>4338</v>
      </c>
      <c r="J4353" s="5">
        <v>73074.062486361407</v>
      </c>
      <c r="K4353" s="5">
        <v>11403.533194020869</v>
      </c>
      <c r="L4353" s="5">
        <v>16616.161224349555</v>
      </c>
      <c r="M4353" s="5">
        <v>23454.775510296178</v>
      </c>
      <c r="N4353" s="5">
        <v>23746.795665493762</v>
      </c>
      <c r="O4353" s="5">
        <v>13840.304699955392</v>
      </c>
      <c r="P4353" s="5">
        <v>44816.412248582856</v>
      </c>
      <c r="Q4353" s="5">
        <v>9652.8114206999071</v>
      </c>
      <c r="R4353" s="5">
        <v>12194.45251033065</v>
      </c>
    </row>
    <row r="4354" spans="9:18">
      <c r="I4354" s="4">
        <v>4339</v>
      </c>
      <c r="J4354" s="5">
        <v>16733.020222212988</v>
      </c>
      <c r="K4354" s="5">
        <v>15768.312122029349</v>
      </c>
      <c r="L4354" s="5">
        <v>17128.574519497746</v>
      </c>
      <c r="M4354" s="5">
        <v>23913.435663027711</v>
      </c>
      <c r="N4354" s="5">
        <v>10882.757905166785</v>
      </c>
      <c r="O4354" s="5">
        <v>32474.063027682765</v>
      </c>
      <c r="P4354" s="5">
        <v>21039.927746191301</v>
      </c>
      <c r="Q4354" s="5">
        <v>100789.83462564547</v>
      </c>
      <c r="R4354" s="5">
        <v>50287.76786557267</v>
      </c>
    </row>
    <row r="4355" spans="9:18">
      <c r="I4355" s="4">
        <v>4340</v>
      </c>
      <c r="J4355" s="5">
        <v>15873.12561080002</v>
      </c>
      <c r="K4355" s="5">
        <v>6949.5708823216592</v>
      </c>
      <c r="L4355" s="5">
        <v>17683.765335572589</v>
      </c>
      <c r="M4355" s="5">
        <v>16842.379179328669</v>
      </c>
      <c r="N4355" s="5">
        <v>23043.345403059295</v>
      </c>
      <c r="O4355" s="5">
        <v>5444.7598502623823</v>
      </c>
      <c r="P4355" s="5">
        <v>17643.087208586294</v>
      </c>
      <c r="Q4355" s="5">
        <v>48756.323642664109</v>
      </c>
      <c r="R4355" s="5">
        <v>54594.567438884274</v>
      </c>
    </row>
    <row r="4356" spans="9:18">
      <c r="I4356" s="4">
        <v>4341</v>
      </c>
      <c r="J4356" s="5">
        <v>12035.382213755307</v>
      </c>
      <c r="K4356" s="5">
        <v>14587.813833513306</v>
      </c>
      <c r="L4356" s="5">
        <v>15487.970507365942</v>
      </c>
      <c r="M4356" s="5">
        <v>16881.579299055</v>
      </c>
      <c r="N4356" s="5">
        <v>23746.795665493762</v>
      </c>
      <c r="O4356" s="5">
        <v>9708.4497800977806</v>
      </c>
      <c r="P4356" s="5">
        <v>9482.0186426688688</v>
      </c>
      <c r="Q4356" s="5">
        <v>9652.8114206999071</v>
      </c>
      <c r="R4356" s="5">
        <v>9913.4206865238284</v>
      </c>
    </row>
    <row r="4357" spans="9:18">
      <c r="I4357" s="4">
        <v>4342</v>
      </c>
      <c r="J4357" s="5">
        <v>12701.339251949787</v>
      </c>
      <c r="K4357" s="5">
        <v>26110.948843472826</v>
      </c>
      <c r="L4357" s="5">
        <v>10896.494237357269</v>
      </c>
      <c r="M4357" s="5">
        <v>18879.640760542785</v>
      </c>
      <c r="N4357" s="5">
        <v>23998.040874392525</v>
      </c>
      <c r="O4357" s="5">
        <v>13840.304699955392</v>
      </c>
      <c r="P4357" s="5">
        <v>34768.042801665702</v>
      </c>
      <c r="Q4357" s="5">
        <v>52545.991451361173</v>
      </c>
      <c r="R4357" s="5">
        <v>96845.299789249824</v>
      </c>
    </row>
    <row r="4358" spans="9:18">
      <c r="I4358" s="4">
        <v>4343</v>
      </c>
      <c r="J4358" s="5">
        <v>19121.054099180623</v>
      </c>
      <c r="K4358" s="5">
        <v>34058.671324159091</v>
      </c>
      <c r="L4358" s="5">
        <v>15300.182042823812</v>
      </c>
      <c r="M4358" s="5">
        <v>21332.072353846772</v>
      </c>
      <c r="N4358" s="5">
        <v>17811.114014514766</v>
      </c>
      <c r="O4358" s="5">
        <v>8801.3667015774663</v>
      </c>
      <c r="P4358" s="5">
        <v>5836.7810663002319</v>
      </c>
      <c r="Q4358" s="5">
        <v>8474.2603471579441</v>
      </c>
      <c r="R4358" s="5">
        <v>87776.138236389699</v>
      </c>
    </row>
    <row r="4359" spans="9:18">
      <c r="I4359" s="4">
        <v>4344</v>
      </c>
      <c r="J4359" s="5">
        <v>15081.728672246438</v>
      </c>
      <c r="K4359" s="5">
        <v>32073.547537933715</v>
      </c>
      <c r="L4359" s="5">
        <v>17482.478480142941</v>
      </c>
      <c r="M4359" s="5">
        <v>20185.026038758231</v>
      </c>
      <c r="N4359" s="5">
        <v>6130.3882288404347</v>
      </c>
      <c r="O4359" s="5">
        <v>62082.6862081785</v>
      </c>
      <c r="P4359" s="5">
        <v>3831.1492650071077</v>
      </c>
      <c r="Q4359" s="5">
        <v>9796.0979856104404</v>
      </c>
      <c r="R4359" s="5">
        <v>7118.1729476780347</v>
      </c>
    </row>
    <row r="4360" spans="9:18">
      <c r="I4360" s="4">
        <v>4345</v>
      </c>
      <c r="J4360" s="5">
        <v>14017.326487344162</v>
      </c>
      <c r="K4360" s="5">
        <v>16665.1498926479</v>
      </c>
      <c r="L4360" s="5">
        <v>17693.864646288712</v>
      </c>
      <c r="M4360" s="5">
        <v>20229.919588372999</v>
      </c>
      <c r="N4360" s="5">
        <v>26115.05281128412</v>
      </c>
      <c r="O4360" s="5">
        <v>10676.618215263648</v>
      </c>
      <c r="P4360" s="5">
        <v>36724.352187786957</v>
      </c>
      <c r="Q4360" s="5">
        <v>4924.9171270300558</v>
      </c>
      <c r="R4360" s="5">
        <v>26783.439354489365</v>
      </c>
    </row>
    <row r="4361" spans="9:18">
      <c r="I4361" s="4">
        <v>4346</v>
      </c>
      <c r="J4361" s="5">
        <v>15130.594750069789</v>
      </c>
      <c r="K4361" s="5">
        <v>16952.949313901812</v>
      </c>
      <c r="L4361" s="5">
        <v>14796.875457021113</v>
      </c>
      <c r="M4361" s="5">
        <v>17370.588707072598</v>
      </c>
      <c r="N4361" s="5">
        <v>23283.854578052265</v>
      </c>
      <c r="O4361" s="5">
        <v>26268.613803794757</v>
      </c>
      <c r="P4361" s="5">
        <v>32155.527541400057</v>
      </c>
      <c r="Q4361" s="5">
        <v>53055.59182561023</v>
      </c>
      <c r="R4361" s="5">
        <v>216919.53009911609</v>
      </c>
    </row>
    <row r="4362" spans="9:18">
      <c r="I4362" s="4">
        <v>4347</v>
      </c>
      <c r="J4362" s="5">
        <v>29760.443016608337</v>
      </c>
      <c r="K4362" s="5">
        <v>13520.836427679104</v>
      </c>
      <c r="L4362" s="5">
        <v>16577.562442697115</v>
      </c>
      <c r="M4362" s="5">
        <v>19097.39635881727</v>
      </c>
      <c r="N4362" s="5">
        <v>39406.658185292261</v>
      </c>
      <c r="O4362" s="5">
        <v>41653.890350944224</v>
      </c>
      <c r="P4362" s="5">
        <v>33715.790977629549</v>
      </c>
      <c r="Q4362" s="5">
        <v>28776.080424849053</v>
      </c>
      <c r="R4362" s="5">
        <v>20303.08745527079</v>
      </c>
    </row>
    <row r="4363" spans="9:18">
      <c r="I4363" s="4">
        <v>4348</v>
      </c>
      <c r="J4363" s="5">
        <v>16459.003095225507</v>
      </c>
      <c r="K4363" s="5">
        <v>14136.873097602549</v>
      </c>
      <c r="L4363" s="5">
        <v>17243.440968229323</v>
      </c>
      <c r="M4363" s="5">
        <v>21712.71007234112</v>
      </c>
      <c r="N4363" s="5">
        <v>15786.177386596903</v>
      </c>
      <c r="O4363" s="5">
        <v>35286.662852302201</v>
      </c>
      <c r="P4363" s="5">
        <v>17737.38315098183</v>
      </c>
      <c r="Q4363" s="5">
        <v>52421.574537857021</v>
      </c>
      <c r="R4363" s="5">
        <v>23583.884732956092</v>
      </c>
    </row>
    <row r="4364" spans="9:18">
      <c r="I4364" s="4">
        <v>4349</v>
      </c>
      <c r="J4364" s="5">
        <v>15648.665245032147</v>
      </c>
      <c r="K4364" s="5">
        <v>26110.948843472826</v>
      </c>
      <c r="L4364" s="5">
        <v>14815.394001212817</v>
      </c>
      <c r="M4364" s="5">
        <v>20229.919588372999</v>
      </c>
      <c r="N4364" s="5">
        <v>40377.252444397986</v>
      </c>
      <c r="O4364" s="5">
        <v>31172.963108652857</v>
      </c>
      <c r="P4364" s="5">
        <v>44646.134934589521</v>
      </c>
      <c r="Q4364" s="5">
        <v>59134.059519022907</v>
      </c>
      <c r="R4364" s="5">
        <v>6681.1887184356683</v>
      </c>
    </row>
    <row r="4365" spans="9:18">
      <c r="I4365" s="4">
        <v>4350</v>
      </c>
      <c r="J4365" s="5">
        <v>16088.430030489333</v>
      </c>
      <c r="K4365" s="5">
        <v>31910.762633549082</v>
      </c>
      <c r="L4365" s="5">
        <v>14691.846656953887</v>
      </c>
      <c r="M4365" s="5">
        <v>10451.914120098167</v>
      </c>
      <c r="N4365" s="5">
        <v>11604.12831603515</v>
      </c>
      <c r="O4365" s="5">
        <v>26565.882515615398</v>
      </c>
      <c r="P4365" s="5">
        <v>106091.28270624072</v>
      </c>
      <c r="Q4365" s="5">
        <v>9454.5906023793759</v>
      </c>
      <c r="R4365" s="5">
        <v>7201.7586694681067</v>
      </c>
    </row>
    <row r="4366" spans="9:18">
      <c r="I4366" s="4">
        <v>4351</v>
      </c>
      <c r="J4366" s="5">
        <v>14749.343145806102</v>
      </c>
      <c r="K4366" s="5">
        <v>13652.224205833634</v>
      </c>
      <c r="L4366" s="5">
        <v>16777.996633299583</v>
      </c>
      <c r="M4366" s="5">
        <v>21913.431401527439</v>
      </c>
      <c r="N4366" s="5">
        <v>28426.778914975595</v>
      </c>
      <c r="O4366" s="5">
        <v>13519.384207850644</v>
      </c>
      <c r="P4366" s="5">
        <v>27820.721938889761</v>
      </c>
      <c r="Q4366" s="5">
        <v>31974.553851773013</v>
      </c>
      <c r="R4366" s="5">
        <v>38898.713625068609</v>
      </c>
    </row>
    <row r="4367" spans="9:18">
      <c r="I4367" s="4">
        <v>4352</v>
      </c>
      <c r="J4367" s="5">
        <v>14594.990625703947</v>
      </c>
      <c r="K4367" s="5">
        <v>18821.113178054162</v>
      </c>
      <c r="L4367" s="5">
        <v>22162.138529251199</v>
      </c>
      <c r="M4367" s="5">
        <v>18177.175180585615</v>
      </c>
      <c r="N4367" s="5">
        <v>41563.89847100406</v>
      </c>
      <c r="O4367" s="5">
        <v>53504.725169095313</v>
      </c>
      <c r="P4367" s="5">
        <v>10966.822219855034</v>
      </c>
      <c r="Q4367" s="5">
        <v>16803.875627203233</v>
      </c>
      <c r="R4367" s="5">
        <v>38898.713625068609</v>
      </c>
    </row>
    <row r="4368" spans="9:18">
      <c r="I4368" s="4">
        <v>4353</v>
      </c>
      <c r="J4368" s="5">
        <v>28085.9245102444</v>
      </c>
      <c r="K4368" s="5">
        <v>12777.667398488715</v>
      </c>
      <c r="L4368" s="5">
        <v>14344.859750762502</v>
      </c>
      <c r="M4368" s="5">
        <v>24981.974172352908</v>
      </c>
      <c r="N4368" s="5">
        <v>19225.139878706803</v>
      </c>
      <c r="O4368" s="5">
        <v>6199.3195463515376</v>
      </c>
      <c r="P4368" s="5">
        <v>8069.5385577067918</v>
      </c>
      <c r="Q4368" s="5">
        <v>7457.1844090365566</v>
      </c>
      <c r="R4368" s="5">
        <v>5865.9802599669383</v>
      </c>
    </row>
    <row r="4369" spans="9:18">
      <c r="I4369" s="4">
        <v>4354</v>
      </c>
      <c r="J4369" s="5">
        <v>22812.564910649318</v>
      </c>
      <c r="K4369" s="5">
        <v>17903.387243834499</v>
      </c>
      <c r="L4369" s="5">
        <v>14610.165745300763</v>
      </c>
      <c r="M4369" s="5">
        <v>23067.94260629595</v>
      </c>
      <c r="N4369" s="5">
        <v>25549.748582175915</v>
      </c>
      <c r="O4369" s="5">
        <v>41800.463215706819</v>
      </c>
      <c r="P4369" s="5">
        <v>10733.318076105543</v>
      </c>
      <c r="Q4369" s="5">
        <v>3909.239690544402</v>
      </c>
      <c r="R4369" s="5">
        <v>81423.874800517297</v>
      </c>
    </row>
    <row r="4370" spans="9:18">
      <c r="I4370" s="4">
        <v>4355</v>
      </c>
      <c r="J4370" s="5">
        <v>14344.692898101612</v>
      </c>
      <c r="K4370" s="5">
        <v>15051.330276415061</v>
      </c>
      <c r="L4370" s="5">
        <v>13417.453622029931</v>
      </c>
      <c r="M4370" s="5">
        <v>14217.48832834715</v>
      </c>
      <c r="N4370" s="5">
        <v>27833.630848857778</v>
      </c>
      <c r="O4370" s="5">
        <v>66253.993323243907</v>
      </c>
      <c r="P4370" s="5">
        <v>33500.490132682797</v>
      </c>
      <c r="Q4370" s="5">
        <v>59964.86015574776</v>
      </c>
      <c r="R4370" s="5">
        <v>96845.299789249824</v>
      </c>
    </row>
    <row r="4371" spans="9:18">
      <c r="I4371" s="4">
        <v>4356</v>
      </c>
      <c r="J4371" s="5">
        <v>14017.326487344162</v>
      </c>
      <c r="K4371" s="5">
        <v>12423.491400404893</v>
      </c>
      <c r="L4371" s="5">
        <v>23760.785349782636</v>
      </c>
      <c r="M4371" s="5">
        <v>33862.836621974391</v>
      </c>
      <c r="N4371" s="5">
        <v>63974.903847153939</v>
      </c>
      <c r="O4371" s="5">
        <v>40581.847217937895</v>
      </c>
      <c r="P4371" s="5">
        <v>40377.463755170742</v>
      </c>
      <c r="Q4371" s="5">
        <v>16591.881190929333</v>
      </c>
      <c r="R4371" s="5">
        <v>3433.6677391851467</v>
      </c>
    </row>
    <row r="4372" spans="9:18">
      <c r="I4372" s="4">
        <v>4357</v>
      </c>
      <c r="J4372" s="5">
        <v>7855.2948890116513</v>
      </c>
      <c r="K4372" s="5">
        <v>14878.52734402675</v>
      </c>
      <c r="L4372" s="5">
        <v>15225.811035017256</v>
      </c>
      <c r="M4372" s="5">
        <v>23454.775510296178</v>
      </c>
      <c r="N4372" s="5">
        <v>11952.903761138405</v>
      </c>
      <c r="O4372" s="5">
        <v>33720.545907536376</v>
      </c>
      <c r="P4372" s="5">
        <v>27452.975716953504</v>
      </c>
      <c r="Q4372" s="5">
        <v>9652.8114206999071</v>
      </c>
      <c r="R4372" s="5">
        <v>8105.1944146993656</v>
      </c>
    </row>
    <row r="4373" spans="9:18">
      <c r="I4373" s="4">
        <v>4358</v>
      </c>
      <c r="J4373" s="5">
        <v>16733.020222212988</v>
      </c>
      <c r="K4373" s="5">
        <v>9739.7813029644258</v>
      </c>
      <c r="L4373" s="5">
        <v>34748.877779456467</v>
      </c>
      <c r="M4373" s="5">
        <v>12987.517521908694</v>
      </c>
      <c r="N4373" s="5">
        <v>15658.063692994532</v>
      </c>
      <c r="O4373" s="5">
        <v>40581.847217937895</v>
      </c>
      <c r="P4373" s="5">
        <v>83536.241167211992</v>
      </c>
      <c r="Q4373" s="5">
        <v>37101.531383212743</v>
      </c>
      <c r="R4373" s="5">
        <v>14706.681111065362</v>
      </c>
    </row>
    <row r="4374" spans="9:18">
      <c r="I4374" s="4">
        <v>4359</v>
      </c>
      <c r="J4374" s="5">
        <v>14710.037865351254</v>
      </c>
      <c r="K4374" s="5">
        <v>56656.842992470461</v>
      </c>
      <c r="L4374" s="5">
        <v>10896.494237357269</v>
      </c>
      <c r="M4374" s="5">
        <v>12987.517521908694</v>
      </c>
      <c r="N4374" s="5">
        <v>10882.757905166785</v>
      </c>
      <c r="O4374" s="5">
        <v>10369.402667058452</v>
      </c>
      <c r="P4374" s="5">
        <v>33715.790977629549</v>
      </c>
      <c r="Q4374" s="5">
        <v>116445.46783345108</v>
      </c>
      <c r="R4374" s="5">
        <v>261393.32711858812</v>
      </c>
    </row>
    <row r="4375" spans="9:18">
      <c r="I4375" s="4">
        <v>4360</v>
      </c>
      <c r="J4375" s="5">
        <v>12056.41843703942</v>
      </c>
      <c r="K4375" s="5">
        <v>16273.14570113692</v>
      </c>
      <c r="L4375" s="5">
        <v>18602.881797624486</v>
      </c>
      <c r="M4375" s="5">
        <v>14660.631931099009</v>
      </c>
      <c r="N4375" s="5">
        <v>46248.895746171031</v>
      </c>
      <c r="O4375" s="5">
        <v>27508.313315384185</v>
      </c>
      <c r="P4375" s="5">
        <v>3831.1492650071077</v>
      </c>
      <c r="Q4375" s="5">
        <v>116445.46783345108</v>
      </c>
      <c r="R4375" s="5">
        <v>20236.767651156802</v>
      </c>
    </row>
    <row r="4376" spans="9:18">
      <c r="I4376" s="4">
        <v>4361</v>
      </c>
      <c r="J4376" s="5">
        <v>28590.354879265724</v>
      </c>
      <c r="K4376" s="5">
        <v>18086.448513145526</v>
      </c>
      <c r="L4376" s="5">
        <v>15832.5469007027</v>
      </c>
      <c r="M4376" s="5">
        <v>30785.663999045999</v>
      </c>
      <c r="N4376" s="5">
        <v>36962.805083900916</v>
      </c>
      <c r="O4376" s="5">
        <v>24422.445067017139</v>
      </c>
      <c r="P4376" s="5">
        <v>9047.5556949992188</v>
      </c>
      <c r="Q4376" s="5">
        <v>15663.43865741136</v>
      </c>
      <c r="R4376" s="5">
        <v>55012.315589742022</v>
      </c>
    </row>
    <row r="4377" spans="9:18">
      <c r="I4377" s="4">
        <v>4362</v>
      </c>
      <c r="J4377" s="5">
        <v>15352.465904292809</v>
      </c>
      <c r="K4377" s="5">
        <v>43843.85059185313</v>
      </c>
      <c r="L4377" s="5">
        <v>17683.765335572589</v>
      </c>
      <c r="M4377" s="5">
        <v>15202.972920708273</v>
      </c>
      <c r="N4377" s="5">
        <v>20558.672182394013</v>
      </c>
      <c r="O4377" s="5">
        <v>27508.313315384185</v>
      </c>
      <c r="P4377" s="5">
        <v>27708.613526855763</v>
      </c>
      <c r="Q4377" s="5">
        <v>25156.033327562815</v>
      </c>
      <c r="R4377" s="5">
        <v>12116.34255245842</v>
      </c>
    </row>
    <row r="4378" spans="9:18">
      <c r="I4378" s="4">
        <v>4363</v>
      </c>
      <c r="J4378" s="5">
        <v>19121.054099180623</v>
      </c>
      <c r="K4378" s="5">
        <v>14136.873097602549</v>
      </c>
      <c r="L4378" s="5">
        <v>13023.361770761438</v>
      </c>
      <c r="M4378" s="5">
        <v>36301.422888051464</v>
      </c>
      <c r="N4378" s="5">
        <v>19125.360074567652</v>
      </c>
      <c r="O4378" s="5">
        <v>67717.30633712461</v>
      </c>
      <c r="P4378" s="5">
        <v>8877.9712092977989</v>
      </c>
      <c r="Q4378" s="5">
        <v>13865.641566869812</v>
      </c>
      <c r="R4378" s="5">
        <v>54594.567438884274</v>
      </c>
    </row>
    <row r="4379" spans="9:18">
      <c r="I4379" s="4">
        <v>4364</v>
      </c>
      <c r="J4379" s="5">
        <v>28085.9245102444</v>
      </c>
      <c r="K4379" s="5">
        <v>30552.499930043898</v>
      </c>
      <c r="L4379" s="5">
        <v>17073.17760523731</v>
      </c>
      <c r="M4379" s="5">
        <v>17349.963215818931</v>
      </c>
      <c r="N4379" s="5">
        <v>14335.478134989447</v>
      </c>
      <c r="O4379" s="5">
        <v>40942.522561879181</v>
      </c>
      <c r="P4379" s="5">
        <v>20403.656304140692</v>
      </c>
      <c r="Q4379" s="5">
        <v>9454.5906023793759</v>
      </c>
      <c r="R4379" s="5">
        <v>20303.08745527079</v>
      </c>
    </row>
    <row r="4380" spans="9:18">
      <c r="I4380" s="4">
        <v>4365</v>
      </c>
      <c r="J4380" s="5">
        <v>15786.811016780619</v>
      </c>
      <c r="K4380" s="5">
        <v>14497.035717129334</v>
      </c>
      <c r="L4380" s="5">
        <v>15225.811035017256</v>
      </c>
      <c r="M4380" s="5">
        <v>22961.931350882205</v>
      </c>
      <c r="N4380" s="5">
        <v>21933.097106966918</v>
      </c>
      <c r="O4380" s="5">
        <v>3171.3006415671193</v>
      </c>
      <c r="P4380" s="5">
        <v>55119.366528283317</v>
      </c>
      <c r="Q4380" s="5">
        <v>27789.973552634947</v>
      </c>
      <c r="R4380" s="5">
        <v>18230.645544621442</v>
      </c>
    </row>
    <row r="4381" spans="9:18">
      <c r="I4381" s="4">
        <v>4366</v>
      </c>
      <c r="J4381" s="5">
        <v>14344.692898101612</v>
      </c>
      <c r="K4381" s="5">
        <v>16873.752266014431</v>
      </c>
      <c r="L4381" s="5">
        <v>17693.864646288712</v>
      </c>
      <c r="M4381" s="5">
        <v>17542.15972125496</v>
      </c>
      <c r="N4381" s="5">
        <v>20292.069765667391</v>
      </c>
      <c r="O4381" s="5">
        <v>16572.483389649329</v>
      </c>
      <c r="P4381" s="5">
        <v>9965.8330787532959</v>
      </c>
      <c r="Q4381" s="5">
        <v>22483.395143121877</v>
      </c>
      <c r="R4381" s="5">
        <v>182942.88598316166</v>
      </c>
    </row>
    <row r="4382" spans="9:18">
      <c r="I4382" s="4">
        <v>4367</v>
      </c>
      <c r="J4382" s="5">
        <v>12452.764985867625</v>
      </c>
      <c r="K4382" s="5">
        <v>24728.095385476983</v>
      </c>
      <c r="L4382" s="5">
        <v>15300.182042823812</v>
      </c>
      <c r="M4382" s="5">
        <v>14432.283063351901</v>
      </c>
      <c r="N4382" s="5">
        <v>15130.853682762778</v>
      </c>
      <c r="O4382" s="5">
        <v>10676.618215263648</v>
      </c>
      <c r="P4382" s="5">
        <v>22708.601480587709</v>
      </c>
      <c r="Q4382" s="5">
        <v>4924.9171270300558</v>
      </c>
      <c r="R4382" s="5">
        <v>41418.225609677866</v>
      </c>
    </row>
    <row r="4383" spans="9:18">
      <c r="I4383" s="4">
        <v>4368</v>
      </c>
      <c r="J4383" s="5">
        <v>8580.4413740966302</v>
      </c>
      <c r="K4383" s="5">
        <v>35705.595198125673</v>
      </c>
      <c r="L4383" s="5">
        <v>22018.381599979773</v>
      </c>
      <c r="M4383" s="5">
        <v>17542.15972125496</v>
      </c>
      <c r="N4383" s="5">
        <v>41563.89847100406</v>
      </c>
      <c r="O4383" s="5">
        <v>12110.196126281628</v>
      </c>
      <c r="P4383" s="5">
        <v>16072.735485912413</v>
      </c>
      <c r="Q4383" s="5">
        <v>8474.2603471579441</v>
      </c>
      <c r="R4383" s="5">
        <v>17687.533637716911</v>
      </c>
    </row>
    <row r="4384" spans="9:18">
      <c r="I4384" s="4">
        <v>4369</v>
      </c>
      <c r="J4384" s="5">
        <v>11936.262457073821</v>
      </c>
      <c r="K4384" s="5">
        <v>16081.362509465702</v>
      </c>
      <c r="L4384" s="5">
        <v>17693.864646288712</v>
      </c>
      <c r="M4384" s="5">
        <v>16842.379179328669</v>
      </c>
      <c r="N4384" s="5">
        <v>41563.89847100406</v>
      </c>
      <c r="O4384" s="5">
        <v>16826.763259351828</v>
      </c>
      <c r="P4384" s="5">
        <v>10532.667493814919</v>
      </c>
      <c r="Q4384" s="5">
        <v>4924.9171270300558</v>
      </c>
      <c r="R4384" s="5">
        <v>2071.5141323269809</v>
      </c>
    </row>
    <row r="4385" spans="9:18">
      <c r="I4385" s="4">
        <v>4370</v>
      </c>
      <c r="J4385" s="5">
        <v>14960.076233580705</v>
      </c>
      <c r="K4385" s="5">
        <v>21527.93129974293</v>
      </c>
      <c r="L4385" s="5">
        <v>18475.258050488967</v>
      </c>
      <c r="M4385" s="5">
        <v>16500.222621933419</v>
      </c>
      <c r="N4385" s="5">
        <v>17891.96347244953</v>
      </c>
      <c r="O4385" s="5">
        <v>24247.516962783076</v>
      </c>
      <c r="P4385" s="5">
        <v>34814.458119125498</v>
      </c>
      <c r="Q4385" s="5">
        <v>29432.473148002948</v>
      </c>
      <c r="R4385" s="5">
        <v>13258.538726001538</v>
      </c>
    </row>
    <row r="4386" spans="9:18">
      <c r="I4386" s="4">
        <v>4371</v>
      </c>
      <c r="J4386" s="5">
        <v>13391.049101507895</v>
      </c>
      <c r="K4386" s="5">
        <v>9769.3659785458403</v>
      </c>
      <c r="L4386" s="5">
        <v>16472.138192556791</v>
      </c>
      <c r="M4386" s="5">
        <v>14432.283063351901</v>
      </c>
      <c r="N4386" s="5">
        <v>39406.658185292261</v>
      </c>
      <c r="O4386" s="5">
        <v>26565.882515615398</v>
      </c>
      <c r="P4386" s="5">
        <v>26126.807131356076</v>
      </c>
      <c r="Q4386" s="5">
        <v>52421.574537857021</v>
      </c>
      <c r="R4386" s="5">
        <v>9913.4206865238284</v>
      </c>
    </row>
    <row r="4387" spans="9:18">
      <c r="I4387" s="4">
        <v>4372</v>
      </c>
      <c r="J4387" s="5">
        <v>31053.540961463306</v>
      </c>
      <c r="K4387" s="5">
        <v>23934.551191616061</v>
      </c>
      <c r="L4387" s="5">
        <v>16472.138192556791</v>
      </c>
      <c r="M4387" s="5">
        <v>12619.198742021435</v>
      </c>
      <c r="N4387" s="5">
        <v>32184.535272543482</v>
      </c>
      <c r="O4387" s="5">
        <v>26268.613803794757</v>
      </c>
      <c r="P4387" s="5">
        <v>14376.883105731285</v>
      </c>
      <c r="Q4387" s="5">
        <v>37277.391668005912</v>
      </c>
      <c r="R4387" s="5">
        <v>55012.315589742022</v>
      </c>
    </row>
    <row r="4388" spans="9:18">
      <c r="I4388" s="4">
        <v>4373</v>
      </c>
      <c r="J4388" s="5">
        <v>18650.249281571734</v>
      </c>
      <c r="K4388" s="5">
        <v>13559.080695844099</v>
      </c>
      <c r="L4388" s="5">
        <v>17128.574519497746</v>
      </c>
      <c r="M4388" s="5">
        <v>23908.621352410395</v>
      </c>
      <c r="N4388" s="5">
        <v>57711.498171893618</v>
      </c>
      <c r="O4388" s="5">
        <v>13966.178986479143</v>
      </c>
      <c r="P4388" s="5">
        <v>8069.5385577067918</v>
      </c>
      <c r="Q4388" s="5">
        <v>9138.5169630896526</v>
      </c>
      <c r="R4388" s="5">
        <v>20236.767651156802</v>
      </c>
    </row>
    <row r="4389" spans="9:18">
      <c r="I4389" s="4">
        <v>4374</v>
      </c>
      <c r="J4389" s="5">
        <v>21150.169973104224</v>
      </c>
      <c r="K4389" s="5">
        <v>14136.873097602549</v>
      </c>
      <c r="L4389" s="5">
        <v>21954.536591034263</v>
      </c>
      <c r="M4389" s="5">
        <v>10111.451009425113</v>
      </c>
      <c r="N4389" s="5">
        <v>26565.664379767408</v>
      </c>
      <c r="O4389" s="5">
        <v>10369.402667058452</v>
      </c>
      <c r="P4389" s="5">
        <v>14773.185437294762</v>
      </c>
      <c r="Q4389" s="5">
        <v>43417.41805414496</v>
      </c>
      <c r="R4389" s="5">
        <v>8046.7106309763258</v>
      </c>
    </row>
    <row r="4390" spans="9:18">
      <c r="I4390" s="4">
        <v>4375</v>
      </c>
      <c r="J4390" s="5">
        <v>15554.996700302558</v>
      </c>
      <c r="K4390" s="5">
        <v>15428.770955406064</v>
      </c>
      <c r="L4390" s="5">
        <v>14811.370758813007</v>
      </c>
      <c r="M4390" s="5">
        <v>10142.860128720422</v>
      </c>
      <c r="N4390" s="5">
        <v>39672.376281023731</v>
      </c>
      <c r="O4390" s="5">
        <v>26565.882515615398</v>
      </c>
      <c r="P4390" s="5">
        <v>34768.042801665702</v>
      </c>
      <c r="Q4390" s="5">
        <v>27018.509959127641</v>
      </c>
      <c r="R4390" s="5">
        <v>8046.7106309763258</v>
      </c>
    </row>
    <row r="4391" spans="9:18">
      <c r="I4391" s="4">
        <v>4376</v>
      </c>
      <c r="J4391" s="5">
        <v>16145.071869702888</v>
      </c>
      <c r="K4391" s="5">
        <v>14587.813833513306</v>
      </c>
      <c r="L4391" s="5">
        <v>15300.182042823812</v>
      </c>
      <c r="M4391" s="5">
        <v>12426.949970383979</v>
      </c>
      <c r="N4391" s="5">
        <v>16148.901635865295</v>
      </c>
      <c r="O4391" s="5">
        <v>27084.483614751469</v>
      </c>
      <c r="P4391" s="5">
        <v>95486.196907583406</v>
      </c>
      <c r="Q4391" s="5">
        <v>37497.234505125656</v>
      </c>
      <c r="R4391" s="5">
        <v>17687.533637716911</v>
      </c>
    </row>
    <row r="4392" spans="9:18">
      <c r="I4392" s="4">
        <v>4377</v>
      </c>
      <c r="J4392" s="5">
        <v>14076.209333698853</v>
      </c>
      <c r="K4392" s="5">
        <v>16873.752266014431</v>
      </c>
      <c r="L4392" s="5">
        <v>10896.494237357269</v>
      </c>
      <c r="M4392" s="5">
        <v>15202.972920708273</v>
      </c>
      <c r="N4392" s="5">
        <v>42744.618431291936</v>
      </c>
      <c r="O4392" s="5">
        <v>8801.3667015774663</v>
      </c>
      <c r="P4392" s="5">
        <v>8662.4232458952465</v>
      </c>
      <c r="Q4392" s="5">
        <v>4631.7430487757983</v>
      </c>
      <c r="R4392" s="5">
        <v>19133.693426869788</v>
      </c>
    </row>
    <row r="4393" spans="9:18">
      <c r="I4393" s="4">
        <v>4378</v>
      </c>
      <c r="J4393" s="5">
        <v>12452.764985867625</v>
      </c>
      <c r="K4393" s="5">
        <v>18086.448513145526</v>
      </c>
      <c r="L4393" s="5">
        <v>17683.765335572589</v>
      </c>
      <c r="M4393" s="5">
        <v>21332.072353846772</v>
      </c>
      <c r="N4393" s="5">
        <v>17811.114014514766</v>
      </c>
      <c r="O4393" s="5">
        <v>40581.847217937895</v>
      </c>
      <c r="P4393" s="5">
        <v>10180.109839011631</v>
      </c>
      <c r="Q4393" s="5">
        <v>7349.2234634219121</v>
      </c>
      <c r="R4393" s="5">
        <v>122304.95880137496</v>
      </c>
    </row>
    <row r="4394" spans="9:18">
      <c r="I4394" s="4">
        <v>4379</v>
      </c>
      <c r="J4394" s="5">
        <v>16544.73779470181</v>
      </c>
      <c r="K4394" s="5">
        <v>43843.85059185313</v>
      </c>
      <c r="L4394" s="5">
        <v>16293.265064857471</v>
      </c>
      <c r="M4394" s="5">
        <v>10142.860128720422</v>
      </c>
      <c r="N4394" s="5">
        <v>14335.478134989447</v>
      </c>
      <c r="O4394" s="5">
        <v>49114.195066822271</v>
      </c>
      <c r="P4394" s="5">
        <v>17974.179326980211</v>
      </c>
      <c r="Q4394" s="5">
        <v>4924.9171270300558</v>
      </c>
      <c r="R4394" s="5">
        <v>39788.288251916689</v>
      </c>
    </row>
    <row r="4395" spans="9:18">
      <c r="I4395" s="4">
        <v>4380</v>
      </c>
      <c r="J4395" s="5">
        <v>16788.081681455456</v>
      </c>
      <c r="K4395" s="5">
        <v>14579.232378315752</v>
      </c>
      <c r="L4395" s="5">
        <v>21725.131459372977</v>
      </c>
      <c r="M4395" s="5">
        <v>29058.117767351498</v>
      </c>
      <c r="N4395" s="5">
        <v>17811.114014514766</v>
      </c>
      <c r="O4395" s="5">
        <v>40942.522561879181</v>
      </c>
      <c r="P4395" s="5">
        <v>63015.124693769802</v>
      </c>
      <c r="Q4395" s="5">
        <v>30495.121067047665</v>
      </c>
      <c r="R4395" s="5">
        <v>33863.04333215439</v>
      </c>
    </row>
    <row r="4396" spans="9:18">
      <c r="I4396" s="4">
        <v>4381</v>
      </c>
      <c r="J4396" s="5">
        <v>7855.2948890116513</v>
      </c>
      <c r="K4396" s="5">
        <v>10931.803935361211</v>
      </c>
      <c r="L4396" s="5">
        <v>16293.265064857471</v>
      </c>
      <c r="M4396" s="5">
        <v>12426.949970383979</v>
      </c>
      <c r="N4396" s="5">
        <v>13511.694619545402</v>
      </c>
      <c r="O4396" s="5">
        <v>32474.063027682765</v>
      </c>
      <c r="P4396" s="5">
        <v>9047.5556949992188</v>
      </c>
      <c r="Q4396" s="5">
        <v>10151.908492905288</v>
      </c>
      <c r="R4396" s="5">
        <v>93933.045103013996</v>
      </c>
    </row>
    <row r="4397" spans="9:18">
      <c r="I4397" s="4">
        <v>4382</v>
      </c>
      <c r="J4397" s="5">
        <v>14671.176405938595</v>
      </c>
      <c r="K4397" s="5">
        <v>26110.948843472826</v>
      </c>
      <c r="L4397" s="5">
        <v>16071.478531535273</v>
      </c>
      <c r="M4397" s="5">
        <v>12934.591863415189</v>
      </c>
      <c r="N4397" s="5">
        <v>26565.664379767408</v>
      </c>
      <c r="O4397" s="5">
        <v>8121.6248378263163</v>
      </c>
      <c r="P4397" s="5">
        <v>9482.0186426688688</v>
      </c>
      <c r="Q4397" s="5">
        <v>52545.991451361173</v>
      </c>
      <c r="R4397" s="5">
        <v>91403.228438796665</v>
      </c>
    </row>
    <row r="4398" spans="9:18">
      <c r="I4398" s="4">
        <v>4383</v>
      </c>
      <c r="J4398" s="5">
        <v>16511.332839561353</v>
      </c>
      <c r="K4398" s="5">
        <v>17128.860847126922</v>
      </c>
      <c r="L4398" s="5">
        <v>16071.478531535273</v>
      </c>
      <c r="M4398" s="5">
        <v>14432.283063351901</v>
      </c>
      <c r="N4398" s="5">
        <v>19125.360074567652</v>
      </c>
      <c r="O4398" s="5">
        <v>20721.57544042755</v>
      </c>
      <c r="P4398" s="5">
        <v>14316.965520592317</v>
      </c>
      <c r="Q4398" s="5">
        <v>37073.980790337926</v>
      </c>
      <c r="R4398" s="5">
        <v>3989.7956692889929</v>
      </c>
    </row>
    <row r="4399" spans="9:18">
      <c r="I4399" s="4">
        <v>4384</v>
      </c>
      <c r="J4399" s="5">
        <v>21888.821432026474</v>
      </c>
      <c r="K4399" s="5">
        <v>14854.898507619706</v>
      </c>
      <c r="L4399" s="5">
        <v>18602.881797624486</v>
      </c>
      <c r="M4399" s="5">
        <v>17370.588707072598</v>
      </c>
      <c r="N4399" s="5">
        <v>35826.921212852278</v>
      </c>
      <c r="O4399" s="5">
        <v>55264.438774006347</v>
      </c>
      <c r="P4399" s="5">
        <v>21813.848941464526</v>
      </c>
      <c r="Q4399" s="5">
        <v>48756.323642664109</v>
      </c>
      <c r="R4399" s="5">
        <v>3311.4906988006405</v>
      </c>
    </row>
    <row r="4400" spans="9:18">
      <c r="I4400" s="4">
        <v>4385</v>
      </c>
      <c r="J4400" s="5">
        <v>15554.996700302558</v>
      </c>
      <c r="K4400" s="5">
        <v>20887.307279900142</v>
      </c>
      <c r="L4400" s="5">
        <v>25007.552172398639</v>
      </c>
      <c r="M4400" s="5">
        <v>20550.782384061673</v>
      </c>
      <c r="N4400" s="5">
        <v>9989.086510768735</v>
      </c>
      <c r="O4400" s="5">
        <v>15936.062371781712</v>
      </c>
      <c r="P4400" s="5">
        <v>16072.735485912413</v>
      </c>
      <c r="Q4400" s="5">
        <v>54060.5331097772</v>
      </c>
      <c r="R4400" s="5">
        <v>86510.608303273053</v>
      </c>
    </row>
    <row r="4401" spans="9:18">
      <c r="I4401" s="4">
        <v>4386</v>
      </c>
      <c r="J4401" s="5">
        <v>15554.996700302558</v>
      </c>
      <c r="K4401" s="5">
        <v>14136.873097602549</v>
      </c>
      <c r="L4401" s="5">
        <v>16017.890956041876</v>
      </c>
      <c r="M4401" s="5">
        <v>29058.117767351498</v>
      </c>
      <c r="N4401" s="5">
        <v>26565.664379767408</v>
      </c>
      <c r="O4401" s="5">
        <v>30876.675913171162</v>
      </c>
      <c r="P4401" s="5">
        <v>32167.874670939738</v>
      </c>
      <c r="Q4401" s="5">
        <v>52421.574537857021</v>
      </c>
      <c r="R4401" s="5">
        <v>59414.886464347241</v>
      </c>
    </row>
    <row r="4402" spans="9:18">
      <c r="I4402" s="4">
        <v>4387</v>
      </c>
      <c r="J4402" s="5">
        <v>22370.105711697011</v>
      </c>
      <c r="K4402" s="5">
        <v>16199.334613834633</v>
      </c>
      <c r="L4402" s="5">
        <v>27289.607394458035</v>
      </c>
      <c r="M4402" s="5">
        <v>13065.820809359835</v>
      </c>
      <c r="N4402" s="5">
        <v>25424.029865101274</v>
      </c>
      <c r="O4402" s="5">
        <v>24247.516962783076</v>
      </c>
      <c r="P4402" s="5">
        <v>54292.749740228588</v>
      </c>
      <c r="Q4402" s="5">
        <v>29432.473148002948</v>
      </c>
      <c r="R4402" s="5">
        <v>90296.353221228885</v>
      </c>
    </row>
    <row r="4403" spans="9:18">
      <c r="I4403" s="4">
        <v>4388</v>
      </c>
      <c r="J4403" s="5">
        <v>73074.062486361407</v>
      </c>
      <c r="K4403" s="5">
        <v>13719.930466819731</v>
      </c>
      <c r="L4403" s="5">
        <v>15923.549351835489</v>
      </c>
      <c r="M4403" s="5">
        <v>20041.623430301417</v>
      </c>
      <c r="N4403" s="5">
        <v>13511.694619545402</v>
      </c>
      <c r="O4403" s="5">
        <v>5909.5347260996277</v>
      </c>
      <c r="P4403" s="5">
        <v>10733.318076105543</v>
      </c>
      <c r="Q4403" s="5">
        <v>11928.872068442162</v>
      </c>
      <c r="R4403" s="5">
        <v>123773.40402252052</v>
      </c>
    </row>
    <row r="4404" spans="9:18">
      <c r="I4404" s="4">
        <v>4389</v>
      </c>
      <c r="J4404" s="5">
        <v>16305.770155972396</v>
      </c>
      <c r="K4404" s="5">
        <v>15782.544184844044</v>
      </c>
      <c r="L4404" s="5">
        <v>17128.574519497746</v>
      </c>
      <c r="M4404" s="5">
        <v>13022.686998540772</v>
      </c>
      <c r="N4404" s="5">
        <v>15251.140047572881</v>
      </c>
      <c r="O4404" s="5">
        <v>94068.324736096256</v>
      </c>
      <c r="P4404" s="5">
        <v>10733.318076105543</v>
      </c>
      <c r="Q4404" s="5">
        <v>52421.574537857021</v>
      </c>
      <c r="R4404" s="5">
        <v>14706.681111065362</v>
      </c>
    </row>
    <row r="4405" spans="9:18">
      <c r="I4405" s="4">
        <v>4390</v>
      </c>
      <c r="J4405" s="5">
        <v>9405.362381917912</v>
      </c>
      <c r="K4405" s="5">
        <v>23934.551191616061</v>
      </c>
      <c r="L4405" s="5">
        <v>17683.765335572589</v>
      </c>
      <c r="M4405" s="5">
        <v>20041.623430301417</v>
      </c>
      <c r="N4405" s="5">
        <v>16418.492928415813</v>
      </c>
      <c r="O4405" s="5">
        <v>21930.527973988665</v>
      </c>
      <c r="P4405" s="5">
        <v>9811.9720599964548</v>
      </c>
      <c r="Q4405" s="5">
        <v>64585.328088516922</v>
      </c>
      <c r="R4405" s="5">
        <v>46004.399892616471</v>
      </c>
    </row>
    <row r="4406" spans="9:18">
      <c r="I4406" s="4">
        <v>4391</v>
      </c>
      <c r="J4406" s="5">
        <v>15873.12561080002</v>
      </c>
      <c r="K4406" s="5">
        <v>13331.01856102917</v>
      </c>
      <c r="L4406" s="5">
        <v>14316.474075738101</v>
      </c>
      <c r="M4406" s="5">
        <v>13139.022167648376</v>
      </c>
      <c r="N4406" s="5">
        <v>21931.347680292267</v>
      </c>
      <c r="O4406" s="5">
        <v>15124.35050053727</v>
      </c>
      <c r="P4406" s="5">
        <v>27820.721938889761</v>
      </c>
      <c r="Q4406" s="5">
        <v>73941.636731325911</v>
      </c>
      <c r="R4406" s="5">
        <v>35232.418639121184</v>
      </c>
    </row>
    <row r="4407" spans="9:18">
      <c r="I4407" s="4">
        <v>4392</v>
      </c>
      <c r="J4407" s="5">
        <v>15648.665245032147</v>
      </c>
      <c r="K4407" s="5">
        <v>15391.837334808681</v>
      </c>
      <c r="L4407" s="5">
        <v>14042.41908879921</v>
      </c>
      <c r="M4407" s="5">
        <v>18043.539897080744</v>
      </c>
      <c r="N4407" s="5">
        <v>39406.658185292261</v>
      </c>
      <c r="O4407" s="5">
        <v>8121.6248378263163</v>
      </c>
      <c r="P4407" s="5">
        <v>35213.322626437533</v>
      </c>
      <c r="Q4407" s="5">
        <v>30266.563414010914</v>
      </c>
      <c r="R4407" s="5">
        <v>24831.679362998926</v>
      </c>
    </row>
    <row r="4408" spans="9:18">
      <c r="I4408" s="4">
        <v>4393</v>
      </c>
      <c r="J4408" s="5">
        <v>20002.201347927807</v>
      </c>
      <c r="K4408" s="5">
        <v>23543.914024953676</v>
      </c>
      <c r="L4408" s="5">
        <v>27289.607394458035</v>
      </c>
      <c r="M4408" s="5">
        <v>30830.81083227017</v>
      </c>
      <c r="N4408" s="5">
        <v>32184.535272543482</v>
      </c>
      <c r="O4408" s="5">
        <v>24247.516962783076</v>
      </c>
      <c r="P4408" s="5">
        <v>21933.779100635442</v>
      </c>
      <c r="Q4408" s="5">
        <v>17153.530968450712</v>
      </c>
      <c r="R4408" s="5">
        <v>216919.53009911609</v>
      </c>
    </row>
    <row r="4409" spans="9:18">
      <c r="I4409" s="4">
        <v>4394</v>
      </c>
      <c r="J4409" s="5">
        <v>14960.076233580705</v>
      </c>
      <c r="K4409" s="5">
        <v>35488.449387009874</v>
      </c>
      <c r="L4409" s="5">
        <v>17683.765335572589</v>
      </c>
      <c r="M4409" s="5">
        <v>7334.8610818348589</v>
      </c>
      <c r="N4409" s="5">
        <v>21009.255892677338</v>
      </c>
      <c r="O4409" s="5">
        <v>51330.340277512776</v>
      </c>
      <c r="P4409" s="5">
        <v>17974.179326980211</v>
      </c>
      <c r="Q4409" s="5">
        <v>27789.973552634947</v>
      </c>
      <c r="R4409" s="5">
        <v>3433.6677391851467</v>
      </c>
    </row>
    <row r="4410" spans="9:18">
      <c r="I4410" s="4">
        <v>4395</v>
      </c>
      <c r="J4410" s="5">
        <v>15417.870921574262</v>
      </c>
      <c r="K4410" s="5">
        <v>13331.01856102917</v>
      </c>
      <c r="L4410" s="5">
        <v>14815.394001212817</v>
      </c>
      <c r="M4410" s="5">
        <v>19795.661011456152</v>
      </c>
      <c r="N4410" s="5">
        <v>27833.630848857778</v>
      </c>
      <c r="O4410" s="5">
        <v>5444.7598502623823</v>
      </c>
      <c r="P4410" s="5">
        <v>22601.57564624758</v>
      </c>
      <c r="Q4410" s="5">
        <v>20883.852062640355</v>
      </c>
      <c r="R4410" s="5">
        <v>182942.88598316166</v>
      </c>
    </row>
    <row r="4411" spans="9:18">
      <c r="I4411" s="4">
        <v>4396</v>
      </c>
      <c r="J4411" s="5">
        <v>17005.744061105343</v>
      </c>
      <c r="K4411" s="5">
        <v>14095.75230105142</v>
      </c>
      <c r="L4411" s="5">
        <v>15300.182042823812</v>
      </c>
      <c r="M4411" s="5">
        <v>12735.841453044006</v>
      </c>
      <c r="N4411" s="5">
        <v>17214.078970533748</v>
      </c>
      <c r="O4411" s="5">
        <v>16462.170789592048</v>
      </c>
      <c r="P4411" s="5">
        <v>9826.8369575407578</v>
      </c>
      <c r="Q4411" s="5">
        <v>9796.0979856104404</v>
      </c>
      <c r="R4411" s="5">
        <v>29295.938844292672</v>
      </c>
    </row>
    <row r="4412" spans="9:18">
      <c r="I4412" s="4">
        <v>4397</v>
      </c>
      <c r="J4412" s="5">
        <v>11116.191595722205</v>
      </c>
      <c r="K4412" s="5">
        <v>18086.448513145526</v>
      </c>
      <c r="L4412" s="5">
        <v>19224.583269019437</v>
      </c>
      <c r="M4412" s="5">
        <v>20041.623430301417</v>
      </c>
      <c r="N4412" s="5">
        <v>20558.672182394013</v>
      </c>
      <c r="O4412" s="5">
        <v>33720.545907536376</v>
      </c>
      <c r="P4412" s="5">
        <v>38024.168395914428</v>
      </c>
      <c r="Q4412" s="5">
        <v>7349.2234634219121</v>
      </c>
      <c r="R4412" s="5">
        <v>38898.713625068609</v>
      </c>
    </row>
    <row r="4413" spans="9:18">
      <c r="I4413" s="4">
        <v>4398</v>
      </c>
      <c r="J4413" s="5">
        <v>15064.079707240266</v>
      </c>
      <c r="K4413" s="5">
        <v>43843.85059185313</v>
      </c>
      <c r="L4413" s="5">
        <v>16293.265064857471</v>
      </c>
      <c r="M4413" s="5">
        <v>20185.026038758231</v>
      </c>
      <c r="N4413" s="5">
        <v>40377.252444397986</v>
      </c>
      <c r="O4413" s="5">
        <v>10738.305003664611</v>
      </c>
      <c r="P4413" s="5">
        <v>16650.229067545235</v>
      </c>
      <c r="Q4413" s="5">
        <v>13865.641566869812</v>
      </c>
      <c r="R4413" s="5">
        <v>51141.799458534304</v>
      </c>
    </row>
    <row r="4414" spans="9:18">
      <c r="I4414" s="4">
        <v>4399</v>
      </c>
      <c r="J4414" s="5">
        <v>16459.003095225507</v>
      </c>
      <c r="K4414" s="5">
        <v>35705.595198125673</v>
      </c>
      <c r="L4414" s="5">
        <v>25389.332759288587</v>
      </c>
      <c r="M4414" s="5">
        <v>10142.860128720422</v>
      </c>
      <c r="N4414" s="5">
        <v>14240.123545764454</v>
      </c>
      <c r="O4414" s="5">
        <v>27195.510785031525</v>
      </c>
      <c r="P4414" s="5">
        <v>9047.5556949992188</v>
      </c>
      <c r="Q4414" s="5">
        <v>20987.925664394581</v>
      </c>
      <c r="R4414" s="5">
        <v>24831.679362998926</v>
      </c>
    </row>
    <row r="4415" spans="9:18">
      <c r="I4415" s="4">
        <v>4400</v>
      </c>
      <c r="J4415" s="5">
        <v>29760.443016608337</v>
      </c>
      <c r="K4415" s="5">
        <v>11558.357574452555</v>
      </c>
      <c r="L4415" s="5">
        <v>15651.346103181355</v>
      </c>
      <c r="M4415" s="5">
        <v>20229.919588372999</v>
      </c>
      <c r="N4415" s="5">
        <v>13909.728487455486</v>
      </c>
      <c r="O4415" s="5">
        <v>83458.030763693328</v>
      </c>
      <c r="P4415" s="5">
        <v>9482.0186426688688</v>
      </c>
      <c r="Q4415" s="5">
        <v>37802.358878968138</v>
      </c>
      <c r="R4415" s="5">
        <v>29295.938844292672</v>
      </c>
    </row>
    <row r="4416" spans="9:18">
      <c r="I4416" s="4">
        <v>4401</v>
      </c>
      <c r="J4416" s="5">
        <v>73074.062486361407</v>
      </c>
      <c r="K4416" s="5">
        <v>23934.551191616061</v>
      </c>
      <c r="L4416" s="5">
        <v>17243.440968229323</v>
      </c>
      <c r="M4416" s="5">
        <v>18691.941789825862</v>
      </c>
      <c r="N4416" s="5">
        <v>20583.564383988036</v>
      </c>
      <c r="O4416" s="5">
        <v>30656.031716467984</v>
      </c>
      <c r="P4416" s="5">
        <v>106091.28270624072</v>
      </c>
      <c r="Q4416" s="5">
        <v>29432.473148002948</v>
      </c>
      <c r="R4416" s="5">
        <v>96845.299789249824</v>
      </c>
    </row>
    <row r="4417" spans="9:18">
      <c r="I4417" s="4">
        <v>4402</v>
      </c>
      <c r="J4417" s="5">
        <v>16166.107684907736</v>
      </c>
      <c r="K4417" s="5">
        <v>20887.307279900142</v>
      </c>
      <c r="L4417" s="5">
        <v>16777.996633299583</v>
      </c>
      <c r="M4417" s="5">
        <v>36301.422888051464</v>
      </c>
      <c r="N4417" s="5">
        <v>27833.630848857778</v>
      </c>
      <c r="O4417" s="5">
        <v>16524.769946939996</v>
      </c>
      <c r="P4417" s="5">
        <v>17974.179326980211</v>
      </c>
      <c r="Q4417" s="5">
        <v>56069.347629295014</v>
      </c>
      <c r="R4417" s="5">
        <v>51141.799458534304</v>
      </c>
    </row>
    <row r="4418" spans="9:18">
      <c r="I4418" s="4">
        <v>4403</v>
      </c>
      <c r="J4418" s="5">
        <v>9405.362381917912</v>
      </c>
      <c r="K4418" s="5">
        <v>18086.448513145526</v>
      </c>
      <c r="L4418" s="5">
        <v>20698.842353987733</v>
      </c>
      <c r="M4418" s="5">
        <v>13414.385151739983</v>
      </c>
      <c r="N4418" s="5">
        <v>39406.658185292261</v>
      </c>
      <c r="O4418" s="5">
        <v>35286.662852302201</v>
      </c>
      <c r="P4418" s="5">
        <v>38024.168395914428</v>
      </c>
      <c r="Q4418" s="5">
        <v>13099.063525342741</v>
      </c>
      <c r="R4418" s="5">
        <v>1535.701520095213</v>
      </c>
    </row>
    <row r="4419" spans="9:18">
      <c r="I4419" s="4">
        <v>4404</v>
      </c>
      <c r="J4419" s="5">
        <v>13663.281817546009</v>
      </c>
      <c r="K4419" s="5">
        <v>14095.75230105142</v>
      </c>
      <c r="L4419" s="5">
        <v>22412.045018675239</v>
      </c>
      <c r="M4419" s="5">
        <v>12426.949970383979</v>
      </c>
      <c r="N4419" s="5">
        <v>11604.12831603515</v>
      </c>
      <c r="O4419" s="5">
        <v>53007.660727727191</v>
      </c>
      <c r="P4419" s="5">
        <v>54923.423457863879</v>
      </c>
      <c r="Q4419" s="5">
        <v>13865.641566869812</v>
      </c>
      <c r="R4419" s="5">
        <v>81423.874800517297</v>
      </c>
    </row>
    <row r="4420" spans="9:18">
      <c r="I4420" s="4">
        <v>4405</v>
      </c>
      <c r="J4420" s="5">
        <v>19467.17453557903</v>
      </c>
      <c r="K4420" s="5">
        <v>14021.934268028277</v>
      </c>
      <c r="L4420" s="5">
        <v>17683.765335572589</v>
      </c>
      <c r="M4420" s="5">
        <v>18816.787977140237</v>
      </c>
      <c r="N4420" s="5">
        <v>14240.123545764454</v>
      </c>
      <c r="O4420" s="5">
        <v>79848.944504816522</v>
      </c>
      <c r="P4420" s="5">
        <v>34768.042801665702</v>
      </c>
      <c r="Q4420" s="5">
        <v>28078.365156847896</v>
      </c>
      <c r="R4420" s="5">
        <v>87776.138236389699</v>
      </c>
    </row>
    <row r="4421" spans="9:18">
      <c r="I4421" s="4">
        <v>4406</v>
      </c>
      <c r="J4421" s="5">
        <v>11936.262457073821</v>
      </c>
      <c r="K4421" s="5">
        <v>11149.572204897504</v>
      </c>
      <c r="L4421" s="5">
        <v>14175.160754078657</v>
      </c>
      <c r="M4421" s="5">
        <v>7334.8610818348589</v>
      </c>
      <c r="N4421" s="5">
        <v>13745.376566850549</v>
      </c>
      <c r="O4421" s="5">
        <v>9708.4497800977806</v>
      </c>
      <c r="P4421" s="5">
        <v>45161.732159568586</v>
      </c>
      <c r="Q4421" s="5">
        <v>9454.5906023793759</v>
      </c>
      <c r="R4421" s="5">
        <v>44707.053087992797</v>
      </c>
    </row>
    <row r="4422" spans="9:18">
      <c r="I4422" s="4">
        <v>4407</v>
      </c>
      <c r="J4422" s="5">
        <v>14344.692898101612</v>
      </c>
      <c r="K4422" s="5">
        <v>29672.680843304515</v>
      </c>
      <c r="L4422" s="5">
        <v>17128.574519497746</v>
      </c>
      <c r="M4422" s="5">
        <v>18177.175180585615</v>
      </c>
      <c r="N4422" s="5">
        <v>18367.429489032103</v>
      </c>
      <c r="O4422" s="5">
        <v>53028.643350899503</v>
      </c>
      <c r="P4422" s="5">
        <v>14316.965520592317</v>
      </c>
      <c r="Q4422" s="5">
        <v>25156.033327562815</v>
      </c>
      <c r="R4422" s="5">
        <v>41056.152565483346</v>
      </c>
    </row>
    <row r="4423" spans="9:18">
      <c r="I4423" s="4">
        <v>4408</v>
      </c>
      <c r="J4423" s="5">
        <v>28169.050633834027</v>
      </c>
      <c r="K4423" s="5">
        <v>11206.053243692098</v>
      </c>
      <c r="L4423" s="5">
        <v>21954.536591034263</v>
      </c>
      <c r="M4423" s="5">
        <v>19890.009981657669</v>
      </c>
      <c r="N4423" s="5">
        <v>15251.140047572881</v>
      </c>
      <c r="O4423" s="5">
        <v>62082.6862081785</v>
      </c>
      <c r="P4423" s="5">
        <v>14376.883105731285</v>
      </c>
      <c r="Q4423" s="5">
        <v>7457.1844090365566</v>
      </c>
      <c r="R4423" s="5">
        <v>8046.7106309763258</v>
      </c>
    </row>
    <row r="4424" spans="9:18">
      <c r="I4424" s="4">
        <v>4409</v>
      </c>
      <c r="J4424" s="5">
        <v>73074.062486361407</v>
      </c>
      <c r="K4424" s="5">
        <v>14136.873097602549</v>
      </c>
      <c r="L4424" s="5">
        <v>21725.131459372977</v>
      </c>
      <c r="M4424" s="5">
        <v>20229.919588372999</v>
      </c>
      <c r="N4424" s="5">
        <v>34295.124147811541</v>
      </c>
      <c r="O4424" s="5">
        <v>25604.597681740845</v>
      </c>
      <c r="P4424" s="5">
        <v>9965.8330787532959</v>
      </c>
      <c r="Q4424" s="5">
        <v>37277.391668005912</v>
      </c>
      <c r="R4424" s="5">
        <v>14706.681111065362</v>
      </c>
    </row>
    <row r="4425" spans="9:18">
      <c r="I4425" s="4">
        <v>4410</v>
      </c>
      <c r="J4425" s="5">
        <v>16166.107684907736</v>
      </c>
      <c r="K4425" s="5">
        <v>15051.330276415061</v>
      </c>
      <c r="L4425" s="5">
        <v>13622.976145621742</v>
      </c>
      <c r="M4425" s="5">
        <v>11680.747299075838</v>
      </c>
      <c r="N4425" s="5">
        <v>51261.622558090799</v>
      </c>
      <c r="O4425" s="5">
        <v>16826.763259351828</v>
      </c>
      <c r="P4425" s="5">
        <v>29283.825979394511</v>
      </c>
      <c r="Q4425" s="5">
        <v>148345.62878828164</v>
      </c>
      <c r="R4425" s="5">
        <v>12194.45251033065</v>
      </c>
    </row>
    <row r="4426" spans="9:18">
      <c r="I4426" s="4">
        <v>4411</v>
      </c>
      <c r="J4426" s="5">
        <v>15648.665245032147</v>
      </c>
      <c r="K4426" s="5">
        <v>16952.949313901812</v>
      </c>
      <c r="L4426" s="5">
        <v>15225.811035017256</v>
      </c>
      <c r="M4426" s="5">
        <v>19890.009981657669</v>
      </c>
      <c r="N4426" s="5">
        <v>23043.345403059295</v>
      </c>
      <c r="O4426" s="5">
        <v>9320.7026593487881</v>
      </c>
      <c r="P4426" s="5">
        <v>44646.134934589521</v>
      </c>
      <c r="Q4426" s="5">
        <v>37101.531383212743</v>
      </c>
      <c r="R4426" s="5">
        <v>27349.63499959607</v>
      </c>
    </row>
    <row r="4427" spans="9:18">
      <c r="I4427" s="4">
        <v>4412</v>
      </c>
      <c r="J4427" s="5">
        <v>14538.277247583976</v>
      </c>
      <c r="K4427" s="5">
        <v>53937.689698015136</v>
      </c>
      <c r="L4427" s="5">
        <v>16616.161224349555</v>
      </c>
      <c r="M4427" s="5">
        <v>10451.914120098167</v>
      </c>
      <c r="N4427" s="5">
        <v>40377.252444397986</v>
      </c>
      <c r="O4427" s="5">
        <v>28431.436490368542</v>
      </c>
      <c r="P4427" s="5">
        <v>16650.229067545235</v>
      </c>
      <c r="Q4427" s="5">
        <v>8502.450657922871</v>
      </c>
      <c r="R4427" s="5">
        <v>7784.2246210242874</v>
      </c>
    </row>
    <row r="4428" spans="9:18">
      <c r="I4428" s="4">
        <v>4413</v>
      </c>
      <c r="J4428" s="5">
        <v>13447.638004246244</v>
      </c>
      <c r="K4428" s="5">
        <v>21218.439146892688</v>
      </c>
      <c r="L4428" s="5">
        <v>14316.474075738101</v>
      </c>
      <c r="M4428" s="5">
        <v>21272.00214469912</v>
      </c>
      <c r="N4428" s="5">
        <v>10882.757905166785</v>
      </c>
      <c r="O4428" s="5">
        <v>13613.378495715853</v>
      </c>
      <c r="P4428" s="5">
        <v>27708.613526855763</v>
      </c>
      <c r="Q4428" s="5">
        <v>25156.033327562815</v>
      </c>
      <c r="R4428" s="5">
        <v>2180.6148629084787</v>
      </c>
    </row>
    <row r="4429" spans="9:18">
      <c r="I4429" s="4">
        <v>4414</v>
      </c>
      <c r="J4429" s="5">
        <v>16733.020222212988</v>
      </c>
      <c r="K4429" s="5">
        <v>11206.053243692098</v>
      </c>
      <c r="L4429" s="5">
        <v>17578.712723867691</v>
      </c>
      <c r="M4429" s="5">
        <v>12987.517521908694</v>
      </c>
      <c r="N4429" s="5">
        <v>8555.1229659096207</v>
      </c>
      <c r="O4429" s="5">
        <v>94068.324736096256</v>
      </c>
      <c r="P4429" s="5">
        <v>22601.57564624758</v>
      </c>
      <c r="Q4429" s="5">
        <v>42044.890065817184</v>
      </c>
      <c r="R4429" s="5">
        <v>13258.538726001538</v>
      </c>
    </row>
    <row r="4430" spans="9:18">
      <c r="I4430" s="4">
        <v>4415</v>
      </c>
      <c r="J4430" s="5">
        <v>16788.081681455456</v>
      </c>
      <c r="K4430" s="5">
        <v>15487.124352801369</v>
      </c>
      <c r="L4430" s="5">
        <v>18215.751370765771</v>
      </c>
      <c r="M4430" s="5">
        <v>30785.663999045999</v>
      </c>
      <c r="N4430" s="5">
        <v>17811.114014514766</v>
      </c>
      <c r="O4430" s="5">
        <v>8121.6248378263163</v>
      </c>
      <c r="P4430" s="5">
        <v>32167.874670939738</v>
      </c>
      <c r="Q4430" s="5">
        <v>17493.456269945855</v>
      </c>
      <c r="R4430" s="5">
        <v>3433.6677391851467</v>
      </c>
    </row>
    <row r="4431" spans="9:18">
      <c r="I4431" s="4">
        <v>4416</v>
      </c>
      <c r="J4431" s="5">
        <v>14750.660273177687</v>
      </c>
      <c r="K4431" s="5">
        <v>34058.671324159091</v>
      </c>
      <c r="L4431" s="5">
        <v>16451.333928028147</v>
      </c>
      <c r="M4431" s="5">
        <v>11680.747299075838</v>
      </c>
      <c r="N4431" s="5">
        <v>29468.83360104046</v>
      </c>
      <c r="O4431" s="5">
        <v>25644.588869829797</v>
      </c>
      <c r="P4431" s="5">
        <v>27820.721938889761</v>
      </c>
      <c r="Q4431" s="5">
        <v>42044.890065817184</v>
      </c>
      <c r="R4431" s="5">
        <v>1535.701520095213</v>
      </c>
    </row>
    <row r="4432" spans="9:18">
      <c r="I4432" s="4">
        <v>4417</v>
      </c>
      <c r="J4432" s="5">
        <v>14960.076233580705</v>
      </c>
      <c r="K4432" s="5">
        <v>15768.312122029349</v>
      </c>
      <c r="L4432" s="5">
        <v>15300.182042823812</v>
      </c>
      <c r="M4432" s="5">
        <v>22961.931350882205</v>
      </c>
      <c r="N4432" s="5">
        <v>20583.564383988036</v>
      </c>
      <c r="O4432" s="5">
        <v>33720.545907536376</v>
      </c>
      <c r="P4432" s="5">
        <v>25258.981945036445</v>
      </c>
      <c r="Q4432" s="5">
        <v>10151.908492905288</v>
      </c>
      <c r="R4432" s="5">
        <v>14051.647494499957</v>
      </c>
    </row>
    <row r="4433" spans="9:18">
      <c r="I4433" s="4">
        <v>4418</v>
      </c>
      <c r="J4433" s="5">
        <v>14017.326487344162</v>
      </c>
      <c r="K4433" s="5">
        <v>11507.182177474708</v>
      </c>
      <c r="L4433" s="5">
        <v>14344.859750762502</v>
      </c>
      <c r="M4433" s="5">
        <v>11529.920007560097</v>
      </c>
      <c r="N4433" s="5">
        <v>9209.4418830788036</v>
      </c>
      <c r="O4433" s="5">
        <v>27195.510785031525</v>
      </c>
      <c r="P4433" s="5">
        <v>22708.601480587709</v>
      </c>
      <c r="Q4433" s="5">
        <v>31902.904306425251</v>
      </c>
      <c r="R4433" s="5">
        <v>39263.770877572199</v>
      </c>
    </row>
    <row r="4434" spans="9:18">
      <c r="I4434" s="4">
        <v>4419</v>
      </c>
      <c r="J4434" s="5">
        <v>14594.990625703947</v>
      </c>
      <c r="K4434" s="5">
        <v>23543.914024953676</v>
      </c>
      <c r="L4434" s="5">
        <v>22412.045018675239</v>
      </c>
      <c r="M4434" s="5">
        <v>13139.022167648376</v>
      </c>
      <c r="N4434" s="5">
        <v>63974.903847153939</v>
      </c>
      <c r="O4434" s="5">
        <v>32474.063027682765</v>
      </c>
      <c r="P4434" s="5">
        <v>26126.807131356076</v>
      </c>
      <c r="Q4434" s="5">
        <v>12253.299944531094</v>
      </c>
      <c r="R4434" s="5">
        <v>33863.04333215439</v>
      </c>
    </row>
    <row r="4435" spans="9:18">
      <c r="I4435" s="4">
        <v>4420</v>
      </c>
      <c r="J4435" s="5">
        <v>12888.204629170894</v>
      </c>
      <c r="K4435" s="5">
        <v>20887.307279900142</v>
      </c>
      <c r="L4435" s="5">
        <v>17920.486090689363</v>
      </c>
      <c r="M4435" s="5">
        <v>41403.687663920646</v>
      </c>
      <c r="N4435" s="5">
        <v>14240.123545764454</v>
      </c>
      <c r="O4435" s="5">
        <v>8801.3667015774663</v>
      </c>
      <c r="P4435" s="5">
        <v>27820.721938889761</v>
      </c>
      <c r="Q4435" s="5">
        <v>2356.8990887111336</v>
      </c>
      <c r="R4435" s="5">
        <v>51141.799458534304</v>
      </c>
    </row>
    <row r="4436" spans="9:18">
      <c r="I4436" s="4">
        <v>4421</v>
      </c>
      <c r="J4436" s="5">
        <v>13391.049101507895</v>
      </c>
      <c r="K4436" s="5">
        <v>11149.572204897504</v>
      </c>
      <c r="L4436" s="5">
        <v>18215.751370765771</v>
      </c>
      <c r="M4436" s="5">
        <v>23908.621352410395</v>
      </c>
      <c r="N4436" s="5">
        <v>26152.705108198839</v>
      </c>
      <c r="O4436" s="5">
        <v>25644.588869829797</v>
      </c>
      <c r="P4436" s="5">
        <v>23769.190223735484</v>
      </c>
      <c r="Q4436" s="5">
        <v>15623.622662102793</v>
      </c>
      <c r="R4436" s="5">
        <v>17687.533637716911</v>
      </c>
    </row>
    <row r="4437" spans="9:18">
      <c r="I4437" s="4">
        <v>4422</v>
      </c>
      <c r="J4437" s="5">
        <v>28214.771032351968</v>
      </c>
      <c r="K4437" s="5">
        <v>16605.655749562578</v>
      </c>
      <c r="L4437" s="5">
        <v>21428.663623484812</v>
      </c>
      <c r="M4437" s="5">
        <v>29834.240613550006</v>
      </c>
      <c r="N4437" s="5">
        <v>21009.255892677338</v>
      </c>
      <c r="O4437" s="5">
        <v>49114.195066822271</v>
      </c>
      <c r="P4437" s="5">
        <v>35213.322626437533</v>
      </c>
      <c r="Q4437" s="5">
        <v>56069.347629295014</v>
      </c>
      <c r="R4437" s="5">
        <v>3311.4906988006405</v>
      </c>
    </row>
    <row r="4438" spans="9:18">
      <c r="I4438" s="4">
        <v>4423</v>
      </c>
      <c r="J4438" s="5">
        <v>14344.692898101612</v>
      </c>
      <c r="K4438" s="5">
        <v>9769.3659785458403</v>
      </c>
      <c r="L4438" s="5">
        <v>13358.459356674217</v>
      </c>
      <c r="M4438" s="5">
        <v>17542.15972125496</v>
      </c>
      <c r="N4438" s="5">
        <v>27833.630848857778</v>
      </c>
      <c r="O4438" s="5">
        <v>10270.120415297655</v>
      </c>
      <c r="P4438" s="5">
        <v>27708.613526855763</v>
      </c>
      <c r="Q4438" s="5">
        <v>48866.209623168346</v>
      </c>
      <c r="R4438" s="5">
        <v>91403.228438796665</v>
      </c>
    </row>
    <row r="4439" spans="9:18">
      <c r="I4439" s="4">
        <v>4424</v>
      </c>
      <c r="J4439" s="5">
        <v>12035.382213755307</v>
      </c>
      <c r="K4439" s="5">
        <v>13719.930466819731</v>
      </c>
      <c r="L4439" s="5">
        <v>18215.751370765771</v>
      </c>
      <c r="M4439" s="5">
        <v>20185.026038758231</v>
      </c>
      <c r="N4439" s="5">
        <v>21617.945168312468</v>
      </c>
      <c r="O4439" s="5">
        <v>25644.588869829797</v>
      </c>
      <c r="P4439" s="5">
        <v>20403.656304140692</v>
      </c>
      <c r="Q4439" s="5">
        <v>6386.5227360487288</v>
      </c>
      <c r="R4439" s="5">
        <v>50287.76786557267</v>
      </c>
    </row>
    <row r="4440" spans="9:18">
      <c r="I4440" s="4">
        <v>4425</v>
      </c>
      <c r="J4440" s="5">
        <v>14594.990625703947</v>
      </c>
      <c r="K4440" s="5">
        <v>14611.618478071941</v>
      </c>
      <c r="L4440" s="5">
        <v>27289.607394458035</v>
      </c>
      <c r="M4440" s="5">
        <v>31554.722481137964</v>
      </c>
      <c r="N4440" s="5">
        <v>15804.474686449519</v>
      </c>
      <c r="O4440" s="5">
        <v>10746.295275180995</v>
      </c>
      <c r="P4440" s="5">
        <v>12639.596794453437</v>
      </c>
      <c r="Q4440" s="5">
        <v>64585.328088516922</v>
      </c>
      <c r="R4440" s="5">
        <v>14051.647494499957</v>
      </c>
    </row>
    <row r="4441" spans="9:18">
      <c r="I4441" s="4">
        <v>4426</v>
      </c>
      <c r="J4441" s="5">
        <v>14017.326487344162</v>
      </c>
      <c r="K4441" s="5">
        <v>29672.680843304515</v>
      </c>
      <c r="L4441" s="5">
        <v>23760.785349782636</v>
      </c>
      <c r="M4441" s="5">
        <v>36301.422888051464</v>
      </c>
      <c r="N4441" s="5">
        <v>20718.434293991453</v>
      </c>
      <c r="O4441" s="5">
        <v>41800.463215706819</v>
      </c>
      <c r="P4441" s="5">
        <v>55152.110177667731</v>
      </c>
      <c r="Q4441" s="5">
        <v>20987.925664394581</v>
      </c>
      <c r="R4441" s="5">
        <v>50287.76786557267</v>
      </c>
    </row>
    <row r="4442" spans="9:18">
      <c r="I4442" s="4">
        <v>4427</v>
      </c>
      <c r="J4442" s="5">
        <v>26634.853073396614</v>
      </c>
      <c r="K4442" s="5">
        <v>14095.75230105142</v>
      </c>
      <c r="L4442" s="5">
        <v>14042.41908879921</v>
      </c>
      <c r="M4442" s="5">
        <v>14660.631931099009</v>
      </c>
      <c r="N4442" s="5">
        <v>32184.535272543482</v>
      </c>
      <c r="O4442" s="5">
        <v>20827.029306810669</v>
      </c>
      <c r="P4442" s="5">
        <v>10966.822219855034</v>
      </c>
      <c r="Q4442" s="5">
        <v>13099.063525342741</v>
      </c>
      <c r="R4442" s="5">
        <v>261393.32711858812</v>
      </c>
    </row>
    <row r="4443" spans="9:18">
      <c r="I4443" s="4">
        <v>4428</v>
      </c>
      <c r="J4443" s="5">
        <v>11843.28062342474</v>
      </c>
      <c r="K4443" s="5">
        <v>31910.762633549082</v>
      </c>
      <c r="L4443" s="5">
        <v>15922.087958863045</v>
      </c>
      <c r="M4443" s="5">
        <v>16500.222621933419</v>
      </c>
      <c r="N4443" s="5">
        <v>11788.341482962171</v>
      </c>
      <c r="O4443" s="5">
        <v>11282.178219986479</v>
      </c>
      <c r="P4443" s="5">
        <v>9826.8369575407578</v>
      </c>
      <c r="Q4443" s="5">
        <v>7349.2234634219121</v>
      </c>
      <c r="R4443" s="5">
        <v>31715.273557891396</v>
      </c>
    </row>
    <row r="4444" spans="9:18">
      <c r="I4444" s="4">
        <v>4429</v>
      </c>
      <c r="J4444" s="5">
        <v>15064.079707240266</v>
      </c>
      <c r="K4444" s="5">
        <v>34058.671324159091</v>
      </c>
      <c r="L4444" s="5">
        <v>17920.486090689363</v>
      </c>
      <c r="M4444" s="5">
        <v>11529.920007560097</v>
      </c>
      <c r="N4444" s="5">
        <v>15130.853682762778</v>
      </c>
      <c r="O4444" s="5">
        <v>8024.6340027919978</v>
      </c>
      <c r="P4444" s="5">
        <v>24349.301972630979</v>
      </c>
      <c r="Q4444" s="5">
        <v>48756.323642664109</v>
      </c>
      <c r="R4444" s="5">
        <v>7201.7586694681067</v>
      </c>
    </row>
    <row r="4445" spans="9:18">
      <c r="I4445" s="4">
        <v>4430</v>
      </c>
      <c r="J4445" s="5">
        <v>19467.17453557903</v>
      </c>
      <c r="K4445" s="5">
        <v>12423.491400404893</v>
      </c>
      <c r="L4445" s="5">
        <v>15300.182042823812</v>
      </c>
      <c r="M4445" s="5">
        <v>19151.339770278159</v>
      </c>
      <c r="N4445" s="5">
        <v>15786.177386596903</v>
      </c>
      <c r="O4445" s="5">
        <v>32474.063027682765</v>
      </c>
      <c r="P4445" s="5">
        <v>9826.8369575407578</v>
      </c>
      <c r="Q4445" s="5">
        <v>35525.432376048877</v>
      </c>
      <c r="R4445" s="5">
        <v>6681.1887184356683</v>
      </c>
    </row>
    <row r="4446" spans="9:18">
      <c r="I4446" s="4">
        <v>4431</v>
      </c>
      <c r="J4446" s="5">
        <v>13447.638004246244</v>
      </c>
      <c r="K4446" s="5">
        <v>37822.375317881044</v>
      </c>
      <c r="L4446" s="5">
        <v>13023.361770761438</v>
      </c>
      <c r="M4446" s="5">
        <v>13011.820191946215</v>
      </c>
      <c r="N4446" s="5">
        <v>12592.300437162297</v>
      </c>
      <c r="O4446" s="5">
        <v>9956.4031238965053</v>
      </c>
      <c r="P4446" s="5">
        <v>28537.545734403488</v>
      </c>
      <c r="Q4446" s="5">
        <v>42044.890065817184</v>
      </c>
      <c r="R4446" s="5">
        <v>2180.6148629084787</v>
      </c>
    </row>
    <row r="4447" spans="9:18">
      <c r="I4447" s="4">
        <v>4432</v>
      </c>
      <c r="J4447" s="5">
        <v>14594.990625703947</v>
      </c>
      <c r="K4447" s="5">
        <v>21958.925144875713</v>
      </c>
      <c r="L4447" s="5">
        <v>16106.634875163341</v>
      </c>
      <c r="M4447" s="5">
        <v>19097.39635881727</v>
      </c>
      <c r="N4447" s="5">
        <v>4770.4216775830728</v>
      </c>
      <c r="O4447" s="5">
        <v>10270.120415297655</v>
      </c>
      <c r="P4447" s="5">
        <v>21813.848941464526</v>
      </c>
      <c r="Q4447" s="5">
        <v>37497.234505125656</v>
      </c>
      <c r="R4447" s="5">
        <v>96845.299789249824</v>
      </c>
    </row>
    <row r="4448" spans="9:18">
      <c r="I4448" s="4">
        <v>4433</v>
      </c>
      <c r="J4448" s="5">
        <v>13045.114546182727</v>
      </c>
      <c r="K4448" s="5">
        <v>9739.7813029644258</v>
      </c>
      <c r="L4448" s="5">
        <v>16293.265064857471</v>
      </c>
      <c r="M4448" s="5">
        <v>12619.198742021435</v>
      </c>
      <c r="N4448" s="5">
        <v>20583.564383988036</v>
      </c>
      <c r="O4448" s="5">
        <v>20489.622805425737</v>
      </c>
      <c r="P4448" s="5">
        <v>10733.318076105543</v>
      </c>
      <c r="Q4448" s="5">
        <v>37802.358878968138</v>
      </c>
      <c r="R4448" s="5">
        <v>7784.2246210242874</v>
      </c>
    </row>
    <row r="4449" spans="9:18">
      <c r="I4449" s="4">
        <v>4434</v>
      </c>
      <c r="J4449" s="5">
        <v>34933.039312618188</v>
      </c>
      <c r="K4449" s="5">
        <v>12026.500118162745</v>
      </c>
      <c r="L4449" s="5">
        <v>21725.131459372977</v>
      </c>
      <c r="M4449" s="5">
        <v>23913.435663027711</v>
      </c>
      <c r="N4449" s="5">
        <v>14240.123545764454</v>
      </c>
      <c r="O4449" s="5">
        <v>4231.3144655921506</v>
      </c>
      <c r="P4449" s="5">
        <v>27373.102585108634</v>
      </c>
      <c r="Q4449" s="5">
        <v>43417.41805414496</v>
      </c>
      <c r="R4449" s="5">
        <v>302760.11878714536</v>
      </c>
    </row>
    <row r="4450" spans="9:18">
      <c r="I4450" s="4">
        <v>4435</v>
      </c>
      <c r="J4450" s="5">
        <v>14076.209333698853</v>
      </c>
      <c r="K4450" s="5">
        <v>13652.224205833634</v>
      </c>
      <c r="L4450" s="5">
        <v>11827.803406885578</v>
      </c>
      <c r="M4450" s="5">
        <v>18177.175180585615</v>
      </c>
      <c r="N4450" s="5">
        <v>21931.347680292267</v>
      </c>
      <c r="O4450" s="5">
        <v>33720.545907536376</v>
      </c>
      <c r="P4450" s="5">
        <v>32167.874670939738</v>
      </c>
      <c r="Q4450" s="5">
        <v>129470.11441833655</v>
      </c>
      <c r="R4450" s="5">
        <v>10885.018205103002</v>
      </c>
    </row>
    <row r="4451" spans="9:18">
      <c r="I4451" s="4">
        <v>4436</v>
      </c>
      <c r="J4451" s="5">
        <v>15873.12561080002</v>
      </c>
      <c r="K4451" s="5">
        <v>20887.307279900142</v>
      </c>
      <c r="L4451" s="5">
        <v>14649.721476864312</v>
      </c>
      <c r="M4451" s="5">
        <v>12619.198742021435</v>
      </c>
      <c r="N4451" s="5">
        <v>11952.903761138405</v>
      </c>
      <c r="O4451" s="5">
        <v>67717.30633712461</v>
      </c>
      <c r="P4451" s="5">
        <v>20403.656304140692</v>
      </c>
      <c r="Q4451" s="5">
        <v>43417.41805414496</v>
      </c>
      <c r="R4451" s="5">
        <v>8130.5639219412278</v>
      </c>
    </row>
    <row r="4452" spans="9:18">
      <c r="I4452" s="4">
        <v>4437</v>
      </c>
      <c r="J4452" s="5">
        <v>31053.540961463306</v>
      </c>
      <c r="K4452" s="5">
        <v>15347.101709242541</v>
      </c>
      <c r="L4452" s="5">
        <v>14146.191653372813</v>
      </c>
      <c r="M4452" s="5">
        <v>42282.977640783138</v>
      </c>
      <c r="N4452" s="5">
        <v>40377.252444397986</v>
      </c>
      <c r="O4452" s="5">
        <v>13519.384207850644</v>
      </c>
      <c r="P4452" s="5">
        <v>18862.487147419793</v>
      </c>
      <c r="Q4452" s="5">
        <v>30266.563414010914</v>
      </c>
      <c r="R4452" s="5">
        <v>2071.5141323269809</v>
      </c>
    </row>
    <row r="4453" spans="9:18">
      <c r="I4453" s="4">
        <v>4438</v>
      </c>
      <c r="J4453" s="5">
        <v>12452.764985867625</v>
      </c>
      <c r="K4453" s="5">
        <v>13331.01856102917</v>
      </c>
      <c r="L4453" s="5">
        <v>15161.007794371622</v>
      </c>
      <c r="M4453" s="5">
        <v>22961.931350882205</v>
      </c>
      <c r="N4453" s="5">
        <v>13511.694619545402</v>
      </c>
      <c r="O4453" s="5">
        <v>16572.483389649329</v>
      </c>
      <c r="P4453" s="5">
        <v>74840.036182179319</v>
      </c>
      <c r="Q4453" s="5">
        <v>9796.0979856104404</v>
      </c>
      <c r="R4453" s="5">
        <v>26783.439354489365</v>
      </c>
    </row>
    <row r="4454" spans="9:18">
      <c r="I4454" s="4">
        <v>4439</v>
      </c>
      <c r="J4454" s="5">
        <v>33627.941293959229</v>
      </c>
      <c r="K4454" s="5">
        <v>7753.2116148734594</v>
      </c>
      <c r="L4454" s="5">
        <v>13358.459356674217</v>
      </c>
      <c r="M4454" s="5">
        <v>12987.517521908694</v>
      </c>
      <c r="N4454" s="5">
        <v>23008.246229813707</v>
      </c>
      <c r="O4454" s="5">
        <v>20489.622805425737</v>
      </c>
      <c r="P4454" s="5">
        <v>27708.613526855763</v>
      </c>
      <c r="Q4454" s="5">
        <v>37277.391668005912</v>
      </c>
      <c r="R4454" s="5">
        <v>182942.88598316166</v>
      </c>
    </row>
    <row r="4455" spans="9:18">
      <c r="I4455" s="4">
        <v>4440</v>
      </c>
      <c r="J4455" s="5">
        <v>49463.324094345015</v>
      </c>
      <c r="K4455" s="5">
        <v>14021.934268028277</v>
      </c>
      <c r="L4455" s="5">
        <v>20698.842353987733</v>
      </c>
      <c r="M4455" s="5">
        <v>16881.579299055</v>
      </c>
      <c r="N4455" s="5">
        <v>20718.434293991453</v>
      </c>
      <c r="O4455" s="5">
        <v>24247.516962783076</v>
      </c>
      <c r="P4455" s="5">
        <v>66904.018529955298</v>
      </c>
      <c r="Q4455" s="5">
        <v>15623.622662102793</v>
      </c>
      <c r="R4455" s="5">
        <v>81423.874800517297</v>
      </c>
    </row>
    <row r="4456" spans="9:18">
      <c r="I4456" s="4">
        <v>4441</v>
      </c>
      <c r="J4456" s="5">
        <v>21150.169973104224</v>
      </c>
      <c r="K4456" s="5">
        <v>16873.752266014431</v>
      </c>
      <c r="L4456" s="5">
        <v>22412.045018675239</v>
      </c>
      <c r="M4456" s="5">
        <v>29834.240613550006</v>
      </c>
      <c r="N4456" s="5">
        <v>34295.124147811541</v>
      </c>
      <c r="O4456" s="5">
        <v>19430.912633256889</v>
      </c>
      <c r="P4456" s="5">
        <v>29283.825979394511</v>
      </c>
      <c r="Q4456" s="5">
        <v>20987.925664394581</v>
      </c>
      <c r="R4456" s="5">
        <v>29295.938844292672</v>
      </c>
    </row>
    <row r="4457" spans="9:18">
      <c r="I4457" s="4">
        <v>4442</v>
      </c>
      <c r="J4457" s="5">
        <v>11936.262457073821</v>
      </c>
      <c r="K4457" s="5">
        <v>18218.584572172625</v>
      </c>
      <c r="L4457" s="5">
        <v>15764.107424863063</v>
      </c>
      <c r="M4457" s="5">
        <v>22961.931350882205</v>
      </c>
      <c r="N4457" s="5">
        <v>11251.634703629026</v>
      </c>
      <c r="O4457" s="5">
        <v>13840.304699955392</v>
      </c>
      <c r="P4457" s="5">
        <v>16574.429708560569</v>
      </c>
      <c r="Q4457" s="5">
        <v>48756.323642664109</v>
      </c>
      <c r="R4457" s="5">
        <v>93933.045103013996</v>
      </c>
    </row>
    <row r="4458" spans="9:18">
      <c r="I4458" s="4">
        <v>4443</v>
      </c>
      <c r="J4458" s="5">
        <v>13595.404057849493</v>
      </c>
      <c r="K4458" s="5">
        <v>17128.860847126922</v>
      </c>
      <c r="L4458" s="5">
        <v>16014.071850041886</v>
      </c>
      <c r="M4458" s="5">
        <v>23449.501569180404</v>
      </c>
      <c r="N4458" s="5">
        <v>20583.564383988036</v>
      </c>
      <c r="O4458" s="5">
        <v>30656.031716467984</v>
      </c>
      <c r="P4458" s="5">
        <v>41657.50350099193</v>
      </c>
      <c r="Q4458" s="5">
        <v>2356.8990887111336</v>
      </c>
      <c r="R4458" s="5">
        <v>44707.053087992797</v>
      </c>
    </row>
    <row r="4459" spans="9:18">
      <c r="I4459" s="4">
        <v>4444</v>
      </c>
      <c r="J4459" s="5">
        <v>8580.4413740966302</v>
      </c>
      <c r="K4459" s="5">
        <v>15782.544184844044</v>
      </c>
      <c r="L4459" s="5">
        <v>16777.996633299583</v>
      </c>
      <c r="M4459" s="5">
        <v>32497.510405113037</v>
      </c>
      <c r="N4459" s="5">
        <v>39672.376281023731</v>
      </c>
      <c r="O4459" s="5">
        <v>24258.192244316608</v>
      </c>
      <c r="P4459" s="5">
        <v>48123.003747643132</v>
      </c>
      <c r="Q4459" s="5">
        <v>37073.980790337926</v>
      </c>
      <c r="R4459" s="5">
        <v>13258.538726001538</v>
      </c>
    </row>
    <row r="4460" spans="9:18">
      <c r="I4460" s="4">
        <v>4445</v>
      </c>
      <c r="J4460" s="5">
        <v>28085.9245102444</v>
      </c>
      <c r="K4460" s="5">
        <v>26110.948843472826</v>
      </c>
      <c r="L4460" s="5">
        <v>15471.738323660695</v>
      </c>
      <c r="M4460" s="5">
        <v>7334.8610818348589</v>
      </c>
      <c r="N4460" s="5">
        <v>23583.581287126868</v>
      </c>
      <c r="O4460" s="5">
        <v>51330.340277512776</v>
      </c>
      <c r="P4460" s="5">
        <v>13452.921824087563</v>
      </c>
      <c r="Q4460" s="5">
        <v>20987.925664394581</v>
      </c>
      <c r="R4460" s="5">
        <v>81423.874800517297</v>
      </c>
    </row>
    <row r="4461" spans="9:18">
      <c r="I4461" s="4">
        <v>4446</v>
      </c>
      <c r="J4461" s="5">
        <v>21717.214093683677</v>
      </c>
      <c r="K4461" s="5">
        <v>35488.449387009874</v>
      </c>
      <c r="L4461" s="5">
        <v>15832.5469007027</v>
      </c>
      <c r="M4461" s="5">
        <v>23454.775510296178</v>
      </c>
      <c r="N4461" s="5">
        <v>15130.853682762778</v>
      </c>
      <c r="O4461" s="5">
        <v>62082.6862081785</v>
      </c>
      <c r="P4461" s="5">
        <v>20403.656304140692</v>
      </c>
      <c r="Q4461" s="5">
        <v>17234.335939857254</v>
      </c>
      <c r="R4461" s="5">
        <v>12130.167062525341</v>
      </c>
    </row>
    <row r="4462" spans="9:18">
      <c r="I4462" s="4">
        <v>4447</v>
      </c>
      <c r="J4462" s="5">
        <v>12056.41843703942</v>
      </c>
      <c r="K4462" s="5">
        <v>17128.860847126922</v>
      </c>
      <c r="L4462" s="5">
        <v>15126.980926457318</v>
      </c>
      <c r="M4462" s="5">
        <v>13011.820191946215</v>
      </c>
      <c r="N4462" s="5">
        <v>14921.795973817481</v>
      </c>
      <c r="O4462" s="5">
        <v>24258.192244316608</v>
      </c>
      <c r="P4462" s="5">
        <v>38024.168395914428</v>
      </c>
      <c r="Q4462" s="5">
        <v>30266.563414010914</v>
      </c>
      <c r="R4462" s="5">
        <v>9913.4206865238284</v>
      </c>
    </row>
    <row r="4463" spans="9:18">
      <c r="I4463" s="4">
        <v>4448</v>
      </c>
      <c r="J4463" s="5">
        <v>23517.429992060665</v>
      </c>
      <c r="K4463" s="5">
        <v>16674.541027260992</v>
      </c>
      <c r="L4463" s="5">
        <v>15471.738323660695</v>
      </c>
      <c r="M4463" s="5">
        <v>13011.820191946215</v>
      </c>
      <c r="N4463" s="5">
        <v>11952.903761138405</v>
      </c>
      <c r="O4463" s="5">
        <v>25802.481365323994</v>
      </c>
      <c r="P4463" s="5">
        <v>5836.7810663002319</v>
      </c>
      <c r="Q4463" s="5">
        <v>16803.875627203233</v>
      </c>
      <c r="R4463" s="5">
        <v>14051.647494499957</v>
      </c>
    </row>
    <row r="4464" spans="9:18">
      <c r="I4464" s="4">
        <v>4449</v>
      </c>
      <c r="J4464" s="5">
        <v>15873.12561080002</v>
      </c>
      <c r="K4464" s="5">
        <v>43843.85059185313</v>
      </c>
      <c r="L4464" s="5">
        <v>25007.552172398639</v>
      </c>
      <c r="M4464" s="5">
        <v>7334.8610818348589</v>
      </c>
      <c r="N4464" s="5">
        <v>39406.658185292261</v>
      </c>
      <c r="O4464" s="5">
        <v>18637.945795127704</v>
      </c>
      <c r="P4464" s="5">
        <v>14327.191387816954</v>
      </c>
      <c r="Q4464" s="5">
        <v>43417.41805414496</v>
      </c>
      <c r="R4464" s="5">
        <v>90296.353221228885</v>
      </c>
    </row>
    <row r="4465" spans="9:18">
      <c r="I4465" s="4">
        <v>4450</v>
      </c>
      <c r="J4465" s="5">
        <v>14017.326487344162</v>
      </c>
      <c r="K4465" s="5">
        <v>16273.14570113692</v>
      </c>
      <c r="L4465" s="5">
        <v>27289.607394458035</v>
      </c>
      <c r="M4465" s="5">
        <v>10451.914120098167</v>
      </c>
      <c r="N4465" s="5">
        <v>21009.255892677338</v>
      </c>
      <c r="O4465" s="5">
        <v>8121.6248378263163</v>
      </c>
      <c r="P4465" s="5">
        <v>106091.28270624072</v>
      </c>
      <c r="Q4465" s="5">
        <v>9652.8114206999071</v>
      </c>
      <c r="R4465" s="5">
        <v>54594.567438884274</v>
      </c>
    </row>
    <row r="4466" spans="9:18">
      <c r="I4466" s="4">
        <v>4451</v>
      </c>
      <c r="J4466" s="5">
        <v>20768.286261788198</v>
      </c>
      <c r="K4466" s="5">
        <v>31910.762633549082</v>
      </c>
      <c r="L4466" s="5">
        <v>16577.562442697115</v>
      </c>
      <c r="M4466" s="5">
        <v>23908.621352410395</v>
      </c>
      <c r="N4466" s="5">
        <v>15804.474686449519</v>
      </c>
      <c r="O4466" s="5">
        <v>6199.3195463515376</v>
      </c>
      <c r="P4466" s="5">
        <v>41657.50350099193</v>
      </c>
      <c r="Q4466" s="5">
        <v>13214.632802255031</v>
      </c>
      <c r="R4466" s="5">
        <v>31715.273557891396</v>
      </c>
    </row>
    <row r="4467" spans="9:18">
      <c r="I4467" s="4">
        <v>4452</v>
      </c>
      <c r="J4467" s="5">
        <v>14344.692898101612</v>
      </c>
      <c r="K4467" s="5">
        <v>14878.52734402675</v>
      </c>
      <c r="L4467" s="5">
        <v>14175.160754078657</v>
      </c>
      <c r="M4467" s="5">
        <v>21913.431401527439</v>
      </c>
      <c r="N4467" s="5">
        <v>39672.376281023731</v>
      </c>
      <c r="O4467" s="5">
        <v>21930.527973988665</v>
      </c>
      <c r="P4467" s="5">
        <v>77603.711720266961</v>
      </c>
      <c r="Q4467" s="5">
        <v>35525.432376048877</v>
      </c>
      <c r="R4467" s="5">
        <v>23583.884732956092</v>
      </c>
    </row>
    <row r="4468" spans="9:18">
      <c r="I4468" s="4">
        <v>4453</v>
      </c>
      <c r="J4468" s="5">
        <v>34933.039312618188</v>
      </c>
      <c r="K4468" s="5">
        <v>11857.447519815871</v>
      </c>
      <c r="L4468" s="5">
        <v>14146.191653372813</v>
      </c>
      <c r="M4468" s="5">
        <v>37411.178129764201</v>
      </c>
      <c r="N4468" s="5">
        <v>9563.1256545330361</v>
      </c>
      <c r="O4468" s="5">
        <v>40942.522561879181</v>
      </c>
      <c r="P4468" s="5">
        <v>22708.601480587709</v>
      </c>
      <c r="Q4468" s="5">
        <v>53055.59182561023</v>
      </c>
      <c r="R4468" s="5">
        <v>261393.32711858812</v>
      </c>
    </row>
    <row r="4469" spans="9:18">
      <c r="I4469" s="4">
        <v>4454</v>
      </c>
      <c r="J4469" s="5">
        <v>14076.209333698853</v>
      </c>
      <c r="K4469" s="5">
        <v>11403.533194020869</v>
      </c>
      <c r="L4469" s="5">
        <v>19189.275558866306</v>
      </c>
      <c r="M4469" s="5">
        <v>30830.81083227017</v>
      </c>
      <c r="N4469" s="5">
        <v>11952.903761138405</v>
      </c>
      <c r="O4469" s="5">
        <v>32474.063027682765</v>
      </c>
      <c r="P4469" s="5">
        <v>9965.8330787532959</v>
      </c>
      <c r="Q4469" s="5">
        <v>54060.5331097772</v>
      </c>
      <c r="R4469" s="5">
        <v>114016.93673542379</v>
      </c>
    </row>
    <row r="4470" spans="9:18">
      <c r="I4470" s="4">
        <v>4455</v>
      </c>
      <c r="J4470" s="5">
        <v>22188.291830993156</v>
      </c>
      <c r="K4470" s="5">
        <v>11507.182177474708</v>
      </c>
      <c r="L4470" s="5">
        <v>21954.536591034263</v>
      </c>
      <c r="M4470" s="5">
        <v>12934.591863415189</v>
      </c>
      <c r="N4470" s="5">
        <v>32184.535272543482</v>
      </c>
      <c r="O4470" s="5">
        <v>49114.195066822271</v>
      </c>
      <c r="P4470" s="5">
        <v>27820.721938889761</v>
      </c>
      <c r="Q4470" s="5">
        <v>37802.358878968138</v>
      </c>
      <c r="R4470" s="5">
        <v>6360.7905155660001</v>
      </c>
    </row>
    <row r="4471" spans="9:18">
      <c r="I4471" s="4">
        <v>4456</v>
      </c>
      <c r="J4471" s="5">
        <v>15081.728672246438</v>
      </c>
      <c r="K4471" s="5">
        <v>9739.7813029644258</v>
      </c>
      <c r="L4471" s="5">
        <v>16017.890956041876</v>
      </c>
      <c r="M4471" s="5">
        <v>11860.862376247747</v>
      </c>
      <c r="N4471" s="5">
        <v>18410.937863650517</v>
      </c>
      <c r="O4471" s="5">
        <v>40942.522561879181</v>
      </c>
      <c r="P4471" s="5">
        <v>9965.8330787532959</v>
      </c>
      <c r="Q4471" s="5">
        <v>13214.632802255031</v>
      </c>
      <c r="R4471" s="5">
        <v>2071.5141323269809</v>
      </c>
    </row>
    <row r="4472" spans="9:18">
      <c r="I4472" s="4">
        <v>4457</v>
      </c>
      <c r="J4472" s="5">
        <v>14017.326487344162</v>
      </c>
      <c r="K4472" s="5">
        <v>15428.770955406064</v>
      </c>
      <c r="L4472" s="5">
        <v>13023.361770761438</v>
      </c>
      <c r="M4472" s="5">
        <v>30785.663999045999</v>
      </c>
      <c r="N4472" s="5">
        <v>40377.252444397986</v>
      </c>
      <c r="O4472" s="5">
        <v>10746.295275180995</v>
      </c>
      <c r="P4472" s="5">
        <v>44816.412248582856</v>
      </c>
      <c r="Q4472" s="5">
        <v>27789.973552634947</v>
      </c>
      <c r="R4472" s="5">
        <v>3311.4906988006405</v>
      </c>
    </row>
    <row r="4473" spans="9:18">
      <c r="I4473" s="4">
        <v>4458</v>
      </c>
      <c r="J4473" s="5">
        <v>11116.191595722205</v>
      </c>
      <c r="K4473" s="5">
        <v>35705.595198125673</v>
      </c>
      <c r="L4473" s="5">
        <v>19224.583269019437</v>
      </c>
      <c r="M4473" s="5">
        <v>18691.941789825862</v>
      </c>
      <c r="N4473" s="5">
        <v>14335.478134989447</v>
      </c>
      <c r="O4473" s="5">
        <v>20827.029306810669</v>
      </c>
      <c r="P4473" s="5">
        <v>10966.822219855034</v>
      </c>
      <c r="Q4473" s="5">
        <v>148345.62878828164</v>
      </c>
      <c r="R4473" s="5">
        <v>8130.5639219412278</v>
      </c>
    </row>
    <row r="4474" spans="9:18">
      <c r="I4474" s="4">
        <v>4459</v>
      </c>
      <c r="J4474" s="5">
        <v>9405.362381917912</v>
      </c>
      <c r="K4474" s="5">
        <v>14674.169276244838</v>
      </c>
      <c r="L4474" s="5">
        <v>15471.738323660695</v>
      </c>
      <c r="M4474" s="5">
        <v>33862.836621974391</v>
      </c>
      <c r="N4474" s="5">
        <v>23583.581287126868</v>
      </c>
      <c r="O4474" s="5">
        <v>10676.618215263648</v>
      </c>
      <c r="P4474" s="5">
        <v>31127.87225845682</v>
      </c>
      <c r="Q4474" s="5">
        <v>19315.033835554255</v>
      </c>
      <c r="R4474" s="5">
        <v>14706.681111065362</v>
      </c>
    </row>
    <row r="4475" spans="9:18">
      <c r="I4475" s="4">
        <v>4460</v>
      </c>
      <c r="J4475" s="5">
        <v>18650.249281571734</v>
      </c>
      <c r="K4475" s="5">
        <v>13559.080695844099</v>
      </c>
      <c r="L4475" s="5">
        <v>17716.90539191998</v>
      </c>
      <c r="M4475" s="5">
        <v>21272.00214469912</v>
      </c>
      <c r="N4475" s="5">
        <v>4770.4216775830728</v>
      </c>
      <c r="O4475" s="5">
        <v>66253.993323243907</v>
      </c>
      <c r="P4475" s="5">
        <v>38771.994792132391</v>
      </c>
      <c r="Q4475" s="5">
        <v>28797.29222718185</v>
      </c>
      <c r="R4475" s="5">
        <v>54594.567438884274</v>
      </c>
    </row>
    <row r="4476" spans="9:18">
      <c r="I4476" s="4">
        <v>4461</v>
      </c>
      <c r="J4476" s="5">
        <v>13918.242013140338</v>
      </c>
      <c r="K4476" s="5">
        <v>15631.937142257386</v>
      </c>
      <c r="L4476" s="5">
        <v>14610.165745300763</v>
      </c>
      <c r="M4476" s="5">
        <v>20185.026038758231</v>
      </c>
      <c r="N4476" s="5">
        <v>11751.639947035985</v>
      </c>
      <c r="O4476" s="5">
        <v>27195.510785031525</v>
      </c>
      <c r="P4476" s="5">
        <v>44646.134934589521</v>
      </c>
      <c r="Q4476" s="5">
        <v>22145.301831504508</v>
      </c>
      <c r="R4476" s="5">
        <v>181970.23111012415</v>
      </c>
    </row>
    <row r="4477" spans="9:18">
      <c r="I4477" s="4">
        <v>4462</v>
      </c>
      <c r="J4477" s="5">
        <v>22370.105711697011</v>
      </c>
      <c r="K4477" s="5">
        <v>14136.873097602549</v>
      </c>
      <c r="L4477" s="5">
        <v>21428.663623484812</v>
      </c>
      <c r="M4477" s="5">
        <v>16842.379179328669</v>
      </c>
      <c r="N4477" s="5">
        <v>18367.429489032103</v>
      </c>
      <c r="O4477" s="5">
        <v>28431.436490368542</v>
      </c>
      <c r="P4477" s="5">
        <v>38024.168395914428</v>
      </c>
      <c r="Q4477" s="5">
        <v>17153.530968450712</v>
      </c>
      <c r="R4477" s="5">
        <v>35232.418639121184</v>
      </c>
    </row>
    <row r="4478" spans="9:18">
      <c r="I4478" s="4">
        <v>4463</v>
      </c>
      <c r="J4478" s="5">
        <v>23517.429992060665</v>
      </c>
      <c r="K4478" s="5">
        <v>23327.217259521742</v>
      </c>
      <c r="L4478" s="5">
        <v>16472.138192556791</v>
      </c>
      <c r="M4478" s="5">
        <v>17116.951435661951</v>
      </c>
      <c r="N4478" s="5">
        <v>27841.916587595573</v>
      </c>
      <c r="O4478" s="5">
        <v>24247.516962783076</v>
      </c>
      <c r="P4478" s="5">
        <v>9047.5556949992188</v>
      </c>
      <c r="Q4478" s="5">
        <v>59134.059519022907</v>
      </c>
      <c r="R4478" s="5">
        <v>20303.08745527079</v>
      </c>
    </row>
    <row r="4479" spans="9:18">
      <c r="I4479" s="4">
        <v>4464</v>
      </c>
      <c r="J4479" s="5">
        <v>17592.832480262863</v>
      </c>
      <c r="K4479" s="5">
        <v>95171.967522309933</v>
      </c>
      <c r="L4479" s="5">
        <v>17693.864646288712</v>
      </c>
      <c r="M4479" s="5">
        <v>22815.60259636537</v>
      </c>
      <c r="N4479" s="5">
        <v>9989.086510768735</v>
      </c>
      <c r="O4479" s="5">
        <v>27195.510785031525</v>
      </c>
      <c r="P4479" s="5">
        <v>10532.667493814919</v>
      </c>
      <c r="Q4479" s="5">
        <v>37101.531383212743</v>
      </c>
      <c r="R4479" s="5">
        <v>3311.4906988006405</v>
      </c>
    </row>
    <row r="4480" spans="9:18">
      <c r="I4480" s="4">
        <v>4465</v>
      </c>
      <c r="J4480" s="5">
        <v>16305.770155972396</v>
      </c>
      <c r="K4480" s="5">
        <v>30552.499930043898</v>
      </c>
      <c r="L4480" s="5">
        <v>14344.859750762502</v>
      </c>
      <c r="M4480" s="5">
        <v>15586.009710351766</v>
      </c>
      <c r="N4480" s="5">
        <v>25549.748582175915</v>
      </c>
      <c r="O4480" s="5">
        <v>18637.945795127704</v>
      </c>
      <c r="P4480" s="5">
        <v>35213.322626437533</v>
      </c>
      <c r="Q4480" s="5">
        <v>71213.172792303565</v>
      </c>
      <c r="R4480" s="5">
        <v>31715.273557891396</v>
      </c>
    </row>
    <row r="4481" spans="9:18">
      <c r="I4481" s="4">
        <v>4466</v>
      </c>
      <c r="J4481" s="5">
        <v>33627.941293959229</v>
      </c>
      <c r="K4481" s="5">
        <v>32294.121255311245</v>
      </c>
      <c r="L4481" s="5">
        <v>16577.562442697115</v>
      </c>
      <c r="M4481" s="5">
        <v>7334.8610818348589</v>
      </c>
      <c r="N4481" s="5">
        <v>11751.639947035985</v>
      </c>
      <c r="O4481" s="5">
        <v>19430.912633256889</v>
      </c>
      <c r="P4481" s="5">
        <v>5735.6883097179207</v>
      </c>
      <c r="Q4481" s="5">
        <v>52421.574537857021</v>
      </c>
      <c r="R4481" s="5">
        <v>2071.5141323269809</v>
      </c>
    </row>
    <row r="4482" spans="9:18">
      <c r="I4482" s="4">
        <v>4467</v>
      </c>
      <c r="J4482" s="5">
        <v>14710.037865351254</v>
      </c>
      <c r="K4482" s="5">
        <v>15428.770955406064</v>
      </c>
      <c r="L4482" s="5">
        <v>15923.549351835489</v>
      </c>
      <c r="M4482" s="5">
        <v>16842.379179328669</v>
      </c>
      <c r="N4482" s="5">
        <v>24314.043643333731</v>
      </c>
      <c r="O4482" s="5">
        <v>59207.798737851255</v>
      </c>
      <c r="P4482" s="5">
        <v>9482.0186426688688</v>
      </c>
      <c r="Q4482" s="5">
        <v>22483.395143121877</v>
      </c>
      <c r="R4482" s="5">
        <v>33290.909836056817</v>
      </c>
    </row>
    <row r="4483" spans="9:18">
      <c r="I4483" s="4">
        <v>4468</v>
      </c>
      <c r="J4483" s="5">
        <v>49463.324094345015</v>
      </c>
      <c r="K4483" s="5">
        <v>7753.2116148734594</v>
      </c>
      <c r="L4483" s="5">
        <v>15300.182042823812</v>
      </c>
      <c r="M4483" s="5">
        <v>31554.722481137964</v>
      </c>
      <c r="N4483" s="5">
        <v>23998.040874392525</v>
      </c>
      <c r="O4483" s="5">
        <v>67717.30633712461</v>
      </c>
      <c r="P4483" s="5">
        <v>14327.191387816954</v>
      </c>
      <c r="Q4483" s="5">
        <v>31855.809428519857</v>
      </c>
      <c r="R4483" s="5">
        <v>24722.972470599001</v>
      </c>
    </row>
    <row r="4484" spans="9:18">
      <c r="I4484" s="4">
        <v>4469</v>
      </c>
      <c r="J4484" s="5">
        <v>31053.540961463306</v>
      </c>
      <c r="K4484" s="5">
        <v>11149.572204897504</v>
      </c>
      <c r="L4484" s="5">
        <v>14364.472927446199</v>
      </c>
      <c r="M4484" s="5">
        <v>21833.004790208965</v>
      </c>
      <c r="N4484" s="5">
        <v>20718.434293991453</v>
      </c>
      <c r="O4484" s="5">
        <v>33720.545907536376</v>
      </c>
      <c r="P4484" s="5">
        <v>28537.545734403488</v>
      </c>
      <c r="Q4484" s="5">
        <v>20987.925664394581</v>
      </c>
      <c r="R4484" s="5">
        <v>7394.6358885760465</v>
      </c>
    </row>
    <row r="4485" spans="9:18">
      <c r="I4485" s="4">
        <v>4470</v>
      </c>
      <c r="J4485" s="5">
        <v>16156.372629961115</v>
      </c>
      <c r="K4485" s="5">
        <v>14854.898507619706</v>
      </c>
      <c r="L4485" s="5">
        <v>15746.942257105531</v>
      </c>
      <c r="M4485" s="5">
        <v>11860.862376247747</v>
      </c>
      <c r="N4485" s="5">
        <v>40377.252444397986</v>
      </c>
      <c r="O4485" s="5">
        <v>24258.192244316608</v>
      </c>
      <c r="P4485" s="5">
        <v>17737.38315098183</v>
      </c>
      <c r="Q4485" s="5">
        <v>37073.980790337926</v>
      </c>
      <c r="R4485" s="5">
        <v>39727.513802035661</v>
      </c>
    </row>
    <row r="4486" spans="9:18">
      <c r="I4486" s="4">
        <v>4471</v>
      </c>
      <c r="J4486" s="5">
        <v>16710.807721801892</v>
      </c>
      <c r="K4486" s="5">
        <v>9739.7813029644258</v>
      </c>
      <c r="L4486" s="5">
        <v>14691.846656953887</v>
      </c>
      <c r="M4486" s="5">
        <v>25580.243606220469</v>
      </c>
      <c r="N4486" s="5">
        <v>12523.573732460784</v>
      </c>
      <c r="O4486" s="5">
        <v>13613.378495715853</v>
      </c>
      <c r="P4486" s="5">
        <v>10180.109839011631</v>
      </c>
      <c r="Q4486" s="5">
        <v>30266.563414010914</v>
      </c>
      <c r="R4486" s="5">
        <v>51358.6267760993</v>
      </c>
    </row>
    <row r="4487" spans="9:18">
      <c r="I4487" s="4">
        <v>4472</v>
      </c>
      <c r="J4487" s="5">
        <v>17592.832480262863</v>
      </c>
      <c r="K4487" s="5">
        <v>16952.949313901812</v>
      </c>
      <c r="L4487" s="5">
        <v>16071.478531535273</v>
      </c>
      <c r="M4487" s="5">
        <v>32751.734100446065</v>
      </c>
      <c r="N4487" s="5">
        <v>23583.581287126868</v>
      </c>
      <c r="O4487" s="5">
        <v>6199.3195463515376</v>
      </c>
      <c r="P4487" s="5">
        <v>32155.527541400057</v>
      </c>
      <c r="Q4487" s="5">
        <v>37802.358878968138</v>
      </c>
      <c r="R4487" s="5">
        <v>34970.397641695177</v>
      </c>
    </row>
    <row r="4488" spans="9:18">
      <c r="I4488" s="4">
        <v>4473</v>
      </c>
      <c r="J4488" s="5">
        <v>11116.191595722205</v>
      </c>
      <c r="K4488" s="5">
        <v>11149.572204897504</v>
      </c>
      <c r="L4488" s="5">
        <v>24256.352541181568</v>
      </c>
      <c r="M4488" s="5">
        <v>23913.435663027711</v>
      </c>
      <c r="N4488" s="5">
        <v>45581.602064432409</v>
      </c>
      <c r="O4488" s="5">
        <v>10746.295275180995</v>
      </c>
      <c r="P4488" s="5">
        <v>32155.527541400057</v>
      </c>
      <c r="Q4488" s="5">
        <v>8502.450657922871</v>
      </c>
      <c r="R4488" s="5">
        <v>8720.6503563381029</v>
      </c>
    </row>
    <row r="4489" spans="9:18">
      <c r="I4489" s="4">
        <v>4474</v>
      </c>
      <c r="J4489" s="5">
        <v>12056.41843703942</v>
      </c>
      <c r="K4489" s="5">
        <v>14095.75230105142</v>
      </c>
      <c r="L4489" s="5">
        <v>15471.738323660695</v>
      </c>
      <c r="M4489" s="5">
        <v>14660.631931099009</v>
      </c>
      <c r="N4489" s="5">
        <v>20558.672182394013</v>
      </c>
      <c r="O4489" s="5">
        <v>9869.5889207969612</v>
      </c>
      <c r="P4489" s="5">
        <v>21933.779100635442</v>
      </c>
      <c r="Q4489" s="5">
        <v>64585.328088516922</v>
      </c>
      <c r="R4489" s="5">
        <v>12194.45251033065</v>
      </c>
    </row>
    <row r="4490" spans="9:18">
      <c r="I4490" s="4">
        <v>4475</v>
      </c>
      <c r="J4490" s="5">
        <v>15130.594750069789</v>
      </c>
      <c r="K4490" s="5">
        <v>7753.2116148734594</v>
      </c>
      <c r="L4490" s="5">
        <v>29265.217478369766</v>
      </c>
      <c r="M4490" s="5">
        <v>26477.996319655329</v>
      </c>
      <c r="N4490" s="5">
        <v>16148.901635865295</v>
      </c>
      <c r="O4490" s="5">
        <v>24369.28567093279</v>
      </c>
      <c r="P4490" s="5">
        <v>40377.463755170742</v>
      </c>
      <c r="Q4490" s="5">
        <v>19541.409060825732</v>
      </c>
      <c r="R4490" s="5">
        <v>122304.95880137496</v>
      </c>
    </row>
    <row r="4491" spans="9:18">
      <c r="I4491" s="4">
        <v>4476</v>
      </c>
      <c r="J4491" s="5">
        <v>31559.699247539775</v>
      </c>
      <c r="K4491" s="5">
        <v>23543.914024953676</v>
      </c>
      <c r="L4491" s="5">
        <v>14691.846656953887</v>
      </c>
      <c r="M4491" s="5">
        <v>16510.442870615672</v>
      </c>
      <c r="N4491" s="5">
        <v>22511.351424689696</v>
      </c>
      <c r="O4491" s="5">
        <v>16462.170789592048</v>
      </c>
      <c r="P4491" s="5">
        <v>83536.241167211992</v>
      </c>
      <c r="Q4491" s="5">
        <v>8474.2603471579441</v>
      </c>
      <c r="R4491" s="5">
        <v>122304.95880137496</v>
      </c>
    </row>
    <row r="4492" spans="9:18">
      <c r="I4492" s="4">
        <v>4477</v>
      </c>
      <c r="J4492" s="5">
        <v>14680.308400328413</v>
      </c>
      <c r="K4492" s="5">
        <v>56656.842992470461</v>
      </c>
      <c r="L4492" s="5">
        <v>27289.607394458035</v>
      </c>
      <c r="M4492" s="5">
        <v>23067.94260629595</v>
      </c>
      <c r="N4492" s="5">
        <v>57711.498171893618</v>
      </c>
      <c r="O4492" s="5">
        <v>9320.7026593487881</v>
      </c>
      <c r="P4492" s="5">
        <v>9047.5556949992188</v>
      </c>
      <c r="Q4492" s="5">
        <v>8502.450657922871</v>
      </c>
      <c r="R4492" s="5">
        <v>62674.060343500474</v>
      </c>
    </row>
    <row r="4493" spans="9:18">
      <c r="I4493" s="4">
        <v>4478</v>
      </c>
      <c r="J4493" s="5">
        <v>12888.204629170894</v>
      </c>
      <c r="K4493" s="5">
        <v>22732.797143159998</v>
      </c>
      <c r="L4493" s="5">
        <v>27289.607394458035</v>
      </c>
      <c r="M4493" s="5">
        <v>36301.422888051464</v>
      </c>
      <c r="N4493" s="5">
        <v>42744.618431291936</v>
      </c>
      <c r="O4493" s="5">
        <v>49114.195066822271</v>
      </c>
      <c r="P4493" s="5">
        <v>54923.423457863879</v>
      </c>
      <c r="Q4493" s="5">
        <v>31618.396253255491</v>
      </c>
      <c r="R4493" s="5">
        <v>17991.870496434763</v>
      </c>
    </row>
    <row r="4494" spans="9:18">
      <c r="I4494" s="4">
        <v>4479</v>
      </c>
      <c r="J4494" s="5">
        <v>15081.728672246438</v>
      </c>
      <c r="K4494" s="5">
        <v>14017.262946034314</v>
      </c>
      <c r="L4494" s="5">
        <v>18634.523182776735</v>
      </c>
      <c r="M4494" s="5">
        <v>21833.004790208965</v>
      </c>
      <c r="N4494" s="5">
        <v>48565.498233359976</v>
      </c>
      <c r="O4494" s="5">
        <v>3171.3006415671193</v>
      </c>
      <c r="P4494" s="5">
        <v>8662.4232458952465</v>
      </c>
      <c r="Q4494" s="5">
        <v>29432.473148002948</v>
      </c>
      <c r="R4494" s="5">
        <v>8720.6503563381029</v>
      </c>
    </row>
    <row r="4495" spans="9:18">
      <c r="I4495" s="4">
        <v>4480</v>
      </c>
      <c r="J4495" s="5">
        <v>16088.430030489333</v>
      </c>
      <c r="K4495" s="5">
        <v>8124.7965732661823</v>
      </c>
      <c r="L4495" s="5">
        <v>25007.552172398639</v>
      </c>
      <c r="M4495" s="5">
        <v>32497.510405113037</v>
      </c>
      <c r="N4495" s="5">
        <v>24769.339976495565</v>
      </c>
      <c r="O4495" s="5">
        <v>9869.5889207969612</v>
      </c>
      <c r="P4495" s="5">
        <v>9633.1652908310007</v>
      </c>
      <c r="Q4495" s="5">
        <v>148345.62878828164</v>
      </c>
      <c r="R4495" s="5">
        <v>8130.5639219412278</v>
      </c>
    </row>
    <row r="4496" spans="9:18">
      <c r="I4496" s="4">
        <v>4481</v>
      </c>
      <c r="J4496" s="5">
        <v>13918.242013140338</v>
      </c>
      <c r="K4496" s="5">
        <v>61827.107730316675</v>
      </c>
      <c r="L4496" s="5">
        <v>16616.161224349555</v>
      </c>
      <c r="M4496" s="5">
        <v>20185.026038758231</v>
      </c>
      <c r="N4496" s="5">
        <v>25549.748582175915</v>
      </c>
      <c r="O4496" s="5">
        <v>8024.6340027919978</v>
      </c>
      <c r="P4496" s="5">
        <v>9047.5556949992188</v>
      </c>
      <c r="Q4496" s="5">
        <v>56069.347629295014</v>
      </c>
      <c r="R4496" s="5">
        <v>41056.152565483346</v>
      </c>
    </row>
    <row r="4497" spans="9:18">
      <c r="I4497" s="4">
        <v>4482</v>
      </c>
      <c r="J4497" s="5">
        <v>14017.326487344162</v>
      </c>
      <c r="K4497" s="5">
        <v>21527.93129974293</v>
      </c>
      <c r="L4497" s="5">
        <v>15664.99858445921</v>
      </c>
      <c r="M4497" s="5">
        <v>17349.963215818931</v>
      </c>
      <c r="N4497" s="5">
        <v>23283.854578052265</v>
      </c>
      <c r="O4497" s="5">
        <v>27062.73412298776</v>
      </c>
      <c r="P4497" s="5">
        <v>33500.490132682797</v>
      </c>
      <c r="Q4497" s="5">
        <v>28797.29222718185</v>
      </c>
      <c r="R4497" s="5">
        <v>19133.693426869788</v>
      </c>
    </row>
    <row r="4498" spans="9:18">
      <c r="I4498" s="4">
        <v>4483</v>
      </c>
      <c r="J4498" s="5">
        <v>20768.286261788198</v>
      </c>
      <c r="K4498" s="5">
        <v>17128.860847126922</v>
      </c>
      <c r="L4498" s="5">
        <v>15487.970507365942</v>
      </c>
      <c r="M4498" s="5">
        <v>18879.640760542785</v>
      </c>
      <c r="N4498" s="5">
        <v>28426.778914975595</v>
      </c>
      <c r="O4498" s="5">
        <v>25604.597681740845</v>
      </c>
      <c r="P4498" s="5">
        <v>26541.896041444568</v>
      </c>
      <c r="Q4498" s="5">
        <v>28797.29222718185</v>
      </c>
      <c r="R4498" s="5">
        <v>50287.76786557267</v>
      </c>
    </row>
    <row r="4499" spans="9:18">
      <c r="I4499" s="4">
        <v>4484</v>
      </c>
      <c r="J4499" s="5">
        <v>17679.321624063952</v>
      </c>
      <c r="K4499" s="5">
        <v>15428.770955406064</v>
      </c>
      <c r="L4499" s="5">
        <v>15764.107424863063</v>
      </c>
      <c r="M4499" s="5">
        <v>20185.026038758231</v>
      </c>
      <c r="N4499" s="5">
        <v>51261.622558090799</v>
      </c>
      <c r="O4499" s="5">
        <v>51330.340277512776</v>
      </c>
      <c r="P4499" s="5">
        <v>41657.50350099193</v>
      </c>
      <c r="Q4499" s="5">
        <v>15623.622662102793</v>
      </c>
      <c r="R4499" s="5">
        <v>33290.909836056817</v>
      </c>
    </row>
    <row r="4500" spans="9:18">
      <c r="I4500" s="4">
        <v>4485</v>
      </c>
      <c r="J4500" s="5">
        <v>14594.990625703947</v>
      </c>
      <c r="K4500" s="5">
        <v>11857.447519815871</v>
      </c>
      <c r="L4500" s="5">
        <v>16071.478531535273</v>
      </c>
      <c r="M4500" s="5">
        <v>29058.117767351498</v>
      </c>
      <c r="N4500" s="5">
        <v>6130.3882288404347</v>
      </c>
      <c r="O4500" s="5">
        <v>15124.35050053727</v>
      </c>
      <c r="P4500" s="5">
        <v>55152.110177667731</v>
      </c>
      <c r="Q4500" s="5">
        <v>17493.456269945855</v>
      </c>
      <c r="R4500" s="5">
        <v>8046.7106309763258</v>
      </c>
    </row>
    <row r="4501" spans="9:18">
      <c r="I4501" s="4">
        <v>4486</v>
      </c>
      <c r="J4501" s="5">
        <v>16305.770155972396</v>
      </c>
      <c r="K4501" s="5">
        <v>21958.925144875713</v>
      </c>
      <c r="L4501" s="5">
        <v>15126.980926457318</v>
      </c>
      <c r="M4501" s="5">
        <v>13414.385151739983</v>
      </c>
      <c r="N4501" s="5">
        <v>39406.658185292261</v>
      </c>
      <c r="O4501" s="5">
        <v>15124.35050053727</v>
      </c>
      <c r="P4501" s="5">
        <v>77603.711720266961</v>
      </c>
      <c r="Q4501" s="5">
        <v>7457.1844090365566</v>
      </c>
      <c r="R4501" s="5">
        <v>40368.364083205248</v>
      </c>
    </row>
    <row r="4502" spans="9:18">
      <c r="I4502" s="4">
        <v>4487</v>
      </c>
      <c r="J4502" s="5">
        <v>8580.4413740966302</v>
      </c>
      <c r="K4502" s="5">
        <v>16132.555399908759</v>
      </c>
      <c r="L4502" s="5">
        <v>17482.478480142941</v>
      </c>
      <c r="M4502" s="5">
        <v>41403.687663920646</v>
      </c>
      <c r="N4502" s="5">
        <v>35826.921212852278</v>
      </c>
      <c r="O4502" s="5">
        <v>31172.963108652857</v>
      </c>
      <c r="P4502" s="5">
        <v>8877.9712092977989</v>
      </c>
      <c r="Q4502" s="5">
        <v>27018.509959127641</v>
      </c>
      <c r="R4502" s="5">
        <v>16039.216896723072</v>
      </c>
    </row>
    <row r="4503" spans="9:18">
      <c r="I4503" s="4">
        <v>4488</v>
      </c>
      <c r="J4503" s="5">
        <v>21888.821432026474</v>
      </c>
      <c r="K4503" s="5">
        <v>35705.595198125673</v>
      </c>
      <c r="L4503" s="5">
        <v>22319.409576580376</v>
      </c>
      <c r="M4503" s="5">
        <v>23067.94260629595</v>
      </c>
      <c r="N4503" s="5">
        <v>13909.728487455486</v>
      </c>
      <c r="O4503" s="5">
        <v>13613.378495715853</v>
      </c>
      <c r="P4503" s="5">
        <v>32155.527541400057</v>
      </c>
      <c r="Q4503" s="5">
        <v>9652.8114206999071</v>
      </c>
      <c r="R4503" s="5">
        <v>18720.450716365784</v>
      </c>
    </row>
    <row r="4504" spans="9:18">
      <c r="I4504" s="4">
        <v>4489</v>
      </c>
      <c r="J4504" s="5">
        <v>16145.071869702888</v>
      </c>
      <c r="K4504" s="5">
        <v>22732.797143159998</v>
      </c>
      <c r="L4504" s="5">
        <v>22162.138529251199</v>
      </c>
      <c r="M4504" s="5">
        <v>41698.977215629871</v>
      </c>
      <c r="N4504" s="5">
        <v>34295.124147811541</v>
      </c>
      <c r="O4504" s="5">
        <v>10676.618215263648</v>
      </c>
      <c r="P4504" s="5">
        <v>9047.5556949992188</v>
      </c>
      <c r="Q4504" s="5">
        <v>68168.482468129529</v>
      </c>
      <c r="R4504" s="5">
        <v>62674.060343500474</v>
      </c>
    </row>
    <row r="4505" spans="9:18">
      <c r="I4505" s="4">
        <v>4490</v>
      </c>
      <c r="J4505" s="5">
        <v>15352.465904292809</v>
      </c>
      <c r="K4505" s="5">
        <v>15631.937142257386</v>
      </c>
      <c r="L4505" s="5">
        <v>15746.942257105531</v>
      </c>
      <c r="M4505" s="5">
        <v>36301.422888051464</v>
      </c>
      <c r="N4505" s="5">
        <v>16418.492928415813</v>
      </c>
      <c r="O4505" s="5">
        <v>9708.4497800977806</v>
      </c>
      <c r="P4505" s="5">
        <v>46514.467673254068</v>
      </c>
      <c r="Q4505" s="5">
        <v>48756.323642664109</v>
      </c>
      <c r="R4505" s="5">
        <v>123773.40402252052</v>
      </c>
    </row>
    <row r="4506" spans="9:18">
      <c r="I4506" s="4">
        <v>4491</v>
      </c>
      <c r="J4506" s="5">
        <v>15554.996700302558</v>
      </c>
      <c r="K4506" s="5">
        <v>16952.949313901812</v>
      </c>
      <c r="L4506" s="5">
        <v>15300.182042823812</v>
      </c>
      <c r="M4506" s="5">
        <v>9623.0342442006167</v>
      </c>
      <c r="N4506" s="5">
        <v>24769.339976495565</v>
      </c>
      <c r="O4506" s="5">
        <v>30608.431994348266</v>
      </c>
      <c r="P4506" s="5">
        <v>106091.28270624072</v>
      </c>
      <c r="Q4506" s="5">
        <v>59964.86015574776</v>
      </c>
      <c r="R4506" s="5">
        <v>50287.76786557267</v>
      </c>
    </row>
    <row r="4507" spans="9:18">
      <c r="I4507" s="4">
        <v>4492</v>
      </c>
      <c r="J4507" s="5">
        <v>15417.870921574262</v>
      </c>
      <c r="K4507" s="5">
        <v>34164.842952759042</v>
      </c>
      <c r="L4507" s="5">
        <v>19189.275558866306</v>
      </c>
      <c r="M4507" s="5">
        <v>18816.787977140237</v>
      </c>
      <c r="N4507" s="5">
        <v>11788.341482962171</v>
      </c>
      <c r="O4507" s="5">
        <v>13966.178986479143</v>
      </c>
      <c r="P4507" s="5">
        <v>29283.825979394511</v>
      </c>
      <c r="Q4507" s="5">
        <v>19315.033835554255</v>
      </c>
      <c r="R4507" s="5">
        <v>24722.972470599001</v>
      </c>
    </row>
    <row r="4508" spans="9:18">
      <c r="I4508" s="4">
        <v>4493</v>
      </c>
      <c r="J4508" s="5">
        <v>14017.326487344162</v>
      </c>
      <c r="K4508" s="5">
        <v>16665.1498926479</v>
      </c>
      <c r="L4508" s="5">
        <v>17243.440968229323</v>
      </c>
      <c r="M4508" s="5">
        <v>13022.686998540772</v>
      </c>
      <c r="N4508" s="5">
        <v>26152.705108198839</v>
      </c>
      <c r="O4508" s="5">
        <v>11282.178219986479</v>
      </c>
      <c r="P4508" s="5">
        <v>10966.822219855034</v>
      </c>
      <c r="Q4508" s="5">
        <v>27018.509959127641</v>
      </c>
      <c r="R4508" s="5">
        <v>10885.018205103002</v>
      </c>
    </row>
    <row r="4509" spans="9:18">
      <c r="I4509" s="4">
        <v>4494</v>
      </c>
      <c r="J4509" s="5">
        <v>16511.332839561353</v>
      </c>
      <c r="K4509" s="5">
        <v>17128.860847126922</v>
      </c>
      <c r="L4509" s="5">
        <v>16472.138192556791</v>
      </c>
      <c r="M4509" s="5">
        <v>32751.734100446065</v>
      </c>
      <c r="N4509" s="5">
        <v>18367.429489032103</v>
      </c>
      <c r="O4509" s="5">
        <v>45451.954570113048</v>
      </c>
      <c r="P4509" s="5">
        <v>45161.732159568586</v>
      </c>
      <c r="Q4509" s="5">
        <v>27018.509959127641</v>
      </c>
      <c r="R4509" s="5">
        <v>84289.422255274636</v>
      </c>
    </row>
    <row r="4510" spans="9:18">
      <c r="I4510" s="4">
        <v>4495</v>
      </c>
      <c r="J4510" s="5">
        <v>16145.071869702888</v>
      </c>
      <c r="K4510" s="5">
        <v>14611.618478071941</v>
      </c>
      <c r="L4510" s="5">
        <v>13023.361770761438</v>
      </c>
      <c r="M4510" s="5">
        <v>23913.435663027711</v>
      </c>
      <c r="N4510" s="5">
        <v>13909.728487455486</v>
      </c>
      <c r="O4510" s="5">
        <v>30876.675913171162</v>
      </c>
      <c r="P4510" s="5">
        <v>10966.822219855034</v>
      </c>
      <c r="Q4510" s="5">
        <v>28797.29222718185</v>
      </c>
      <c r="R4510" s="5">
        <v>12130.167062525341</v>
      </c>
    </row>
    <row r="4511" spans="9:18">
      <c r="I4511" s="4">
        <v>4496</v>
      </c>
      <c r="J4511" s="5">
        <v>16733.020222212988</v>
      </c>
      <c r="K4511" s="5">
        <v>16952.949313901812</v>
      </c>
      <c r="L4511" s="5">
        <v>13622.976145621742</v>
      </c>
      <c r="M4511" s="5">
        <v>18177.175180585615</v>
      </c>
      <c r="N4511" s="5">
        <v>21931.347680292267</v>
      </c>
      <c r="O4511" s="5">
        <v>9320.7026593487881</v>
      </c>
      <c r="P4511" s="5">
        <v>22601.57564624758</v>
      </c>
      <c r="Q4511" s="5">
        <v>29432.473148002948</v>
      </c>
      <c r="R4511" s="5">
        <v>24831.679362998926</v>
      </c>
    </row>
    <row r="4512" spans="9:18">
      <c r="I4512" s="4">
        <v>4497</v>
      </c>
      <c r="J4512" s="5">
        <v>22370.105711697011</v>
      </c>
      <c r="K4512" s="5">
        <v>12026.500118162745</v>
      </c>
      <c r="L4512" s="5">
        <v>17578.712723867691</v>
      </c>
      <c r="M4512" s="5">
        <v>19262.243095117232</v>
      </c>
      <c r="N4512" s="5">
        <v>11751.639947035985</v>
      </c>
      <c r="O4512" s="5">
        <v>27503.656957929088</v>
      </c>
      <c r="P4512" s="5">
        <v>14327.191387816954</v>
      </c>
      <c r="Q4512" s="5">
        <v>12253.299944531094</v>
      </c>
      <c r="R4512" s="5">
        <v>14706.681111065362</v>
      </c>
    </row>
    <row r="4513" spans="9:18">
      <c r="I4513" s="4">
        <v>4498</v>
      </c>
      <c r="J4513" s="5">
        <v>43272.831879770602</v>
      </c>
      <c r="K4513" s="5">
        <v>13719.930466819731</v>
      </c>
      <c r="L4513" s="5">
        <v>17845.207337527903</v>
      </c>
      <c r="M4513" s="5">
        <v>15202.972920708273</v>
      </c>
      <c r="N4513" s="5">
        <v>24020.875410266352</v>
      </c>
      <c r="O4513" s="5">
        <v>40304.23053285561</v>
      </c>
      <c r="P4513" s="5">
        <v>16650.229067545235</v>
      </c>
      <c r="Q4513" s="5">
        <v>35525.432376048877</v>
      </c>
      <c r="R4513" s="5">
        <v>114016.93673542379</v>
      </c>
    </row>
    <row r="4514" spans="9:18">
      <c r="I4514" s="4">
        <v>4499</v>
      </c>
      <c r="J4514" s="5">
        <v>17592.832480262863</v>
      </c>
      <c r="K4514" s="5">
        <v>14497.035717129334</v>
      </c>
      <c r="L4514" s="5">
        <v>17683.765335572589</v>
      </c>
      <c r="M4514" s="5">
        <v>18879.640760542785</v>
      </c>
      <c r="N4514" s="5">
        <v>15786.177386596903</v>
      </c>
      <c r="O4514" s="5">
        <v>79848.944504816522</v>
      </c>
      <c r="P4514" s="5">
        <v>35569.894390728325</v>
      </c>
      <c r="Q4514" s="5">
        <v>37802.358878968138</v>
      </c>
      <c r="R4514" s="5">
        <v>23583.884732956092</v>
      </c>
    </row>
    <row r="4515" spans="9:18">
      <c r="I4515" s="4">
        <v>4500</v>
      </c>
      <c r="J4515" s="5">
        <v>13841.207384998772</v>
      </c>
      <c r="K4515" s="5">
        <v>13719.930466819731</v>
      </c>
      <c r="L4515" s="5">
        <v>17482.478480142941</v>
      </c>
      <c r="M4515" s="5">
        <v>10451.914120098167</v>
      </c>
      <c r="N4515" s="5">
        <v>51261.622558090799</v>
      </c>
      <c r="O4515" s="5">
        <v>13840.304699955392</v>
      </c>
      <c r="P4515" s="5">
        <v>9482.0186426688688</v>
      </c>
      <c r="Q4515" s="5">
        <v>29432.473148002948</v>
      </c>
      <c r="R4515" s="5">
        <v>3989.7956692889929</v>
      </c>
    </row>
    <row r="4516" spans="9:18">
      <c r="I4516" s="4">
        <v>4501</v>
      </c>
      <c r="J4516" s="5">
        <v>13595.404057849493</v>
      </c>
      <c r="K4516" s="5">
        <v>11507.182177474708</v>
      </c>
      <c r="L4516" s="5">
        <v>23760.785349782636</v>
      </c>
      <c r="M4516" s="5">
        <v>19042.78605337895</v>
      </c>
      <c r="N4516" s="5">
        <v>10882.757905166785</v>
      </c>
      <c r="O4516" s="5">
        <v>31172.963108652857</v>
      </c>
      <c r="P4516" s="5">
        <v>39054.462981000084</v>
      </c>
      <c r="Q4516" s="5">
        <v>48756.323642664109</v>
      </c>
      <c r="R4516" s="5">
        <v>12116.34255245842</v>
      </c>
    </row>
    <row r="4517" spans="9:18">
      <c r="I4517" s="4">
        <v>4502</v>
      </c>
      <c r="J4517" s="5">
        <v>43272.831879770602</v>
      </c>
      <c r="K4517" s="5">
        <v>11507.182177474708</v>
      </c>
      <c r="L4517" s="5">
        <v>21725.131459372977</v>
      </c>
      <c r="M4517" s="5">
        <v>26477.996319655329</v>
      </c>
      <c r="N4517" s="5">
        <v>24314.043643333731</v>
      </c>
      <c r="O4517" s="5">
        <v>6199.3195463515376</v>
      </c>
      <c r="P4517" s="5">
        <v>17643.087208586294</v>
      </c>
      <c r="Q4517" s="5">
        <v>14064.158297039334</v>
      </c>
      <c r="R4517" s="5">
        <v>44707.053087992797</v>
      </c>
    </row>
    <row r="4518" spans="9:18">
      <c r="I4518" s="4">
        <v>4503</v>
      </c>
      <c r="J4518" s="5">
        <v>13918.242013140338</v>
      </c>
      <c r="K4518" s="5">
        <v>43843.85059185313</v>
      </c>
      <c r="L4518" s="5">
        <v>19359.475411188432</v>
      </c>
      <c r="M4518" s="5">
        <v>31472.019071027709</v>
      </c>
      <c r="N4518" s="5">
        <v>32184.535272543482</v>
      </c>
      <c r="O4518" s="5">
        <v>33720.545907536376</v>
      </c>
      <c r="P4518" s="5">
        <v>16072.735485912413</v>
      </c>
      <c r="Q4518" s="5">
        <v>73941.636731325911</v>
      </c>
      <c r="R4518" s="5">
        <v>114016.93673542379</v>
      </c>
    </row>
    <row r="4519" spans="9:18">
      <c r="I4519" s="4">
        <v>4504</v>
      </c>
      <c r="J4519" s="5">
        <v>15081.728672246438</v>
      </c>
      <c r="K4519" s="5">
        <v>29672.680843304515</v>
      </c>
      <c r="L4519" s="5">
        <v>17716.90539191998</v>
      </c>
      <c r="M4519" s="5">
        <v>13139.022167648376</v>
      </c>
      <c r="N4519" s="5">
        <v>15786.177386596903</v>
      </c>
      <c r="O4519" s="5">
        <v>14371.728352806511</v>
      </c>
      <c r="P4519" s="5">
        <v>13452.921824087563</v>
      </c>
      <c r="Q4519" s="5">
        <v>7457.1844090365566</v>
      </c>
      <c r="R4519" s="5">
        <v>7879.038918914337</v>
      </c>
    </row>
    <row r="4520" spans="9:18">
      <c r="I4520" s="4">
        <v>4505</v>
      </c>
      <c r="J4520" s="5">
        <v>16710.807721801892</v>
      </c>
      <c r="K4520" s="5">
        <v>13652.224205833634</v>
      </c>
      <c r="L4520" s="5">
        <v>15746.942257105531</v>
      </c>
      <c r="M4520" s="5">
        <v>23067.94260629595</v>
      </c>
      <c r="N4520" s="5">
        <v>32184.535272543482</v>
      </c>
      <c r="O4520" s="5">
        <v>10676.618215263648</v>
      </c>
      <c r="P4520" s="5">
        <v>31127.87225845682</v>
      </c>
      <c r="Q4520" s="5">
        <v>37277.391668005912</v>
      </c>
      <c r="R4520" s="5">
        <v>2180.6148629084787</v>
      </c>
    </row>
    <row r="4521" spans="9:18">
      <c r="I4521" s="4">
        <v>4506</v>
      </c>
      <c r="J4521" s="5">
        <v>14076.209333698853</v>
      </c>
      <c r="K4521" s="5">
        <v>16674.541027260992</v>
      </c>
      <c r="L4521" s="5">
        <v>22412.045018675239</v>
      </c>
      <c r="M4521" s="5">
        <v>20550.782384061673</v>
      </c>
      <c r="N4521" s="5">
        <v>22010.718648995869</v>
      </c>
      <c r="O4521" s="5">
        <v>53504.725169095313</v>
      </c>
      <c r="P4521" s="5">
        <v>8877.9712092977989</v>
      </c>
      <c r="Q4521" s="5">
        <v>19315.033835554255</v>
      </c>
      <c r="R4521" s="5">
        <v>3433.6677391851467</v>
      </c>
    </row>
    <row r="4522" spans="9:18">
      <c r="I4522" s="4">
        <v>4507</v>
      </c>
      <c r="J4522" s="5">
        <v>31559.699247539775</v>
      </c>
      <c r="K4522" s="5">
        <v>16132.555399908759</v>
      </c>
      <c r="L4522" s="5">
        <v>15126.980926457318</v>
      </c>
      <c r="M4522" s="5">
        <v>21833.004790208965</v>
      </c>
      <c r="N4522" s="5">
        <v>21617.945168312468</v>
      </c>
      <c r="O4522" s="5">
        <v>40304.23053285561</v>
      </c>
      <c r="P4522" s="5">
        <v>8877.9712092977989</v>
      </c>
      <c r="Q4522" s="5">
        <v>22145.301831504508</v>
      </c>
      <c r="R4522" s="5">
        <v>86510.608303273053</v>
      </c>
    </row>
    <row r="4523" spans="9:18">
      <c r="I4523" s="4">
        <v>4508</v>
      </c>
      <c r="J4523" s="5">
        <v>19467.17453557903</v>
      </c>
      <c r="K4523" s="5">
        <v>12026.500118162745</v>
      </c>
      <c r="L4523" s="5">
        <v>15487.970507365942</v>
      </c>
      <c r="M4523" s="5">
        <v>19097.39635881727</v>
      </c>
      <c r="N4523" s="5">
        <v>22511.351424689696</v>
      </c>
      <c r="O4523" s="5">
        <v>15124.35050053727</v>
      </c>
      <c r="P4523" s="5">
        <v>9826.8369575407578</v>
      </c>
      <c r="Q4523" s="5">
        <v>17153.530968450712</v>
      </c>
      <c r="R4523" s="5">
        <v>123773.40402252052</v>
      </c>
    </row>
    <row r="4524" spans="9:18">
      <c r="I4524" s="4">
        <v>4509</v>
      </c>
      <c r="J4524" s="5">
        <v>14750.660273177687</v>
      </c>
      <c r="K4524" s="5">
        <v>6949.5708823216592</v>
      </c>
      <c r="L4524" s="5">
        <v>25007.552172398639</v>
      </c>
      <c r="M4524" s="5">
        <v>13011.820191946215</v>
      </c>
      <c r="N4524" s="5">
        <v>12523.573732460784</v>
      </c>
      <c r="O4524" s="5">
        <v>42492.261063288854</v>
      </c>
      <c r="P4524" s="5">
        <v>8069.5385577067918</v>
      </c>
      <c r="Q4524" s="5">
        <v>21421.044775857536</v>
      </c>
      <c r="R4524" s="5">
        <v>8105.1944146993656</v>
      </c>
    </row>
    <row r="4525" spans="9:18">
      <c r="I4525" s="4">
        <v>4510</v>
      </c>
      <c r="J4525" s="5">
        <v>14420.293087375476</v>
      </c>
      <c r="K4525" s="5">
        <v>34058.671324159091</v>
      </c>
      <c r="L4525" s="5">
        <v>14364.472927446199</v>
      </c>
      <c r="M4525" s="5">
        <v>11529.920007560097</v>
      </c>
      <c r="N4525" s="5">
        <v>12297.015342318469</v>
      </c>
      <c r="O4525" s="5">
        <v>9956.4031238965053</v>
      </c>
      <c r="P4525" s="5">
        <v>12790.85158217316</v>
      </c>
      <c r="Q4525" s="5">
        <v>2356.8990887111336</v>
      </c>
      <c r="R4525" s="5">
        <v>17304.847214362417</v>
      </c>
    </row>
    <row r="4526" spans="9:18">
      <c r="I4526" s="4">
        <v>4511</v>
      </c>
      <c r="J4526" s="5">
        <v>14538.277247583976</v>
      </c>
      <c r="K4526" s="5">
        <v>26110.948843472826</v>
      </c>
      <c r="L4526" s="5">
        <v>17716.90539191998</v>
      </c>
      <c r="M4526" s="5">
        <v>16001.653036457456</v>
      </c>
      <c r="N4526" s="5">
        <v>23283.854578052265</v>
      </c>
      <c r="O4526" s="5">
        <v>79848.944504816522</v>
      </c>
      <c r="P4526" s="5">
        <v>63015.124693769802</v>
      </c>
      <c r="Q4526" s="5">
        <v>30266.563414010914</v>
      </c>
      <c r="R4526" s="5">
        <v>72640.340924600489</v>
      </c>
    </row>
    <row r="4527" spans="9:18">
      <c r="I4527" s="4">
        <v>4512</v>
      </c>
      <c r="J4527" s="5">
        <v>14420.293087375476</v>
      </c>
      <c r="K4527" s="5">
        <v>15129.619337591721</v>
      </c>
      <c r="L4527" s="5">
        <v>16472.138192556791</v>
      </c>
      <c r="M4527" s="5">
        <v>29058.117767351498</v>
      </c>
      <c r="N4527" s="5">
        <v>20583.564383988036</v>
      </c>
      <c r="O4527" s="5">
        <v>24258.192244316608</v>
      </c>
      <c r="P4527" s="5">
        <v>39054.462981000084</v>
      </c>
      <c r="Q4527" s="5">
        <v>9138.5169630896526</v>
      </c>
      <c r="R4527" s="5">
        <v>3433.6677391851467</v>
      </c>
    </row>
    <row r="4528" spans="9:18">
      <c r="I4528" s="4">
        <v>4513</v>
      </c>
      <c r="J4528" s="5">
        <v>7855.2948890116513</v>
      </c>
      <c r="K4528" s="5">
        <v>11857.447519815871</v>
      </c>
      <c r="L4528" s="5">
        <v>14042.41908879921</v>
      </c>
      <c r="M4528" s="5">
        <v>13642.678686731051</v>
      </c>
      <c r="N4528" s="5">
        <v>12523.573732460784</v>
      </c>
      <c r="O4528" s="5">
        <v>25604.597681740845</v>
      </c>
      <c r="P4528" s="5">
        <v>3017.2887813579896</v>
      </c>
      <c r="Q4528" s="5">
        <v>29432.473148002948</v>
      </c>
      <c r="R4528" s="5">
        <v>41056.152565483346</v>
      </c>
    </row>
    <row r="4529" spans="9:18">
      <c r="I4529" s="4">
        <v>4514</v>
      </c>
      <c r="J4529" s="5">
        <v>13663.281817546009</v>
      </c>
      <c r="K4529" s="5">
        <v>37822.375317881044</v>
      </c>
      <c r="L4529" s="5">
        <v>17845.207337527903</v>
      </c>
      <c r="M4529" s="5">
        <v>21833.004790208965</v>
      </c>
      <c r="N4529" s="5">
        <v>23283.854578052265</v>
      </c>
      <c r="O4529" s="5">
        <v>36759.655306288936</v>
      </c>
      <c r="P4529" s="5">
        <v>9633.1652908310007</v>
      </c>
      <c r="Q4529" s="5">
        <v>53055.59182561023</v>
      </c>
      <c r="R4529" s="5">
        <v>30571.564004538617</v>
      </c>
    </row>
    <row r="4530" spans="9:18">
      <c r="I4530" s="4">
        <v>4515</v>
      </c>
      <c r="J4530" s="5">
        <v>45301.532027110363</v>
      </c>
      <c r="K4530" s="5">
        <v>35488.449387009874</v>
      </c>
      <c r="L4530" s="5">
        <v>18634.523182776735</v>
      </c>
      <c r="M4530" s="5">
        <v>20550.782384061673</v>
      </c>
      <c r="N4530" s="5">
        <v>11251.634703629026</v>
      </c>
      <c r="O4530" s="5">
        <v>9320.7026593487881</v>
      </c>
      <c r="P4530" s="5">
        <v>21813.848941464526</v>
      </c>
      <c r="Q4530" s="5">
        <v>116445.46783345108</v>
      </c>
      <c r="R4530" s="5">
        <v>10885.018205103002</v>
      </c>
    </row>
    <row r="4531" spans="9:18">
      <c r="I4531" s="4">
        <v>4516</v>
      </c>
      <c r="J4531" s="5">
        <v>14710.037865351254</v>
      </c>
      <c r="K4531" s="5">
        <v>12026.500118162745</v>
      </c>
      <c r="L4531" s="5">
        <v>16777.996633299583</v>
      </c>
      <c r="M4531" s="5">
        <v>10111.451009425113</v>
      </c>
      <c r="N4531" s="5">
        <v>34295.124147811541</v>
      </c>
      <c r="O4531" s="5">
        <v>66253.993323243907</v>
      </c>
      <c r="P4531" s="5">
        <v>9811.9720599964548</v>
      </c>
      <c r="Q4531" s="5">
        <v>15663.43865741136</v>
      </c>
      <c r="R4531" s="5">
        <v>10885.018205103002</v>
      </c>
    </row>
    <row r="4532" spans="9:18">
      <c r="I4532" s="4">
        <v>4517</v>
      </c>
      <c r="J4532" s="5">
        <v>22812.564910649318</v>
      </c>
      <c r="K4532" s="5">
        <v>14017.262946034314</v>
      </c>
      <c r="L4532" s="5">
        <v>15487.970507365942</v>
      </c>
      <c r="M4532" s="5">
        <v>41698.977215629871</v>
      </c>
      <c r="N4532" s="5">
        <v>11635.644856128632</v>
      </c>
      <c r="O4532" s="5">
        <v>20991.103410982985</v>
      </c>
      <c r="P4532" s="5">
        <v>13452.921824087563</v>
      </c>
      <c r="Q4532" s="5">
        <v>29432.473148002948</v>
      </c>
      <c r="R4532" s="5">
        <v>3311.4906988006405</v>
      </c>
    </row>
    <row r="4533" spans="9:18">
      <c r="I4533" s="4">
        <v>4518</v>
      </c>
      <c r="J4533" s="5">
        <v>12452.764985867625</v>
      </c>
      <c r="K4533" s="5">
        <v>43843.85059185313</v>
      </c>
      <c r="L4533" s="5">
        <v>13023.361770761438</v>
      </c>
      <c r="M4533" s="5">
        <v>23449.501569180404</v>
      </c>
      <c r="N4533" s="5">
        <v>42744.618431291936</v>
      </c>
      <c r="O4533" s="5">
        <v>49114.195066822271</v>
      </c>
      <c r="P4533" s="5">
        <v>40377.463755170742</v>
      </c>
      <c r="Q4533" s="5">
        <v>22483.395143121877</v>
      </c>
      <c r="R4533" s="5">
        <v>302760.11878714536</v>
      </c>
    </row>
    <row r="4534" spans="9:18">
      <c r="I4534" s="4">
        <v>4519</v>
      </c>
      <c r="J4534" s="5">
        <v>33627.941293959229</v>
      </c>
      <c r="K4534" s="5">
        <v>11507.182177474708</v>
      </c>
      <c r="L4534" s="5">
        <v>21725.131459372977</v>
      </c>
      <c r="M4534" s="5">
        <v>30830.81083227017</v>
      </c>
      <c r="N4534" s="5">
        <v>35826.921212852278</v>
      </c>
      <c r="O4534" s="5">
        <v>8121.6248378263163</v>
      </c>
      <c r="P4534" s="5">
        <v>40377.463755170742</v>
      </c>
      <c r="Q4534" s="5">
        <v>12253.299944531094</v>
      </c>
      <c r="R4534" s="5">
        <v>8046.7106309763258</v>
      </c>
    </row>
    <row r="4535" spans="9:18">
      <c r="I4535" s="4">
        <v>4520</v>
      </c>
      <c r="J4535" s="5">
        <v>43272.831879770602</v>
      </c>
      <c r="K4535" s="5">
        <v>14021.934268028277</v>
      </c>
      <c r="L4535" s="5">
        <v>15225.811035017256</v>
      </c>
      <c r="M4535" s="5">
        <v>18043.539897080744</v>
      </c>
      <c r="N4535" s="5">
        <v>12297.015342318469</v>
      </c>
      <c r="O4535" s="5">
        <v>26268.613803794757</v>
      </c>
      <c r="P4535" s="5">
        <v>10532.667493814919</v>
      </c>
      <c r="Q4535" s="5">
        <v>64585.328088516922</v>
      </c>
      <c r="R4535" s="5">
        <v>44707.053087992797</v>
      </c>
    </row>
    <row r="4536" spans="9:18">
      <c r="I4536" s="4">
        <v>4521</v>
      </c>
      <c r="J4536" s="5">
        <v>19048.674633640545</v>
      </c>
      <c r="K4536" s="5">
        <v>34164.842952759042</v>
      </c>
      <c r="L4536" s="5">
        <v>21428.663623484812</v>
      </c>
      <c r="M4536" s="5">
        <v>13616.35938654862</v>
      </c>
      <c r="N4536" s="5">
        <v>39672.376281023731</v>
      </c>
      <c r="O4536" s="5">
        <v>62082.6862081785</v>
      </c>
      <c r="P4536" s="5">
        <v>45161.732159568586</v>
      </c>
      <c r="Q4536" s="5">
        <v>29432.473148002948</v>
      </c>
      <c r="R4536" s="5">
        <v>18230.645544621442</v>
      </c>
    </row>
    <row r="4537" spans="9:18">
      <c r="I4537" s="4">
        <v>4522</v>
      </c>
      <c r="J4537" s="5">
        <v>16511.332839561353</v>
      </c>
      <c r="K4537" s="5">
        <v>14611.618478071941</v>
      </c>
      <c r="L4537" s="5">
        <v>14815.394001212817</v>
      </c>
      <c r="M4537" s="5">
        <v>21833.004790208965</v>
      </c>
      <c r="N4537" s="5">
        <v>24314.043643333731</v>
      </c>
      <c r="O4537" s="5">
        <v>24247.516962783076</v>
      </c>
      <c r="P4537" s="5">
        <v>18963.234565965948</v>
      </c>
      <c r="Q4537" s="5">
        <v>12451.066014448154</v>
      </c>
      <c r="R4537" s="5">
        <v>182942.88598316166</v>
      </c>
    </row>
    <row r="4538" spans="9:18">
      <c r="I4538" s="4">
        <v>4523</v>
      </c>
      <c r="J4538" s="5">
        <v>20002.201347927807</v>
      </c>
      <c r="K4538" s="5">
        <v>23327.217259521742</v>
      </c>
      <c r="L4538" s="5">
        <v>22018.381599979773</v>
      </c>
      <c r="M4538" s="5">
        <v>31460.745851561904</v>
      </c>
      <c r="N4538" s="5">
        <v>11751.639947035985</v>
      </c>
      <c r="O4538" s="5">
        <v>33720.545907536376</v>
      </c>
      <c r="P4538" s="5">
        <v>10532.667493814919</v>
      </c>
      <c r="Q4538" s="5">
        <v>56069.347629295014</v>
      </c>
      <c r="R4538" s="5">
        <v>17687.533637716911</v>
      </c>
    </row>
    <row r="4539" spans="9:18">
      <c r="I4539" s="4">
        <v>4524</v>
      </c>
      <c r="J4539" s="5">
        <v>15648.665245032147</v>
      </c>
      <c r="K4539" s="5">
        <v>11857.447519815871</v>
      </c>
      <c r="L4539" s="5">
        <v>14316.474075738101</v>
      </c>
      <c r="M4539" s="5">
        <v>12987.517521908694</v>
      </c>
      <c r="N4539" s="5">
        <v>21931.347680292267</v>
      </c>
      <c r="O4539" s="5">
        <v>30608.431994348266</v>
      </c>
      <c r="P4539" s="5">
        <v>36724.352187786957</v>
      </c>
      <c r="Q4539" s="5">
        <v>47365.380972950254</v>
      </c>
      <c r="R4539" s="5">
        <v>123773.40402252052</v>
      </c>
    </row>
    <row r="4540" spans="9:18">
      <c r="I4540" s="4">
        <v>4525</v>
      </c>
      <c r="J4540" s="5">
        <v>14420.293087375476</v>
      </c>
      <c r="K4540" s="5">
        <v>13559.080695844099</v>
      </c>
      <c r="L4540" s="5">
        <v>15300.182042823812</v>
      </c>
      <c r="M4540" s="5">
        <v>32751.734100446065</v>
      </c>
      <c r="N4540" s="5">
        <v>42744.618431291936</v>
      </c>
      <c r="O4540" s="5">
        <v>3171.3006415671193</v>
      </c>
      <c r="P4540" s="5">
        <v>32155.527541400057</v>
      </c>
      <c r="Q4540" s="5">
        <v>27789.973552634947</v>
      </c>
      <c r="R4540" s="5">
        <v>39727.513802035661</v>
      </c>
    </row>
    <row r="4541" spans="9:18">
      <c r="I4541" s="4">
        <v>4526</v>
      </c>
      <c r="J4541" s="5">
        <v>49463.324094345015</v>
      </c>
      <c r="K4541" s="5">
        <v>19467.955014411935</v>
      </c>
      <c r="L4541" s="5">
        <v>17073.17760523731</v>
      </c>
      <c r="M4541" s="5">
        <v>19430.369425783585</v>
      </c>
      <c r="N4541" s="5">
        <v>22010.718648995869</v>
      </c>
      <c r="O4541" s="5">
        <v>30656.031716467984</v>
      </c>
      <c r="P4541" s="5">
        <v>16574.429708560569</v>
      </c>
      <c r="Q4541" s="5">
        <v>9138.5169630896526</v>
      </c>
      <c r="R4541" s="5">
        <v>46004.399892616471</v>
      </c>
    </row>
    <row r="4542" spans="9:18">
      <c r="I4542" s="4">
        <v>4527</v>
      </c>
      <c r="J4542" s="5">
        <v>8580.4413740966302</v>
      </c>
      <c r="K4542" s="5">
        <v>35488.449387009874</v>
      </c>
      <c r="L4542" s="5">
        <v>27144.958215276103</v>
      </c>
      <c r="M4542" s="5">
        <v>21833.004790208965</v>
      </c>
      <c r="N4542" s="5">
        <v>24314.043643333731</v>
      </c>
      <c r="O4542" s="5">
        <v>8801.3667015774663</v>
      </c>
      <c r="P4542" s="5">
        <v>17643.087208586294</v>
      </c>
      <c r="Q4542" s="5">
        <v>8502.450657922871</v>
      </c>
      <c r="R4542" s="5">
        <v>33863.04333215439</v>
      </c>
    </row>
    <row r="4543" spans="9:18">
      <c r="I4543" s="4">
        <v>4528</v>
      </c>
      <c r="J4543" s="5">
        <v>73074.062486361407</v>
      </c>
      <c r="K4543" s="5">
        <v>11857.447519815871</v>
      </c>
      <c r="L4543" s="5">
        <v>16577.562442697115</v>
      </c>
      <c r="M4543" s="5">
        <v>24981.974172352908</v>
      </c>
      <c r="N4543" s="5">
        <v>16418.492928415813</v>
      </c>
      <c r="O4543" s="5">
        <v>16826.763259351828</v>
      </c>
      <c r="P4543" s="5">
        <v>29283.825979394511</v>
      </c>
      <c r="Q4543" s="5">
        <v>19541.409060825732</v>
      </c>
      <c r="R4543" s="5">
        <v>7201.7586694681067</v>
      </c>
    </row>
    <row r="4544" spans="9:18">
      <c r="I4544" s="4">
        <v>4529</v>
      </c>
      <c r="J4544" s="5">
        <v>12888.204629170894</v>
      </c>
      <c r="K4544" s="5">
        <v>14351.415257675473</v>
      </c>
      <c r="L4544" s="5">
        <v>18379.634651549037</v>
      </c>
      <c r="M4544" s="5">
        <v>29834.240613550006</v>
      </c>
      <c r="N4544" s="5">
        <v>11788.341482962171</v>
      </c>
      <c r="O4544" s="5">
        <v>53007.660727727191</v>
      </c>
      <c r="P4544" s="5">
        <v>44646.134934589521</v>
      </c>
      <c r="Q4544" s="5">
        <v>20883.852062640355</v>
      </c>
      <c r="R4544" s="5">
        <v>72561.496699005787</v>
      </c>
    </row>
    <row r="4545" spans="9:18">
      <c r="I4545" s="4">
        <v>4530</v>
      </c>
      <c r="J4545" s="5">
        <v>73074.062486361407</v>
      </c>
      <c r="K4545" s="5">
        <v>17495.743706488822</v>
      </c>
      <c r="L4545" s="5">
        <v>17073.17760523731</v>
      </c>
      <c r="M4545" s="5">
        <v>26477.996319655329</v>
      </c>
      <c r="N4545" s="5">
        <v>24769.339976495565</v>
      </c>
      <c r="O4545" s="5">
        <v>16572.483389649329</v>
      </c>
      <c r="P4545" s="5">
        <v>21813.848941464526</v>
      </c>
      <c r="Q4545" s="5">
        <v>68168.482468129529</v>
      </c>
      <c r="R4545" s="5">
        <v>96845.299789249824</v>
      </c>
    </row>
    <row r="4546" spans="9:18">
      <c r="I4546" s="4">
        <v>4531</v>
      </c>
      <c r="J4546" s="5">
        <v>16511.332839561353</v>
      </c>
      <c r="K4546" s="5">
        <v>22732.797143159998</v>
      </c>
      <c r="L4546" s="5">
        <v>34748.877779456467</v>
      </c>
      <c r="M4546" s="5">
        <v>12619.198742021435</v>
      </c>
      <c r="N4546" s="5">
        <v>45581.602064432409</v>
      </c>
      <c r="O4546" s="5">
        <v>35286.662852302201</v>
      </c>
      <c r="P4546" s="5">
        <v>17996.895987204196</v>
      </c>
      <c r="Q4546" s="5">
        <v>7349.2234634219121</v>
      </c>
      <c r="R4546" s="5">
        <v>31715.273557891396</v>
      </c>
    </row>
    <row r="4547" spans="9:18">
      <c r="I4547" s="4">
        <v>4532</v>
      </c>
      <c r="J4547" s="5">
        <v>14671.176405938595</v>
      </c>
      <c r="K4547" s="5">
        <v>43843.85059185313</v>
      </c>
      <c r="L4547" s="5">
        <v>16955.349467865559</v>
      </c>
      <c r="M4547" s="5">
        <v>17370.588707072598</v>
      </c>
      <c r="N4547" s="5">
        <v>11251.634703629026</v>
      </c>
      <c r="O4547" s="5">
        <v>66253.993323243907</v>
      </c>
      <c r="P4547" s="5">
        <v>22708.601480587709</v>
      </c>
      <c r="Q4547" s="5">
        <v>8502.450657922871</v>
      </c>
      <c r="R4547" s="5">
        <v>26783.439354489365</v>
      </c>
    </row>
    <row r="4548" spans="9:18">
      <c r="I4548" s="4">
        <v>4533</v>
      </c>
      <c r="J4548" s="5">
        <v>16733.020222212988</v>
      </c>
      <c r="K4548" s="5">
        <v>9769.3659785458403</v>
      </c>
      <c r="L4548" s="5">
        <v>20698.842353987733</v>
      </c>
      <c r="M4548" s="5">
        <v>13616.35938654862</v>
      </c>
      <c r="N4548" s="5">
        <v>24020.875410266352</v>
      </c>
      <c r="O4548" s="5">
        <v>15936.062371781712</v>
      </c>
      <c r="P4548" s="5">
        <v>16574.429708560569</v>
      </c>
      <c r="Q4548" s="5">
        <v>148345.62878828164</v>
      </c>
      <c r="R4548" s="5">
        <v>24722.972470599001</v>
      </c>
    </row>
    <row r="4549" spans="9:18">
      <c r="I4549" s="4">
        <v>4534</v>
      </c>
      <c r="J4549" s="5">
        <v>26634.853073396614</v>
      </c>
      <c r="K4549" s="5">
        <v>18821.113178054162</v>
      </c>
      <c r="L4549" s="5">
        <v>21954.536591034263</v>
      </c>
      <c r="M4549" s="5">
        <v>16510.442870615672</v>
      </c>
      <c r="N4549" s="5">
        <v>26565.664379767408</v>
      </c>
      <c r="O4549" s="5">
        <v>10738.305003664611</v>
      </c>
      <c r="P4549" s="5">
        <v>44646.134934589521</v>
      </c>
      <c r="Q4549" s="5">
        <v>59964.86015574776</v>
      </c>
      <c r="R4549" s="5">
        <v>31715.273557891396</v>
      </c>
    </row>
    <row r="4550" spans="9:18">
      <c r="I4550" s="4">
        <v>4535</v>
      </c>
      <c r="J4550" s="5">
        <v>45301.532027110363</v>
      </c>
      <c r="K4550" s="5">
        <v>13520.836427679104</v>
      </c>
      <c r="L4550" s="5">
        <v>22018.381599979773</v>
      </c>
      <c r="M4550" s="5">
        <v>24981.974172352908</v>
      </c>
      <c r="N4550" s="5">
        <v>8104.6265149430556</v>
      </c>
      <c r="O4550" s="5">
        <v>33720.545907536376</v>
      </c>
      <c r="P4550" s="5">
        <v>14316.965520592317</v>
      </c>
      <c r="Q4550" s="5">
        <v>7457.1844090365566</v>
      </c>
      <c r="R4550" s="5">
        <v>93933.045103013996</v>
      </c>
    </row>
    <row r="4551" spans="9:18">
      <c r="I4551" s="4">
        <v>4536</v>
      </c>
      <c r="J4551" s="5">
        <v>13595.404057849493</v>
      </c>
      <c r="K4551" s="5">
        <v>23934.551191616061</v>
      </c>
      <c r="L4551" s="5">
        <v>22412.045018675239</v>
      </c>
      <c r="M4551" s="5">
        <v>37411.178129764201</v>
      </c>
      <c r="N4551" s="5">
        <v>14240.123545764454</v>
      </c>
      <c r="O4551" s="5">
        <v>35286.662852302201</v>
      </c>
      <c r="P4551" s="5">
        <v>12639.596794453437</v>
      </c>
      <c r="Q4551" s="5">
        <v>37497.234505125656</v>
      </c>
      <c r="R4551" s="5">
        <v>33863.04333215439</v>
      </c>
    </row>
    <row r="4552" spans="9:18">
      <c r="I4552" s="4">
        <v>4537</v>
      </c>
      <c r="J4552" s="5">
        <v>8580.4413740966302</v>
      </c>
      <c r="K4552" s="5">
        <v>14674.169276244838</v>
      </c>
      <c r="L4552" s="5">
        <v>16616.161224349555</v>
      </c>
      <c r="M4552" s="5">
        <v>13414.385151739983</v>
      </c>
      <c r="N4552" s="5">
        <v>19125.360074567652</v>
      </c>
      <c r="O4552" s="5">
        <v>83458.030763693328</v>
      </c>
      <c r="P4552" s="5">
        <v>38771.994792132391</v>
      </c>
      <c r="Q4552" s="5">
        <v>28776.080424849053</v>
      </c>
      <c r="R4552" s="5">
        <v>29295.938844292672</v>
      </c>
    </row>
    <row r="4553" spans="9:18">
      <c r="I4553" s="4">
        <v>4538</v>
      </c>
      <c r="J4553" s="5">
        <v>17005.744061105343</v>
      </c>
      <c r="K4553" s="5">
        <v>23543.914024953676</v>
      </c>
      <c r="L4553" s="5">
        <v>16071.478531535273</v>
      </c>
      <c r="M4553" s="5">
        <v>25580.243606220469</v>
      </c>
      <c r="N4553" s="5">
        <v>27841.916587595573</v>
      </c>
      <c r="O4553" s="5">
        <v>94068.324736096256</v>
      </c>
      <c r="P4553" s="5">
        <v>8662.4232458952465</v>
      </c>
      <c r="Q4553" s="5">
        <v>92068.726035424203</v>
      </c>
      <c r="R4553" s="5">
        <v>18349.337771428582</v>
      </c>
    </row>
    <row r="4554" spans="9:18">
      <c r="I4554" s="4">
        <v>4539</v>
      </c>
      <c r="J4554" s="5">
        <v>17592.832480262863</v>
      </c>
      <c r="K4554" s="5">
        <v>18218.584572172625</v>
      </c>
      <c r="L4554" s="5">
        <v>17920.486090689363</v>
      </c>
      <c r="M4554" s="5">
        <v>36301.422888051464</v>
      </c>
      <c r="N4554" s="5">
        <v>24314.043643333731</v>
      </c>
      <c r="O4554" s="5">
        <v>83458.030763693328</v>
      </c>
      <c r="P4554" s="5">
        <v>16650.229067545235</v>
      </c>
      <c r="Q4554" s="5">
        <v>31618.396253255491</v>
      </c>
      <c r="R4554" s="5">
        <v>12194.45251033065</v>
      </c>
    </row>
    <row r="4555" spans="9:18">
      <c r="I4555" s="4">
        <v>4540</v>
      </c>
      <c r="J4555" s="5">
        <v>14076.209333698853</v>
      </c>
      <c r="K4555" s="5">
        <v>14021.934268028277</v>
      </c>
      <c r="L4555" s="5">
        <v>16293.265064857471</v>
      </c>
      <c r="M4555" s="5">
        <v>16510.442870615672</v>
      </c>
      <c r="N4555" s="5">
        <v>11684.605182472778</v>
      </c>
      <c r="O4555" s="5">
        <v>25644.588869829797</v>
      </c>
      <c r="P4555" s="5">
        <v>38024.168395914428</v>
      </c>
      <c r="Q4555" s="5">
        <v>68168.482468129529</v>
      </c>
      <c r="R4555" s="5">
        <v>17304.847214362417</v>
      </c>
    </row>
    <row r="4556" spans="9:18">
      <c r="I4556" s="4">
        <v>4541</v>
      </c>
      <c r="J4556" s="5">
        <v>14344.692898101612</v>
      </c>
      <c r="K4556" s="5">
        <v>11206.053243692098</v>
      </c>
      <c r="L4556" s="5">
        <v>18215.751370765771</v>
      </c>
      <c r="M4556" s="5">
        <v>23908.621352410395</v>
      </c>
      <c r="N4556" s="5">
        <v>32184.535272543482</v>
      </c>
      <c r="O4556" s="5">
        <v>53504.725169095313</v>
      </c>
      <c r="P4556" s="5">
        <v>48123.003747643132</v>
      </c>
      <c r="Q4556" s="5">
        <v>70295.978314632754</v>
      </c>
      <c r="R4556" s="5">
        <v>6360.7905155660001</v>
      </c>
    </row>
    <row r="4557" spans="9:18">
      <c r="I4557" s="4">
        <v>4542</v>
      </c>
      <c r="J4557" s="5">
        <v>31559.699247539775</v>
      </c>
      <c r="K4557" s="5">
        <v>61827.107730316675</v>
      </c>
      <c r="L4557" s="5">
        <v>19078.910217042379</v>
      </c>
      <c r="M4557" s="5">
        <v>31554.722481137964</v>
      </c>
      <c r="N4557" s="5">
        <v>13511.694619545402</v>
      </c>
      <c r="O4557" s="5">
        <v>20991.103410982985</v>
      </c>
      <c r="P4557" s="5">
        <v>63015.124693769802</v>
      </c>
      <c r="Q4557" s="5">
        <v>15663.43865741136</v>
      </c>
      <c r="R4557" s="5">
        <v>6360.7905155660001</v>
      </c>
    </row>
    <row r="4558" spans="9:18">
      <c r="I4558" s="4">
        <v>4543</v>
      </c>
      <c r="J4558" s="5">
        <v>13447.638004246244</v>
      </c>
      <c r="K4558" s="5">
        <v>14854.898507619706</v>
      </c>
      <c r="L4558" s="5">
        <v>22018.381599979773</v>
      </c>
      <c r="M4558" s="5">
        <v>6367.5407465007311</v>
      </c>
      <c r="N4558" s="5">
        <v>45581.602064432409</v>
      </c>
      <c r="O4558" s="5">
        <v>27195.510785031525</v>
      </c>
      <c r="P4558" s="5">
        <v>44816.412248582856</v>
      </c>
      <c r="Q4558" s="5">
        <v>53055.59182561023</v>
      </c>
      <c r="R4558" s="5">
        <v>33863.04333215439</v>
      </c>
    </row>
    <row r="4559" spans="9:18">
      <c r="I4559" s="4">
        <v>4544</v>
      </c>
      <c r="J4559" s="5">
        <v>28590.354879265724</v>
      </c>
      <c r="K4559" s="5">
        <v>11507.182177474708</v>
      </c>
      <c r="L4559" s="5">
        <v>19078.910217042379</v>
      </c>
      <c r="M4559" s="5">
        <v>11680.747299075838</v>
      </c>
      <c r="N4559" s="5">
        <v>39672.376281023731</v>
      </c>
      <c r="O4559" s="5">
        <v>30876.675913171162</v>
      </c>
      <c r="P4559" s="5">
        <v>16574.429708560569</v>
      </c>
      <c r="Q4559" s="5">
        <v>31902.904306425251</v>
      </c>
      <c r="R4559" s="5">
        <v>72640.340924600489</v>
      </c>
    </row>
    <row r="4560" spans="9:18">
      <c r="I4560" s="4">
        <v>4545</v>
      </c>
      <c r="J4560" s="5">
        <v>12701.339251949787</v>
      </c>
      <c r="K4560" s="5">
        <v>16934.093371663999</v>
      </c>
      <c r="L4560" s="5">
        <v>13867.07093008449</v>
      </c>
      <c r="M4560" s="5">
        <v>41403.687663920646</v>
      </c>
      <c r="N4560" s="5">
        <v>57711.498171893618</v>
      </c>
      <c r="O4560" s="5">
        <v>27068.054847826614</v>
      </c>
      <c r="P4560" s="5">
        <v>24349.301972630979</v>
      </c>
      <c r="Q4560" s="5">
        <v>8474.2603471579441</v>
      </c>
      <c r="R4560" s="5">
        <v>16039.216896723072</v>
      </c>
    </row>
    <row r="4561" spans="9:18">
      <c r="I4561" s="4">
        <v>4546</v>
      </c>
      <c r="J4561" s="5">
        <v>21888.821432026474</v>
      </c>
      <c r="K4561" s="5">
        <v>16674.541027260992</v>
      </c>
      <c r="L4561" s="5">
        <v>18634.523182776735</v>
      </c>
      <c r="M4561" s="5">
        <v>16500.222621933419</v>
      </c>
      <c r="N4561" s="5">
        <v>4770.4216775830728</v>
      </c>
      <c r="O4561" s="5">
        <v>67717.30633712461</v>
      </c>
      <c r="P4561" s="5">
        <v>9965.8330787532959</v>
      </c>
      <c r="Q4561" s="5">
        <v>29432.473148002948</v>
      </c>
      <c r="R4561" s="5">
        <v>7201.7586694681067</v>
      </c>
    </row>
    <row r="4562" spans="9:18">
      <c r="I4562" s="4">
        <v>4547</v>
      </c>
      <c r="J4562" s="5">
        <v>20002.201347927807</v>
      </c>
      <c r="K4562" s="5">
        <v>21527.93129974293</v>
      </c>
      <c r="L4562" s="5">
        <v>16071.260291253868</v>
      </c>
      <c r="M4562" s="5">
        <v>11860.862376247747</v>
      </c>
      <c r="N4562" s="5">
        <v>15786.177386596903</v>
      </c>
      <c r="O4562" s="5">
        <v>10676.618215263648</v>
      </c>
      <c r="P4562" s="5">
        <v>9633.1652908310007</v>
      </c>
      <c r="Q4562" s="5">
        <v>17153.530968450712</v>
      </c>
      <c r="R4562" s="5">
        <v>7201.7586694681067</v>
      </c>
    </row>
    <row r="4563" spans="9:18">
      <c r="I4563" s="4">
        <v>4548</v>
      </c>
      <c r="J4563" s="5">
        <v>14671.176405938595</v>
      </c>
      <c r="K4563" s="5">
        <v>13520.836427679104</v>
      </c>
      <c r="L4563" s="5">
        <v>17716.90539191998</v>
      </c>
      <c r="M4563" s="5">
        <v>20788.503422877813</v>
      </c>
      <c r="N4563" s="5">
        <v>8104.6265149430556</v>
      </c>
      <c r="O4563" s="5">
        <v>20827.029306810669</v>
      </c>
      <c r="P4563" s="5">
        <v>13793.886507202402</v>
      </c>
      <c r="Q4563" s="5">
        <v>20883.852062640355</v>
      </c>
      <c r="R4563" s="5">
        <v>7118.1729476780347</v>
      </c>
    </row>
    <row r="4564" spans="9:18">
      <c r="I4564" s="4">
        <v>4549</v>
      </c>
      <c r="J4564" s="5">
        <v>14594.990625703947</v>
      </c>
      <c r="K4564" s="5">
        <v>34058.671324159091</v>
      </c>
      <c r="L4564" s="5">
        <v>22319.409576580376</v>
      </c>
      <c r="M4564" s="5">
        <v>23908.621352410395</v>
      </c>
      <c r="N4564" s="5">
        <v>37309.151967087455</v>
      </c>
      <c r="O4564" s="5">
        <v>67717.30633712461</v>
      </c>
      <c r="P4564" s="5">
        <v>27820.721938889761</v>
      </c>
      <c r="Q4564" s="5">
        <v>17234.335939857254</v>
      </c>
      <c r="R4564" s="5">
        <v>20303.08745527079</v>
      </c>
    </row>
    <row r="4565" spans="9:18">
      <c r="I4565" s="4">
        <v>4550</v>
      </c>
      <c r="J4565" s="5">
        <v>17679.321624063952</v>
      </c>
      <c r="K4565" s="5">
        <v>56656.842992470461</v>
      </c>
      <c r="L4565" s="5">
        <v>15923.549351835489</v>
      </c>
      <c r="M4565" s="5">
        <v>21833.004790208965</v>
      </c>
      <c r="N4565" s="5">
        <v>63974.903847153939</v>
      </c>
      <c r="O4565" s="5">
        <v>24247.516962783076</v>
      </c>
      <c r="P4565" s="5">
        <v>35213.322626437533</v>
      </c>
      <c r="Q4565" s="5">
        <v>59134.059519022907</v>
      </c>
      <c r="R4565" s="5">
        <v>14051.647494499957</v>
      </c>
    </row>
    <row r="4566" spans="9:18">
      <c r="I4566" s="4">
        <v>4551</v>
      </c>
      <c r="J4566" s="5">
        <v>20768.286261788198</v>
      </c>
      <c r="K4566" s="5">
        <v>15129.619337591721</v>
      </c>
      <c r="L4566" s="5">
        <v>16472.138192556791</v>
      </c>
      <c r="M4566" s="5">
        <v>16001.653036457456</v>
      </c>
      <c r="N4566" s="5">
        <v>21931.347680292267</v>
      </c>
      <c r="O4566" s="5">
        <v>30608.431994348266</v>
      </c>
      <c r="P4566" s="5">
        <v>66904.018529955298</v>
      </c>
      <c r="Q4566" s="5">
        <v>96632.959478514502</v>
      </c>
      <c r="R4566" s="5">
        <v>72640.340924600489</v>
      </c>
    </row>
    <row r="4567" spans="9:18">
      <c r="I4567" s="4">
        <v>4552</v>
      </c>
      <c r="J4567" s="5">
        <v>16305.770155972396</v>
      </c>
      <c r="K4567" s="5">
        <v>11403.533194020869</v>
      </c>
      <c r="L4567" s="5">
        <v>17482.478480142941</v>
      </c>
      <c r="M4567" s="5">
        <v>14432.283063351901</v>
      </c>
      <c r="N4567" s="5">
        <v>14240.123545764454</v>
      </c>
      <c r="O4567" s="5">
        <v>14371.728352806511</v>
      </c>
      <c r="P4567" s="5">
        <v>3930.0915591834291</v>
      </c>
      <c r="Q4567" s="5">
        <v>7457.1844090365566</v>
      </c>
      <c r="R4567" s="5">
        <v>3989.7956692889929</v>
      </c>
    </row>
    <row r="4568" spans="9:18">
      <c r="I4568" s="4">
        <v>4553</v>
      </c>
      <c r="J4568" s="5">
        <v>9405.362381917912</v>
      </c>
      <c r="K4568" s="5">
        <v>35488.449387009874</v>
      </c>
      <c r="L4568" s="5">
        <v>19359.475411188432</v>
      </c>
      <c r="M4568" s="5">
        <v>25580.243606220469</v>
      </c>
      <c r="N4568" s="5">
        <v>17214.078970533748</v>
      </c>
      <c r="O4568" s="5">
        <v>10369.402667058452</v>
      </c>
      <c r="P4568" s="5">
        <v>12790.85158217316</v>
      </c>
      <c r="Q4568" s="5">
        <v>19315.033835554255</v>
      </c>
      <c r="R4568" s="5">
        <v>17304.847214362417</v>
      </c>
    </row>
    <row r="4569" spans="9:18">
      <c r="I4569" s="4">
        <v>4554</v>
      </c>
      <c r="J4569" s="5">
        <v>28169.050633834027</v>
      </c>
      <c r="K4569" s="5">
        <v>23543.914024953676</v>
      </c>
      <c r="L4569" s="5">
        <v>16071.260291253868</v>
      </c>
      <c r="M4569" s="5">
        <v>30785.663999045999</v>
      </c>
      <c r="N4569" s="5">
        <v>19225.139878706803</v>
      </c>
      <c r="O4569" s="5">
        <v>3171.3006415671193</v>
      </c>
      <c r="P4569" s="5">
        <v>14376.883105731285</v>
      </c>
      <c r="Q4569" s="5">
        <v>13099.063525342741</v>
      </c>
      <c r="R4569" s="5">
        <v>8720.6503563381029</v>
      </c>
    </row>
    <row r="4570" spans="9:18">
      <c r="I4570" s="4">
        <v>4555</v>
      </c>
      <c r="J4570" s="5">
        <v>12035.382213755307</v>
      </c>
      <c r="K4570" s="5">
        <v>35705.595198125673</v>
      </c>
      <c r="L4570" s="5">
        <v>16071.478531535273</v>
      </c>
      <c r="M4570" s="5">
        <v>23449.501569180404</v>
      </c>
      <c r="N4570" s="5">
        <v>13745.376566850549</v>
      </c>
      <c r="O4570" s="5">
        <v>40581.847217937895</v>
      </c>
      <c r="P4570" s="5">
        <v>106091.28270624072</v>
      </c>
      <c r="Q4570" s="5">
        <v>64585.328088516922</v>
      </c>
      <c r="R4570" s="5">
        <v>50287.76786557267</v>
      </c>
    </row>
    <row r="4571" spans="9:18">
      <c r="I4571" s="4">
        <v>4556</v>
      </c>
      <c r="J4571" s="5">
        <v>14750.660273177687</v>
      </c>
      <c r="K4571" s="5">
        <v>26110.948843472826</v>
      </c>
      <c r="L4571" s="5">
        <v>15764.107424863063</v>
      </c>
      <c r="M4571" s="5">
        <v>12619.198742021435</v>
      </c>
      <c r="N4571" s="5">
        <v>9989.086510768735</v>
      </c>
      <c r="O4571" s="5">
        <v>21930.527973988665</v>
      </c>
      <c r="P4571" s="5">
        <v>26541.896041444568</v>
      </c>
      <c r="Q4571" s="5">
        <v>13214.632802255031</v>
      </c>
      <c r="R4571" s="5">
        <v>81423.874800517297</v>
      </c>
    </row>
    <row r="4572" spans="9:18">
      <c r="I4572" s="4">
        <v>4557</v>
      </c>
      <c r="J4572" s="5">
        <v>28590.354879265724</v>
      </c>
      <c r="K4572" s="5">
        <v>26110.948843472826</v>
      </c>
      <c r="L4572" s="5">
        <v>21725.131459372977</v>
      </c>
      <c r="M4572" s="5">
        <v>18043.539897080744</v>
      </c>
      <c r="N4572" s="5">
        <v>8104.6265149430556</v>
      </c>
      <c r="O4572" s="5">
        <v>18637.945795127704</v>
      </c>
      <c r="P4572" s="5">
        <v>8877.9712092977989</v>
      </c>
      <c r="Q4572" s="5">
        <v>20987.925664394581</v>
      </c>
      <c r="R4572" s="5">
        <v>89167.415757270224</v>
      </c>
    </row>
    <row r="4573" spans="9:18">
      <c r="I4573" s="4">
        <v>4558</v>
      </c>
      <c r="J4573" s="5">
        <v>14749.343145806102</v>
      </c>
      <c r="K4573" s="5">
        <v>14611.618478071941</v>
      </c>
      <c r="L4573" s="5">
        <v>17128.574519497746</v>
      </c>
      <c r="M4573" s="5">
        <v>21913.431401527439</v>
      </c>
      <c r="N4573" s="5">
        <v>15130.853682762778</v>
      </c>
      <c r="O4573" s="5">
        <v>40942.522561879181</v>
      </c>
      <c r="P4573" s="5">
        <v>16650.229067545235</v>
      </c>
      <c r="Q4573" s="5">
        <v>12253.299944531094</v>
      </c>
      <c r="R4573" s="5">
        <v>12194.45251033065</v>
      </c>
    </row>
    <row r="4574" spans="9:18">
      <c r="I4574" s="4">
        <v>4559</v>
      </c>
      <c r="J4574" s="5">
        <v>22370.105711697011</v>
      </c>
      <c r="K4574" s="5">
        <v>16665.1498926479</v>
      </c>
      <c r="L4574" s="5">
        <v>16293.265064857471</v>
      </c>
      <c r="M4574" s="5">
        <v>12426.949970383979</v>
      </c>
      <c r="N4574" s="5">
        <v>22511.351424689696</v>
      </c>
      <c r="O4574" s="5">
        <v>51330.340277512776</v>
      </c>
      <c r="P4574" s="5">
        <v>14376.883105731285</v>
      </c>
      <c r="Q4574" s="5">
        <v>56069.347629295014</v>
      </c>
      <c r="R4574" s="5">
        <v>89167.415757270224</v>
      </c>
    </row>
    <row r="4575" spans="9:18">
      <c r="I4575" s="4">
        <v>4560</v>
      </c>
      <c r="J4575" s="5">
        <v>7855.2948890116513</v>
      </c>
      <c r="K4575" s="5">
        <v>11507.182177474708</v>
      </c>
      <c r="L4575" s="5">
        <v>15300.182042823812</v>
      </c>
      <c r="M4575" s="5">
        <v>22326.253555179093</v>
      </c>
      <c r="N4575" s="5">
        <v>20583.564383988036</v>
      </c>
      <c r="O4575" s="5">
        <v>20721.57544042755</v>
      </c>
      <c r="P4575" s="5">
        <v>33500.490132682797</v>
      </c>
      <c r="Q4575" s="5">
        <v>16591.881190929333</v>
      </c>
      <c r="R4575" s="5">
        <v>89167.415757270224</v>
      </c>
    </row>
    <row r="4576" spans="9:18">
      <c r="I4576" s="4">
        <v>4561</v>
      </c>
      <c r="J4576" s="5">
        <v>9368.8270679249108</v>
      </c>
      <c r="K4576" s="5">
        <v>17903.387243834499</v>
      </c>
      <c r="L4576" s="5">
        <v>15759.954187048656</v>
      </c>
      <c r="M4576" s="5">
        <v>10142.860128720422</v>
      </c>
      <c r="N4576" s="5">
        <v>21909.120225822895</v>
      </c>
      <c r="O4576" s="5">
        <v>12110.196126281628</v>
      </c>
      <c r="P4576" s="5">
        <v>17737.38315098183</v>
      </c>
      <c r="Q4576" s="5">
        <v>47365.380972950254</v>
      </c>
      <c r="R4576" s="5">
        <v>12116.34255245842</v>
      </c>
    </row>
    <row r="4577" spans="9:18">
      <c r="I4577" s="4">
        <v>4562</v>
      </c>
      <c r="J4577" s="5">
        <v>16544.73779470181</v>
      </c>
      <c r="K4577" s="5">
        <v>17903.387243834499</v>
      </c>
      <c r="L4577" s="5">
        <v>13417.453622029931</v>
      </c>
      <c r="M4577" s="5">
        <v>23454.775510296178</v>
      </c>
      <c r="N4577" s="5">
        <v>20558.672182394013</v>
      </c>
      <c r="O4577" s="5">
        <v>5909.5347260996277</v>
      </c>
      <c r="P4577" s="5">
        <v>33715.790977629549</v>
      </c>
      <c r="Q4577" s="5">
        <v>100789.83462564547</v>
      </c>
      <c r="R4577" s="5">
        <v>6681.1887184356683</v>
      </c>
    </row>
    <row r="4578" spans="9:18">
      <c r="I4578" s="4">
        <v>4563</v>
      </c>
      <c r="J4578" s="5">
        <v>16459.003095225507</v>
      </c>
      <c r="K4578" s="5">
        <v>16132.555399908759</v>
      </c>
      <c r="L4578" s="5">
        <v>15161.007794371622</v>
      </c>
      <c r="M4578" s="5">
        <v>11680.747299075838</v>
      </c>
      <c r="N4578" s="5">
        <v>21909.120225822895</v>
      </c>
      <c r="O4578" s="5">
        <v>9708.4497800977806</v>
      </c>
      <c r="P4578" s="5">
        <v>34814.458119125498</v>
      </c>
      <c r="Q4578" s="5">
        <v>15663.43865741136</v>
      </c>
      <c r="R4578" s="5">
        <v>38898.713625068609</v>
      </c>
    </row>
    <row r="4579" spans="9:18">
      <c r="I4579" s="4">
        <v>4564</v>
      </c>
      <c r="J4579" s="5">
        <v>73074.062486361407</v>
      </c>
      <c r="K4579" s="5">
        <v>16199.334613834633</v>
      </c>
      <c r="L4579" s="5">
        <v>16071.478531535273</v>
      </c>
      <c r="M4579" s="5">
        <v>13139.022167648376</v>
      </c>
      <c r="N4579" s="5">
        <v>22511.351424689696</v>
      </c>
      <c r="O4579" s="5">
        <v>30876.675913171162</v>
      </c>
      <c r="P4579" s="5">
        <v>14773.185437294762</v>
      </c>
      <c r="Q4579" s="5">
        <v>68168.482468129529</v>
      </c>
      <c r="R4579" s="5">
        <v>23583.884732956092</v>
      </c>
    </row>
    <row r="4580" spans="9:18">
      <c r="I4580" s="4">
        <v>4565</v>
      </c>
      <c r="J4580" s="5">
        <v>49463.324094345015</v>
      </c>
      <c r="K4580" s="5">
        <v>16273.14570113692</v>
      </c>
      <c r="L4580" s="5">
        <v>18602.881797624486</v>
      </c>
      <c r="M4580" s="5">
        <v>41403.687663920646</v>
      </c>
      <c r="N4580" s="5">
        <v>17214.078970533748</v>
      </c>
      <c r="O4580" s="5">
        <v>26565.882515615398</v>
      </c>
      <c r="P4580" s="5">
        <v>18963.234565965948</v>
      </c>
      <c r="Q4580" s="5">
        <v>71213.172792303565</v>
      </c>
      <c r="R4580" s="5">
        <v>16039.216896723072</v>
      </c>
    </row>
    <row r="4581" spans="9:18">
      <c r="I4581" s="4">
        <v>4566</v>
      </c>
      <c r="J4581" s="5">
        <v>14710.037865351254</v>
      </c>
      <c r="K4581" s="5">
        <v>6949.5708823216592</v>
      </c>
      <c r="L4581" s="5">
        <v>22018.381599979773</v>
      </c>
      <c r="M4581" s="5">
        <v>12735.841453044006</v>
      </c>
      <c r="N4581" s="5">
        <v>40377.252444397986</v>
      </c>
      <c r="O4581" s="5">
        <v>53504.725169095313</v>
      </c>
      <c r="P4581" s="5">
        <v>24349.301972630979</v>
      </c>
      <c r="Q4581" s="5">
        <v>43417.41805414496</v>
      </c>
      <c r="R4581" s="5">
        <v>7784.2246210242874</v>
      </c>
    </row>
    <row r="4582" spans="9:18">
      <c r="I4582" s="4">
        <v>4567</v>
      </c>
      <c r="J4582" s="5">
        <v>14538.277247583976</v>
      </c>
      <c r="K4582" s="5">
        <v>13331.01856102917</v>
      </c>
      <c r="L4582" s="5">
        <v>17073.17760523731</v>
      </c>
      <c r="M4582" s="5">
        <v>15202.972920708273</v>
      </c>
      <c r="N4582" s="5">
        <v>51261.622558090799</v>
      </c>
      <c r="O4582" s="5">
        <v>35865.625349531729</v>
      </c>
      <c r="P4582" s="5">
        <v>45161.732159568586</v>
      </c>
      <c r="Q4582" s="5">
        <v>30266.563414010914</v>
      </c>
      <c r="R4582" s="5">
        <v>18720.450716365784</v>
      </c>
    </row>
    <row r="4583" spans="9:18">
      <c r="I4583" s="4">
        <v>4568</v>
      </c>
      <c r="J4583" s="5">
        <v>31559.699247539775</v>
      </c>
      <c r="K4583" s="5">
        <v>16952.949313901812</v>
      </c>
      <c r="L4583" s="5">
        <v>15832.5469007027</v>
      </c>
      <c r="M4583" s="5">
        <v>16001.653036457456</v>
      </c>
      <c r="N4583" s="5">
        <v>24020.875410266352</v>
      </c>
      <c r="O4583" s="5">
        <v>9320.7026593487881</v>
      </c>
      <c r="P4583" s="5">
        <v>22708.601480587709</v>
      </c>
      <c r="Q4583" s="5">
        <v>30495.121067047665</v>
      </c>
      <c r="R4583" s="5">
        <v>55106.806585409526</v>
      </c>
    </row>
    <row r="4584" spans="9:18">
      <c r="I4584" s="4">
        <v>4569</v>
      </c>
      <c r="J4584" s="5">
        <v>12888.204629170894</v>
      </c>
      <c r="K4584" s="5">
        <v>13719.930466819731</v>
      </c>
      <c r="L4584" s="5">
        <v>15664.99858445921</v>
      </c>
      <c r="M4584" s="5">
        <v>13414.385151739983</v>
      </c>
      <c r="N4584" s="5">
        <v>15251.140047572881</v>
      </c>
      <c r="O4584" s="5">
        <v>24258.192244316608</v>
      </c>
      <c r="P4584" s="5">
        <v>55119.366528283317</v>
      </c>
      <c r="Q4584" s="5">
        <v>17493.456269945855</v>
      </c>
      <c r="R4584" s="5">
        <v>50287.76786557267</v>
      </c>
    </row>
    <row r="4585" spans="9:18">
      <c r="I4585" s="4">
        <v>4570</v>
      </c>
      <c r="J4585" s="5">
        <v>14710.037865351254</v>
      </c>
      <c r="K4585" s="5">
        <v>15768.312122029349</v>
      </c>
      <c r="L4585" s="5">
        <v>22412.045018675239</v>
      </c>
      <c r="M4585" s="5">
        <v>24981.974172352908</v>
      </c>
      <c r="N4585" s="5">
        <v>13511.694619545402</v>
      </c>
      <c r="O4585" s="5">
        <v>40304.23053285561</v>
      </c>
      <c r="P4585" s="5">
        <v>9482.0186426688688</v>
      </c>
      <c r="Q4585" s="5">
        <v>8832.660767995616</v>
      </c>
      <c r="R4585" s="5">
        <v>7784.2246210242874</v>
      </c>
    </row>
    <row r="4586" spans="9:18">
      <c r="I4586" s="4">
        <v>4571</v>
      </c>
      <c r="J4586" s="5">
        <v>12701.339251949787</v>
      </c>
      <c r="K4586" s="5">
        <v>14351.415257675473</v>
      </c>
      <c r="L4586" s="5">
        <v>18215.751370765771</v>
      </c>
      <c r="M4586" s="5">
        <v>13616.35938654862</v>
      </c>
      <c r="N4586" s="5">
        <v>26565.664379767408</v>
      </c>
      <c r="O4586" s="5">
        <v>32474.063027682765</v>
      </c>
      <c r="P4586" s="5">
        <v>14773.185437294762</v>
      </c>
      <c r="Q4586" s="5">
        <v>48866.209623168346</v>
      </c>
      <c r="R4586" s="5">
        <v>24831.679362998926</v>
      </c>
    </row>
    <row r="4587" spans="9:18">
      <c r="I4587" s="4">
        <v>4572</v>
      </c>
      <c r="J4587" s="5">
        <v>17592.832480262863</v>
      </c>
      <c r="K4587" s="5">
        <v>16873.752266014431</v>
      </c>
      <c r="L4587" s="5">
        <v>16017.890956041876</v>
      </c>
      <c r="M4587" s="5">
        <v>16881.579299055</v>
      </c>
      <c r="N4587" s="5">
        <v>9209.4418830788036</v>
      </c>
      <c r="O4587" s="5">
        <v>25644.588869829797</v>
      </c>
      <c r="P4587" s="5">
        <v>66904.018529955298</v>
      </c>
      <c r="Q4587" s="5">
        <v>64585.328088516922</v>
      </c>
      <c r="R4587" s="5">
        <v>8105.1944146993656</v>
      </c>
    </row>
    <row r="4588" spans="9:18">
      <c r="I4588" s="4">
        <v>4573</v>
      </c>
      <c r="J4588" s="5">
        <v>17679.321624063952</v>
      </c>
      <c r="K4588" s="5">
        <v>21187.174639714212</v>
      </c>
      <c r="L4588" s="5">
        <v>16293.265064857471</v>
      </c>
      <c r="M4588" s="5">
        <v>18043.539897080744</v>
      </c>
      <c r="N4588" s="5">
        <v>11751.639947035985</v>
      </c>
      <c r="O4588" s="5">
        <v>11282.178219986479</v>
      </c>
      <c r="P4588" s="5">
        <v>9633.1652908310007</v>
      </c>
      <c r="Q4588" s="5">
        <v>14064.158297039334</v>
      </c>
      <c r="R4588" s="5">
        <v>55106.806585409526</v>
      </c>
    </row>
    <row r="4589" spans="9:18">
      <c r="I4589" s="4">
        <v>4574</v>
      </c>
      <c r="J4589" s="5">
        <v>17005.744061105343</v>
      </c>
      <c r="K4589" s="5">
        <v>15698.764831033119</v>
      </c>
      <c r="L4589" s="5">
        <v>17073.17760523731</v>
      </c>
      <c r="M4589" s="5">
        <v>17542.15972125496</v>
      </c>
      <c r="N4589" s="5">
        <v>24314.043643333731</v>
      </c>
      <c r="O4589" s="5">
        <v>33720.545907536376</v>
      </c>
      <c r="P4589" s="5">
        <v>74840.036182179319</v>
      </c>
      <c r="Q4589" s="5">
        <v>22895.455950885695</v>
      </c>
      <c r="R4589" s="5">
        <v>5865.9802599669383</v>
      </c>
    </row>
    <row r="4590" spans="9:18">
      <c r="I4590" s="4">
        <v>4575</v>
      </c>
      <c r="J4590" s="5">
        <v>12452.764985867625</v>
      </c>
      <c r="K4590" s="5">
        <v>15698.764831033119</v>
      </c>
      <c r="L4590" s="5">
        <v>17311.244744664215</v>
      </c>
      <c r="M4590" s="5">
        <v>30830.81083227017</v>
      </c>
      <c r="N4590" s="5">
        <v>18367.429489032103</v>
      </c>
      <c r="O4590" s="5">
        <v>62082.6862081785</v>
      </c>
      <c r="P4590" s="5">
        <v>35213.322626437533</v>
      </c>
      <c r="Q4590" s="5">
        <v>15623.622662102793</v>
      </c>
      <c r="R4590" s="5">
        <v>8046.7106309763258</v>
      </c>
    </row>
    <row r="4591" spans="9:18">
      <c r="I4591" s="4">
        <v>4576</v>
      </c>
      <c r="J4591" s="5">
        <v>14741.240040396578</v>
      </c>
      <c r="K4591" s="5">
        <v>21527.93129974293</v>
      </c>
      <c r="L4591" s="5">
        <v>13622.976145621742</v>
      </c>
      <c r="M4591" s="5">
        <v>22815.60259636537</v>
      </c>
      <c r="N4591" s="5">
        <v>18410.937863650517</v>
      </c>
      <c r="O4591" s="5">
        <v>79848.944504816522</v>
      </c>
      <c r="P4591" s="5">
        <v>38024.168395914428</v>
      </c>
      <c r="Q4591" s="5">
        <v>7457.1844090365566</v>
      </c>
      <c r="R4591" s="5">
        <v>10885.018205103002</v>
      </c>
    </row>
    <row r="4592" spans="9:18">
      <c r="I4592" s="4">
        <v>4577</v>
      </c>
      <c r="J4592" s="5">
        <v>16710.807721801892</v>
      </c>
      <c r="K4592" s="5">
        <v>16081.362509465702</v>
      </c>
      <c r="L4592" s="5">
        <v>17716.90539191998</v>
      </c>
      <c r="M4592" s="5">
        <v>23449.501569180404</v>
      </c>
      <c r="N4592" s="5">
        <v>24020.875410266352</v>
      </c>
      <c r="O4592" s="5">
        <v>6199.3195463515376</v>
      </c>
      <c r="P4592" s="5">
        <v>3017.2887813579896</v>
      </c>
      <c r="Q4592" s="5">
        <v>13099.063525342741</v>
      </c>
      <c r="R4592" s="5">
        <v>18720.450716365784</v>
      </c>
    </row>
    <row r="4593" spans="9:18">
      <c r="I4593" s="4">
        <v>4578</v>
      </c>
      <c r="J4593" s="5">
        <v>21888.821432026474</v>
      </c>
      <c r="K4593" s="5">
        <v>31910.762633549082</v>
      </c>
      <c r="L4593" s="5">
        <v>16777.996633299583</v>
      </c>
      <c r="M4593" s="5">
        <v>18691.941789825862</v>
      </c>
      <c r="N4593" s="5">
        <v>34295.124147811541</v>
      </c>
      <c r="O4593" s="5">
        <v>24369.28567093279</v>
      </c>
      <c r="P4593" s="5">
        <v>106091.28270624072</v>
      </c>
      <c r="Q4593" s="5">
        <v>12253.299944531094</v>
      </c>
      <c r="R4593" s="5">
        <v>181970.23111012415</v>
      </c>
    </row>
    <row r="4594" spans="9:18">
      <c r="I4594" s="4">
        <v>4579</v>
      </c>
      <c r="J4594" s="5">
        <v>14538.277247583976</v>
      </c>
      <c r="K4594" s="5">
        <v>14021.934268028277</v>
      </c>
      <c r="L4594" s="5">
        <v>13037.115556745504</v>
      </c>
      <c r="M4594" s="5">
        <v>15346.383801976139</v>
      </c>
      <c r="N4594" s="5">
        <v>23008.246229813707</v>
      </c>
      <c r="O4594" s="5">
        <v>66253.993323243907</v>
      </c>
      <c r="P4594" s="5">
        <v>14316.965520592317</v>
      </c>
      <c r="Q4594" s="5">
        <v>9454.5906023793759</v>
      </c>
      <c r="R4594" s="5">
        <v>41418.225609677866</v>
      </c>
    </row>
    <row r="4595" spans="9:18">
      <c r="I4595" s="4">
        <v>4580</v>
      </c>
      <c r="J4595" s="5">
        <v>16544.73779470181</v>
      </c>
      <c r="K4595" s="5">
        <v>34058.671324159091</v>
      </c>
      <c r="L4595" s="5">
        <v>22162.138529251199</v>
      </c>
      <c r="M4595" s="5">
        <v>31460.745851561904</v>
      </c>
      <c r="N4595" s="5">
        <v>21617.945168312468</v>
      </c>
      <c r="O4595" s="5">
        <v>45451.954570113048</v>
      </c>
      <c r="P4595" s="5">
        <v>77603.711720266961</v>
      </c>
      <c r="Q4595" s="5">
        <v>9454.5906023793759</v>
      </c>
      <c r="R4595" s="5">
        <v>216919.53009911609</v>
      </c>
    </row>
    <row r="4596" spans="9:18">
      <c r="I4596" s="4">
        <v>4581</v>
      </c>
      <c r="J4596" s="5">
        <v>45301.532027110363</v>
      </c>
      <c r="K4596" s="5">
        <v>15782.544184844044</v>
      </c>
      <c r="L4596" s="5">
        <v>14175.160754078657</v>
      </c>
      <c r="M4596" s="5">
        <v>13642.678686731051</v>
      </c>
      <c r="N4596" s="5">
        <v>27833.630848857778</v>
      </c>
      <c r="O4596" s="5">
        <v>53028.643350899503</v>
      </c>
      <c r="P4596" s="5">
        <v>10733.318076105543</v>
      </c>
      <c r="Q4596" s="5">
        <v>48866.209623168346</v>
      </c>
      <c r="R4596" s="5">
        <v>14051.647494499957</v>
      </c>
    </row>
    <row r="4597" spans="9:18">
      <c r="I4597" s="4">
        <v>4582</v>
      </c>
      <c r="J4597" s="5">
        <v>29760.443016608337</v>
      </c>
      <c r="K4597" s="5">
        <v>35488.449387009874</v>
      </c>
      <c r="L4597" s="5">
        <v>15922.087958863045</v>
      </c>
      <c r="M4597" s="5">
        <v>12619.198742021435</v>
      </c>
      <c r="N4597" s="5">
        <v>19225.139878706803</v>
      </c>
      <c r="O4597" s="5">
        <v>14371.728352806511</v>
      </c>
      <c r="P4597" s="5">
        <v>6275.8915673055426</v>
      </c>
      <c r="Q4597" s="5">
        <v>14064.158297039334</v>
      </c>
      <c r="R4597" s="5">
        <v>29295.938844292672</v>
      </c>
    </row>
    <row r="4598" spans="9:18">
      <c r="I4598" s="4">
        <v>4583</v>
      </c>
      <c r="J4598" s="5">
        <v>14344.692898101612</v>
      </c>
      <c r="K4598" s="5">
        <v>13652.224205833634</v>
      </c>
      <c r="L4598" s="5">
        <v>14610.165745300763</v>
      </c>
      <c r="M4598" s="5">
        <v>22961.931350882205</v>
      </c>
      <c r="N4598" s="5">
        <v>59876.136849941562</v>
      </c>
      <c r="O4598" s="5">
        <v>36759.655306288936</v>
      </c>
      <c r="P4598" s="5">
        <v>55152.110177667731</v>
      </c>
      <c r="Q4598" s="5">
        <v>17234.335939857254</v>
      </c>
      <c r="R4598" s="5">
        <v>55012.315589742022</v>
      </c>
    </row>
    <row r="4599" spans="9:18">
      <c r="I4599" s="4">
        <v>4584</v>
      </c>
      <c r="J4599" s="5">
        <v>15873.12561080002</v>
      </c>
      <c r="K4599" s="5">
        <v>13331.01856102917</v>
      </c>
      <c r="L4599" s="5">
        <v>27289.607394458035</v>
      </c>
      <c r="M4599" s="5">
        <v>14660.631931099009</v>
      </c>
      <c r="N4599" s="5">
        <v>22010.718648995869</v>
      </c>
      <c r="O4599" s="5">
        <v>32474.063027682765</v>
      </c>
      <c r="P4599" s="5">
        <v>14327.191387816954</v>
      </c>
      <c r="Q4599" s="5">
        <v>43417.41805414496</v>
      </c>
      <c r="R4599" s="5">
        <v>18720.450716365784</v>
      </c>
    </row>
    <row r="4600" spans="9:18">
      <c r="I4600" s="4">
        <v>4585</v>
      </c>
      <c r="J4600" s="5">
        <v>14017.326487344162</v>
      </c>
      <c r="K4600" s="5">
        <v>17128.860847126922</v>
      </c>
      <c r="L4600" s="5">
        <v>17716.90539191998</v>
      </c>
      <c r="M4600" s="5">
        <v>30785.663999045999</v>
      </c>
      <c r="N4600" s="5">
        <v>25424.029865101274</v>
      </c>
      <c r="O4600" s="5">
        <v>32474.063027682765</v>
      </c>
      <c r="P4600" s="5">
        <v>33500.490132682797</v>
      </c>
      <c r="Q4600" s="5">
        <v>18097.768262249352</v>
      </c>
      <c r="R4600" s="5">
        <v>41418.225609677866</v>
      </c>
    </row>
    <row r="4601" spans="9:18">
      <c r="I4601" s="4">
        <v>4586</v>
      </c>
      <c r="J4601" s="5">
        <v>12888.204629170894</v>
      </c>
      <c r="K4601" s="5">
        <v>13331.01856102917</v>
      </c>
      <c r="L4601" s="5">
        <v>18379.634651549037</v>
      </c>
      <c r="M4601" s="5">
        <v>22326.253555179093</v>
      </c>
      <c r="N4601" s="5">
        <v>21617.945168312468</v>
      </c>
      <c r="O4601" s="5">
        <v>8024.6340027919978</v>
      </c>
      <c r="P4601" s="5">
        <v>12992.105410393709</v>
      </c>
      <c r="Q4601" s="5">
        <v>59964.86015574776</v>
      </c>
      <c r="R4601" s="5">
        <v>90296.353221228885</v>
      </c>
    </row>
    <row r="4602" spans="9:18">
      <c r="I4602" s="4">
        <v>4587</v>
      </c>
      <c r="J4602" s="5">
        <v>9405.362381917912</v>
      </c>
      <c r="K4602" s="5">
        <v>14136.873097602549</v>
      </c>
      <c r="L4602" s="5">
        <v>14175.160754078657</v>
      </c>
      <c r="M4602" s="5">
        <v>13414.385151739983</v>
      </c>
      <c r="N4602" s="5">
        <v>13909.728487455486</v>
      </c>
      <c r="O4602" s="5">
        <v>35865.625349531729</v>
      </c>
      <c r="P4602" s="5">
        <v>18963.234565965948</v>
      </c>
      <c r="Q4602" s="5">
        <v>31618.396253255491</v>
      </c>
      <c r="R4602" s="5">
        <v>24831.679362998926</v>
      </c>
    </row>
    <row r="4603" spans="9:18">
      <c r="I4603" s="4">
        <v>4588</v>
      </c>
      <c r="J4603" s="5">
        <v>43272.831879770602</v>
      </c>
      <c r="K4603" s="5">
        <v>13331.01856102917</v>
      </c>
      <c r="L4603" s="5">
        <v>17243.440968229323</v>
      </c>
      <c r="M4603" s="5">
        <v>23449.501569180404</v>
      </c>
      <c r="N4603" s="5">
        <v>10882.757905166785</v>
      </c>
      <c r="O4603" s="5">
        <v>16462.170789592048</v>
      </c>
      <c r="P4603" s="5">
        <v>18862.487147419793</v>
      </c>
      <c r="Q4603" s="5">
        <v>148345.62878828164</v>
      </c>
      <c r="R4603" s="5">
        <v>18349.337771428582</v>
      </c>
    </row>
    <row r="4604" spans="9:18">
      <c r="I4604" s="4">
        <v>4589</v>
      </c>
      <c r="J4604" s="5">
        <v>20002.201347927807</v>
      </c>
      <c r="K4604" s="5">
        <v>18218.584572172625</v>
      </c>
      <c r="L4604" s="5">
        <v>22412.045018675239</v>
      </c>
      <c r="M4604" s="5">
        <v>19795.661011456152</v>
      </c>
      <c r="N4604" s="5">
        <v>26115.05281128412</v>
      </c>
      <c r="O4604" s="5">
        <v>31172.963108652857</v>
      </c>
      <c r="P4604" s="5">
        <v>5836.7810663002319</v>
      </c>
      <c r="Q4604" s="5">
        <v>28797.29222718185</v>
      </c>
      <c r="R4604" s="5">
        <v>59414.886464347241</v>
      </c>
    </row>
    <row r="4605" spans="9:18">
      <c r="I4605" s="4">
        <v>4590</v>
      </c>
      <c r="J4605" s="5">
        <v>11936.262457073821</v>
      </c>
      <c r="K4605" s="5">
        <v>56656.842992470461</v>
      </c>
      <c r="L4605" s="5">
        <v>16014.071850041886</v>
      </c>
      <c r="M4605" s="5">
        <v>23449.501569180404</v>
      </c>
      <c r="N4605" s="5">
        <v>13511.694619545402</v>
      </c>
      <c r="O4605" s="5">
        <v>9708.4497800977806</v>
      </c>
      <c r="P4605" s="5">
        <v>26126.807131356076</v>
      </c>
      <c r="Q4605" s="5">
        <v>7457.1844090365566</v>
      </c>
      <c r="R4605" s="5">
        <v>55106.806585409526</v>
      </c>
    </row>
    <row r="4606" spans="9:18">
      <c r="I4606" s="4">
        <v>4591</v>
      </c>
      <c r="J4606" s="5">
        <v>27392.038553726634</v>
      </c>
      <c r="K4606" s="5">
        <v>23327.217259521742</v>
      </c>
      <c r="L4606" s="5">
        <v>18810.091753970282</v>
      </c>
      <c r="M4606" s="5">
        <v>29834.240613550006</v>
      </c>
      <c r="N4606" s="5">
        <v>18410.937863650517</v>
      </c>
      <c r="O4606" s="5">
        <v>49114.195066822271</v>
      </c>
      <c r="P4606" s="5">
        <v>29283.825979394511</v>
      </c>
      <c r="Q4606" s="5">
        <v>13865.641566869812</v>
      </c>
      <c r="R4606" s="5">
        <v>35232.418639121184</v>
      </c>
    </row>
    <row r="4607" spans="9:18">
      <c r="I4607" s="4">
        <v>4592</v>
      </c>
      <c r="J4607" s="5">
        <v>15064.079707240266</v>
      </c>
      <c r="K4607" s="5">
        <v>18086.448513145526</v>
      </c>
      <c r="L4607" s="5">
        <v>11827.803406885578</v>
      </c>
      <c r="M4607" s="5">
        <v>10111.451009425113</v>
      </c>
      <c r="N4607" s="5">
        <v>35826.921212852278</v>
      </c>
      <c r="O4607" s="5">
        <v>10738.305003664611</v>
      </c>
      <c r="P4607" s="5">
        <v>20391.123772341358</v>
      </c>
      <c r="Q4607" s="5">
        <v>30495.121067047665</v>
      </c>
      <c r="R4607" s="5">
        <v>114016.93673542379</v>
      </c>
    </row>
    <row r="4608" spans="9:18">
      <c r="I4608" s="4">
        <v>4593</v>
      </c>
      <c r="J4608" s="5">
        <v>21150.169973104224</v>
      </c>
      <c r="K4608" s="5">
        <v>21187.174639714212</v>
      </c>
      <c r="L4608" s="5">
        <v>14175.160754078657</v>
      </c>
      <c r="M4608" s="5">
        <v>12934.591863415189</v>
      </c>
      <c r="N4608" s="5">
        <v>23998.040874392525</v>
      </c>
      <c r="O4608" s="5">
        <v>20721.57544042755</v>
      </c>
      <c r="P4608" s="5">
        <v>33500.490132682797</v>
      </c>
      <c r="Q4608" s="5">
        <v>37497.234505125656</v>
      </c>
      <c r="R4608" s="5">
        <v>44707.053087992797</v>
      </c>
    </row>
    <row r="4609" spans="9:18">
      <c r="I4609" s="4">
        <v>4594</v>
      </c>
      <c r="J4609" s="5">
        <v>73074.062486361407</v>
      </c>
      <c r="K4609" s="5">
        <v>35705.595198125673</v>
      </c>
      <c r="L4609" s="5">
        <v>19359.475411188432</v>
      </c>
      <c r="M4609" s="5">
        <v>14432.283063351901</v>
      </c>
      <c r="N4609" s="5">
        <v>22511.351424689696</v>
      </c>
      <c r="O4609" s="5">
        <v>20721.57544042755</v>
      </c>
      <c r="P4609" s="5">
        <v>12790.85158217316</v>
      </c>
      <c r="Q4609" s="5">
        <v>48866.209623168346</v>
      </c>
      <c r="R4609" s="5">
        <v>6681.1887184356683</v>
      </c>
    </row>
    <row r="4610" spans="9:18">
      <c r="I4610" s="4">
        <v>4595</v>
      </c>
      <c r="J4610" s="5">
        <v>28169.050633834027</v>
      </c>
      <c r="K4610" s="5">
        <v>16665.1498926479</v>
      </c>
      <c r="L4610" s="5">
        <v>16616.161224349555</v>
      </c>
      <c r="M4610" s="5">
        <v>30830.81083227017</v>
      </c>
      <c r="N4610" s="5">
        <v>57711.498171893618</v>
      </c>
      <c r="O4610" s="5">
        <v>9869.5889207969612</v>
      </c>
      <c r="P4610" s="5">
        <v>3017.2887813579896</v>
      </c>
      <c r="Q4610" s="5">
        <v>15663.43865741136</v>
      </c>
      <c r="R4610" s="5">
        <v>93933.045103013996</v>
      </c>
    </row>
    <row r="4611" spans="9:18">
      <c r="I4611" s="4">
        <v>4596</v>
      </c>
      <c r="J4611" s="5">
        <v>11854.381651026555</v>
      </c>
      <c r="K4611" s="5">
        <v>34058.671324159091</v>
      </c>
      <c r="L4611" s="5">
        <v>14146.191653372813</v>
      </c>
      <c r="M4611" s="5">
        <v>30830.81083227017</v>
      </c>
      <c r="N4611" s="5">
        <v>21931.347680292267</v>
      </c>
      <c r="O4611" s="5">
        <v>25604.597681740845</v>
      </c>
      <c r="P4611" s="5">
        <v>3017.2887813579896</v>
      </c>
      <c r="Q4611" s="5">
        <v>28567.61306643406</v>
      </c>
      <c r="R4611" s="5">
        <v>8046.7106309763258</v>
      </c>
    </row>
    <row r="4612" spans="9:18">
      <c r="I4612" s="4">
        <v>4597</v>
      </c>
      <c r="J4612" s="5">
        <v>16544.73779470181</v>
      </c>
      <c r="K4612" s="5">
        <v>11206.053243692098</v>
      </c>
      <c r="L4612" s="5">
        <v>29265.217478369766</v>
      </c>
      <c r="M4612" s="5">
        <v>18879.640760542785</v>
      </c>
      <c r="N4612" s="5">
        <v>41563.89847100406</v>
      </c>
      <c r="O4612" s="5">
        <v>10746.295275180995</v>
      </c>
      <c r="P4612" s="5">
        <v>16650.229067545235</v>
      </c>
      <c r="Q4612" s="5">
        <v>28797.29222718185</v>
      </c>
      <c r="R4612" s="5">
        <v>7201.7586694681067</v>
      </c>
    </row>
    <row r="4613" spans="9:18">
      <c r="I4613" s="4">
        <v>4598</v>
      </c>
      <c r="J4613" s="5">
        <v>15064.079707240266</v>
      </c>
      <c r="K4613" s="5">
        <v>14611.618478071941</v>
      </c>
      <c r="L4613" s="5">
        <v>15923.549351835489</v>
      </c>
      <c r="M4613" s="5">
        <v>14217.48832834715</v>
      </c>
      <c r="N4613" s="5">
        <v>57711.498171893618</v>
      </c>
      <c r="O4613" s="5">
        <v>59207.798737851255</v>
      </c>
      <c r="P4613" s="5">
        <v>66904.018529955298</v>
      </c>
      <c r="Q4613" s="5">
        <v>22145.301831504508</v>
      </c>
      <c r="R4613" s="5">
        <v>7879.038918914337</v>
      </c>
    </row>
    <row r="4614" spans="9:18">
      <c r="I4614" s="4">
        <v>4599</v>
      </c>
      <c r="J4614" s="5">
        <v>22812.564910649318</v>
      </c>
      <c r="K4614" s="5">
        <v>9769.3659785458403</v>
      </c>
      <c r="L4614" s="5">
        <v>14691.846656953887</v>
      </c>
      <c r="M4614" s="5">
        <v>19151.339770278159</v>
      </c>
      <c r="N4614" s="5">
        <v>21009.255892677338</v>
      </c>
      <c r="O4614" s="5">
        <v>53007.660727727191</v>
      </c>
      <c r="P4614" s="5">
        <v>20391.123772341358</v>
      </c>
      <c r="Q4614" s="5">
        <v>52421.574537857021</v>
      </c>
      <c r="R4614" s="5">
        <v>18230.645544621442</v>
      </c>
    </row>
    <row r="4615" spans="9:18">
      <c r="I4615" s="4">
        <v>4600</v>
      </c>
      <c r="J4615" s="5">
        <v>16156.372629961115</v>
      </c>
      <c r="K4615" s="5">
        <v>15051.330276415061</v>
      </c>
      <c r="L4615" s="5">
        <v>15225.811035017256</v>
      </c>
      <c r="M4615" s="5">
        <v>13065.820809359835</v>
      </c>
      <c r="N4615" s="5">
        <v>12523.573732460784</v>
      </c>
      <c r="O4615" s="5">
        <v>25802.481365323994</v>
      </c>
      <c r="P4615" s="5">
        <v>9811.9720599964548</v>
      </c>
      <c r="Q4615" s="5">
        <v>31019.493883163672</v>
      </c>
      <c r="R4615" s="5">
        <v>86510.608303273053</v>
      </c>
    </row>
    <row r="4616" spans="9:18">
      <c r="I4616" s="4">
        <v>4601</v>
      </c>
      <c r="J4616" s="5">
        <v>15130.594750069789</v>
      </c>
      <c r="K4616" s="5">
        <v>12423.491400404893</v>
      </c>
      <c r="L4616" s="5">
        <v>16616.161224349555</v>
      </c>
      <c r="M4616" s="5">
        <v>13022.686998540772</v>
      </c>
      <c r="N4616" s="5">
        <v>24020.875410266352</v>
      </c>
      <c r="O4616" s="5">
        <v>33720.545907536376</v>
      </c>
      <c r="P4616" s="5">
        <v>29283.825979394511</v>
      </c>
      <c r="Q4616" s="5">
        <v>8880.8074399558282</v>
      </c>
      <c r="R4616" s="5">
        <v>24831.679362998926</v>
      </c>
    </row>
    <row r="4617" spans="9:18">
      <c r="I4617" s="4">
        <v>4602</v>
      </c>
      <c r="J4617" s="5">
        <v>14680.308400328413</v>
      </c>
      <c r="K4617" s="5">
        <v>16952.949313901812</v>
      </c>
      <c r="L4617" s="5">
        <v>22412.045018675239</v>
      </c>
      <c r="M4617" s="5">
        <v>20041.623430301417</v>
      </c>
      <c r="N4617" s="5">
        <v>45581.602064432409</v>
      </c>
      <c r="O4617" s="5">
        <v>35286.662852302201</v>
      </c>
      <c r="P4617" s="5">
        <v>27708.613526855763</v>
      </c>
      <c r="Q4617" s="5">
        <v>59134.059519022907</v>
      </c>
      <c r="R4617" s="5">
        <v>24831.679362998926</v>
      </c>
    </row>
    <row r="4618" spans="9:18">
      <c r="I4618" s="4">
        <v>4603</v>
      </c>
      <c r="J4618" s="5">
        <v>14017.326487344162</v>
      </c>
      <c r="K4618" s="5">
        <v>13331.01856102917</v>
      </c>
      <c r="L4618" s="5">
        <v>13417.453622029931</v>
      </c>
      <c r="M4618" s="5">
        <v>18691.941789825862</v>
      </c>
      <c r="N4618" s="5">
        <v>37309.151967087455</v>
      </c>
      <c r="O4618" s="5">
        <v>41653.890350944224</v>
      </c>
      <c r="P4618" s="5">
        <v>34768.042801665702</v>
      </c>
      <c r="Q4618" s="5">
        <v>3272.4685014937832</v>
      </c>
      <c r="R4618" s="5">
        <v>24722.972470599001</v>
      </c>
    </row>
    <row r="4619" spans="9:18">
      <c r="I4619" s="4">
        <v>4604</v>
      </c>
      <c r="J4619" s="5">
        <v>17592.832480262863</v>
      </c>
      <c r="K4619" s="5">
        <v>17903.387243834499</v>
      </c>
      <c r="L4619" s="5">
        <v>20698.842353987733</v>
      </c>
      <c r="M4619" s="5">
        <v>33862.836621974391</v>
      </c>
      <c r="N4619" s="5">
        <v>23283.854578052265</v>
      </c>
      <c r="O4619" s="5">
        <v>53007.660727727191</v>
      </c>
      <c r="P4619" s="5">
        <v>49519.098753410741</v>
      </c>
      <c r="Q4619" s="5">
        <v>15663.43865741136</v>
      </c>
      <c r="R4619" s="5">
        <v>182942.88598316166</v>
      </c>
    </row>
    <row r="4620" spans="9:18">
      <c r="I4620" s="4">
        <v>4605</v>
      </c>
      <c r="J4620" s="5">
        <v>14750.660273177687</v>
      </c>
      <c r="K4620" s="5">
        <v>43843.85059185313</v>
      </c>
      <c r="L4620" s="5">
        <v>13867.07093008449</v>
      </c>
      <c r="M4620" s="5">
        <v>12987.517521908694</v>
      </c>
      <c r="N4620" s="5">
        <v>14921.795973817481</v>
      </c>
      <c r="O4620" s="5">
        <v>9956.4031238965053</v>
      </c>
      <c r="P4620" s="5">
        <v>21039.927746191301</v>
      </c>
      <c r="Q4620" s="5">
        <v>71213.172792303565</v>
      </c>
      <c r="R4620" s="5">
        <v>3433.6677391851467</v>
      </c>
    </row>
    <row r="4621" spans="9:18">
      <c r="I4621" s="4">
        <v>4606</v>
      </c>
      <c r="J4621" s="5">
        <v>16156.372629961115</v>
      </c>
      <c r="K4621" s="5">
        <v>15347.101709242541</v>
      </c>
      <c r="L4621" s="5">
        <v>23561.450544884348</v>
      </c>
      <c r="M4621" s="5">
        <v>32751.734100446065</v>
      </c>
      <c r="N4621" s="5">
        <v>14921.795973817481</v>
      </c>
      <c r="O4621" s="5">
        <v>13550.031670770122</v>
      </c>
      <c r="P4621" s="5">
        <v>54292.749740228588</v>
      </c>
      <c r="Q4621" s="5">
        <v>59134.059519022907</v>
      </c>
      <c r="R4621" s="5">
        <v>18349.337771428582</v>
      </c>
    </row>
    <row r="4622" spans="9:18">
      <c r="I4622" s="4">
        <v>4607</v>
      </c>
      <c r="J4622" s="5">
        <v>14749.343145806102</v>
      </c>
      <c r="K4622" s="5">
        <v>20887.307279900142</v>
      </c>
      <c r="L4622" s="5">
        <v>15923.549351835489</v>
      </c>
      <c r="M4622" s="5">
        <v>32497.510405113037</v>
      </c>
      <c r="N4622" s="5">
        <v>8555.1229659096207</v>
      </c>
      <c r="O4622" s="5">
        <v>13519.384207850644</v>
      </c>
      <c r="P4622" s="5">
        <v>31127.87225845682</v>
      </c>
      <c r="Q4622" s="5">
        <v>7349.2234634219121</v>
      </c>
      <c r="R4622" s="5">
        <v>33863.04333215439</v>
      </c>
    </row>
    <row r="4623" spans="9:18">
      <c r="I4623" s="4">
        <v>4608</v>
      </c>
      <c r="J4623" s="5">
        <v>11843.28062342474</v>
      </c>
      <c r="K4623" s="5">
        <v>24728.095385476983</v>
      </c>
      <c r="L4623" s="5">
        <v>14344.859750762502</v>
      </c>
      <c r="M4623" s="5">
        <v>32497.510405113037</v>
      </c>
      <c r="N4623" s="5">
        <v>10882.757905166785</v>
      </c>
      <c r="O4623" s="5">
        <v>27508.313315384185</v>
      </c>
      <c r="P4623" s="5">
        <v>13793.886507202402</v>
      </c>
      <c r="Q4623" s="5">
        <v>21421.044775857536</v>
      </c>
      <c r="R4623" s="5">
        <v>8105.1944146993656</v>
      </c>
    </row>
    <row r="4624" spans="9:18">
      <c r="I4624" s="4">
        <v>4609</v>
      </c>
      <c r="J4624" s="5">
        <v>43272.831879770602</v>
      </c>
      <c r="K4624" s="5">
        <v>14095.75230105142</v>
      </c>
      <c r="L4624" s="5">
        <v>18379.634651549037</v>
      </c>
      <c r="M4624" s="5">
        <v>19151.339770278159</v>
      </c>
      <c r="N4624" s="5">
        <v>17891.96347244953</v>
      </c>
      <c r="O4624" s="5">
        <v>20930.098352661731</v>
      </c>
      <c r="P4624" s="5">
        <v>8662.4232458952465</v>
      </c>
      <c r="Q4624" s="5">
        <v>64585.328088516922</v>
      </c>
      <c r="R4624" s="5">
        <v>33290.909836056817</v>
      </c>
    </row>
    <row r="4625" spans="9:18">
      <c r="I4625" s="4">
        <v>4610</v>
      </c>
      <c r="J4625" s="5">
        <v>16305.770155972396</v>
      </c>
      <c r="K4625" s="5">
        <v>15487.124352801369</v>
      </c>
      <c r="L4625" s="5">
        <v>34748.877779456467</v>
      </c>
      <c r="M4625" s="5">
        <v>29041.83725675238</v>
      </c>
      <c r="N4625" s="5">
        <v>14921.795973817481</v>
      </c>
      <c r="O4625" s="5">
        <v>9708.4497800977806</v>
      </c>
      <c r="P4625" s="5">
        <v>54923.423457863879</v>
      </c>
      <c r="Q4625" s="5">
        <v>8502.450657922871</v>
      </c>
      <c r="R4625" s="5">
        <v>1535.701520095213</v>
      </c>
    </row>
    <row r="4626" spans="9:18">
      <c r="I4626" s="4">
        <v>4611</v>
      </c>
      <c r="J4626" s="5">
        <v>31559.699247539775</v>
      </c>
      <c r="K4626" s="5">
        <v>8223.1266007477425</v>
      </c>
      <c r="L4626" s="5">
        <v>15161.007794371622</v>
      </c>
      <c r="M4626" s="5">
        <v>16510.442870615672</v>
      </c>
      <c r="N4626" s="5">
        <v>14335.478134989447</v>
      </c>
      <c r="O4626" s="5">
        <v>13613.378495715853</v>
      </c>
      <c r="P4626" s="5">
        <v>24349.301972630979</v>
      </c>
      <c r="Q4626" s="5">
        <v>16803.875627203233</v>
      </c>
      <c r="R4626" s="5">
        <v>123773.40402252052</v>
      </c>
    </row>
    <row r="4627" spans="9:18">
      <c r="I4627" s="4">
        <v>4612</v>
      </c>
      <c r="J4627" s="5">
        <v>14538.277247583976</v>
      </c>
      <c r="K4627" s="5">
        <v>56656.842992470461</v>
      </c>
      <c r="L4627" s="5">
        <v>10752.183901283248</v>
      </c>
      <c r="M4627" s="5">
        <v>21712.71007234112</v>
      </c>
      <c r="N4627" s="5">
        <v>35826.921212852278</v>
      </c>
      <c r="O4627" s="5">
        <v>66253.993323243907</v>
      </c>
      <c r="P4627" s="5">
        <v>40377.463755170742</v>
      </c>
      <c r="Q4627" s="5">
        <v>148345.62878828164</v>
      </c>
      <c r="R4627" s="5">
        <v>17687.533637716911</v>
      </c>
    </row>
    <row r="4628" spans="9:18">
      <c r="I4628" s="4">
        <v>4613</v>
      </c>
      <c r="J4628" s="5">
        <v>21888.821432026474</v>
      </c>
      <c r="K4628" s="5">
        <v>15347.101709242541</v>
      </c>
      <c r="L4628" s="5">
        <v>25007.552172398639</v>
      </c>
      <c r="M4628" s="5">
        <v>32497.510405113037</v>
      </c>
      <c r="N4628" s="5">
        <v>15251.140047572881</v>
      </c>
      <c r="O4628" s="5">
        <v>3171.3006415671193</v>
      </c>
      <c r="P4628" s="5">
        <v>40377.463755170742</v>
      </c>
      <c r="Q4628" s="5">
        <v>28567.61306643406</v>
      </c>
      <c r="R4628" s="5">
        <v>23583.884732956092</v>
      </c>
    </row>
    <row r="4629" spans="9:18">
      <c r="I4629" s="4">
        <v>4614</v>
      </c>
      <c r="J4629" s="5">
        <v>16733.020222212988</v>
      </c>
      <c r="K4629" s="5">
        <v>13652.224205833634</v>
      </c>
      <c r="L4629" s="5">
        <v>10896.494237357269</v>
      </c>
      <c r="M4629" s="5">
        <v>36301.422888051464</v>
      </c>
      <c r="N4629" s="5">
        <v>15786.177386596903</v>
      </c>
      <c r="O4629" s="5">
        <v>16572.483389649329</v>
      </c>
      <c r="P4629" s="5">
        <v>12992.105410393709</v>
      </c>
      <c r="Q4629" s="5">
        <v>28776.080424849053</v>
      </c>
      <c r="R4629" s="5">
        <v>7201.7586694681067</v>
      </c>
    </row>
    <row r="4630" spans="9:18">
      <c r="I4630" s="4">
        <v>4615</v>
      </c>
      <c r="J4630" s="5">
        <v>11843.28062342474</v>
      </c>
      <c r="K4630" s="5">
        <v>15391.837334808681</v>
      </c>
      <c r="L4630" s="5">
        <v>19078.910217042379</v>
      </c>
      <c r="M4630" s="5">
        <v>18879.640760542785</v>
      </c>
      <c r="N4630" s="5">
        <v>23998.040874392525</v>
      </c>
      <c r="O4630" s="5">
        <v>27062.73412298776</v>
      </c>
      <c r="P4630" s="5">
        <v>39054.462981000084</v>
      </c>
      <c r="Q4630" s="5">
        <v>52421.574537857021</v>
      </c>
      <c r="R4630" s="5">
        <v>181970.23111012415</v>
      </c>
    </row>
    <row r="4631" spans="9:18">
      <c r="I4631" s="4">
        <v>4616</v>
      </c>
      <c r="J4631" s="5">
        <v>29760.443016608337</v>
      </c>
      <c r="K4631" s="5">
        <v>53937.689698015136</v>
      </c>
      <c r="L4631" s="5">
        <v>16777.996633299583</v>
      </c>
      <c r="M4631" s="5">
        <v>16881.579299055</v>
      </c>
      <c r="N4631" s="5">
        <v>45581.602064432409</v>
      </c>
      <c r="O4631" s="5">
        <v>8801.3667015774663</v>
      </c>
      <c r="P4631" s="5">
        <v>63015.124693769802</v>
      </c>
      <c r="Q4631" s="5">
        <v>8880.8074399558282</v>
      </c>
      <c r="R4631" s="5">
        <v>14079.827908007112</v>
      </c>
    </row>
    <row r="4632" spans="9:18">
      <c r="I4632" s="4">
        <v>4617</v>
      </c>
      <c r="J4632" s="5">
        <v>16156.372629961115</v>
      </c>
      <c r="K4632" s="5">
        <v>23934.551191616061</v>
      </c>
      <c r="L4632" s="5">
        <v>15359.132481533357</v>
      </c>
      <c r="M4632" s="5">
        <v>33862.836621974391</v>
      </c>
      <c r="N4632" s="5">
        <v>59876.136849941562</v>
      </c>
      <c r="O4632" s="5">
        <v>41653.890350944224</v>
      </c>
      <c r="P4632" s="5">
        <v>63015.124693769802</v>
      </c>
      <c r="Q4632" s="5">
        <v>35525.432376048877</v>
      </c>
      <c r="R4632" s="5">
        <v>20303.08745527079</v>
      </c>
    </row>
    <row r="4633" spans="9:18">
      <c r="I4633" s="4">
        <v>4618</v>
      </c>
      <c r="J4633" s="5">
        <v>22370.105711697011</v>
      </c>
      <c r="K4633" s="5">
        <v>15782.544184844044</v>
      </c>
      <c r="L4633" s="5">
        <v>21954.536591034263</v>
      </c>
      <c r="M4633" s="5">
        <v>13139.022167648376</v>
      </c>
      <c r="N4633" s="5">
        <v>11251.634703629026</v>
      </c>
      <c r="O4633" s="5">
        <v>10738.305003664611</v>
      </c>
      <c r="P4633" s="5">
        <v>49519.098753410741</v>
      </c>
      <c r="Q4633" s="5">
        <v>8474.2603471579441</v>
      </c>
      <c r="R4633" s="5">
        <v>17687.533637716911</v>
      </c>
    </row>
    <row r="4634" spans="9:18">
      <c r="I4634" s="4">
        <v>4619</v>
      </c>
      <c r="J4634" s="5">
        <v>12888.204629170894</v>
      </c>
      <c r="K4634" s="5">
        <v>30552.499930043898</v>
      </c>
      <c r="L4634" s="5">
        <v>17243.440968229323</v>
      </c>
      <c r="M4634" s="5">
        <v>14432.283063351901</v>
      </c>
      <c r="N4634" s="5">
        <v>21933.097106966918</v>
      </c>
      <c r="O4634" s="5">
        <v>16505.600261180331</v>
      </c>
      <c r="P4634" s="5">
        <v>27452.975716953504</v>
      </c>
      <c r="Q4634" s="5">
        <v>8832.660767995616</v>
      </c>
      <c r="R4634" s="5">
        <v>14079.827908007112</v>
      </c>
    </row>
    <row r="4635" spans="9:18">
      <c r="I4635" s="4">
        <v>4620</v>
      </c>
      <c r="J4635" s="5">
        <v>19121.054099180623</v>
      </c>
      <c r="K4635" s="5">
        <v>11403.533194020869</v>
      </c>
      <c r="L4635" s="5">
        <v>17716.90539191998</v>
      </c>
      <c r="M4635" s="5">
        <v>23454.775510296178</v>
      </c>
      <c r="N4635" s="5">
        <v>18410.937863650517</v>
      </c>
      <c r="O4635" s="5">
        <v>53007.660727727191</v>
      </c>
      <c r="P4635" s="5">
        <v>49519.098753410741</v>
      </c>
      <c r="Q4635" s="5">
        <v>8474.2603471579441</v>
      </c>
      <c r="R4635" s="5">
        <v>93933.045103013996</v>
      </c>
    </row>
    <row r="4636" spans="9:18">
      <c r="I4636" s="4">
        <v>4621</v>
      </c>
      <c r="J4636" s="5">
        <v>13391.049101507895</v>
      </c>
      <c r="K4636" s="5">
        <v>11206.053243692098</v>
      </c>
      <c r="L4636" s="5">
        <v>13037.115556745504</v>
      </c>
      <c r="M4636" s="5">
        <v>19795.661011456152</v>
      </c>
      <c r="N4636" s="5">
        <v>6130.3882288404347</v>
      </c>
      <c r="O4636" s="5">
        <v>20991.103410982985</v>
      </c>
      <c r="P4636" s="5">
        <v>66904.018529955298</v>
      </c>
      <c r="Q4636" s="5">
        <v>44911.749632594299</v>
      </c>
      <c r="R4636" s="5">
        <v>1535.701520095213</v>
      </c>
    </row>
    <row r="4637" spans="9:18">
      <c r="I4637" s="4">
        <v>4622</v>
      </c>
      <c r="J4637" s="5">
        <v>16459.003095225507</v>
      </c>
      <c r="K4637" s="5">
        <v>18821.113178054162</v>
      </c>
      <c r="L4637" s="5">
        <v>16472.138192556791</v>
      </c>
      <c r="M4637" s="5">
        <v>14660.631931099009</v>
      </c>
      <c r="N4637" s="5">
        <v>41563.89847100406</v>
      </c>
      <c r="O4637" s="5">
        <v>19430.912633256889</v>
      </c>
      <c r="P4637" s="5">
        <v>45161.732159568586</v>
      </c>
      <c r="Q4637" s="5">
        <v>28797.29222718185</v>
      </c>
      <c r="R4637" s="5">
        <v>50287.76786557267</v>
      </c>
    </row>
    <row r="4638" spans="9:18">
      <c r="I4638" s="4">
        <v>4623</v>
      </c>
      <c r="J4638" s="5">
        <v>12452.764985867625</v>
      </c>
      <c r="K4638" s="5">
        <v>11149.572204897504</v>
      </c>
      <c r="L4638" s="5">
        <v>16472.138192556791</v>
      </c>
      <c r="M4638" s="5">
        <v>7334.8610818348589</v>
      </c>
      <c r="N4638" s="5">
        <v>27833.630848857778</v>
      </c>
      <c r="O4638" s="5">
        <v>94068.324736096256</v>
      </c>
      <c r="P4638" s="5">
        <v>55152.110177667731</v>
      </c>
      <c r="Q4638" s="5">
        <v>129470.11441833655</v>
      </c>
      <c r="R4638" s="5">
        <v>7784.2246210242874</v>
      </c>
    </row>
    <row r="4639" spans="9:18">
      <c r="I4639" s="4">
        <v>4624</v>
      </c>
      <c r="J4639" s="5">
        <v>15064.079707240266</v>
      </c>
      <c r="K4639" s="5">
        <v>14587.813833513306</v>
      </c>
      <c r="L4639" s="5">
        <v>17693.864646288712</v>
      </c>
      <c r="M4639" s="5">
        <v>20788.503422877813</v>
      </c>
      <c r="N4639" s="5">
        <v>12592.300437162297</v>
      </c>
      <c r="O4639" s="5">
        <v>10270.120415297655</v>
      </c>
      <c r="P4639" s="5">
        <v>17974.179326980211</v>
      </c>
      <c r="Q4639" s="5">
        <v>31902.904306425251</v>
      </c>
      <c r="R4639" s="5">
        <v>123773.40402252052</v>
      </c>
    </row>
    <row r="4640" spans="9:18">
      <c r="I4640" s="4">
        <v>4625</v>
      </c>
      <c r="J4640" s="5">
        <v>15648.665245032147</v>
      </c>
      <c r="K4640" s="5">
        <v>95171.967522309933</v>
      </c>
      <c r="L4640" s="5">
        <v>27289.607394458035</v>
      </c>
      <c r="M4640" s="5">
        <v>32751.734100446065</v>
      </c>
      <c r="N4640" s="5">
        <v>14921.795973817481</v>
      </c>
      <c r="O4640" s="5">
        <v>5909.5347260996277</v>
      </c>
      <c r="P4640" s="5">
        <v>3831.1492650071077</v>
      </c>
      <c r="Q4640" s="5">
        <v>35525.432376048877</v>
      </c>
      <c r="R4640" s="5">
        <v>6681.1887184356683</v>
      </c>
    </row>
    <row r="4641" spans="9:18">
      <c r="I4641" s="4">
        <v>4626</v>
      </c>
      <c r="J4641" s="5">
        <v>13841.207384998772</v>
      </c>
      <c r="K4641" s="5">
        <v>13652.224205833634</v>
      </c>
      <c r="L4641" s="5">
        <v>24256.352541181568</v>
      </c>
      <c r="M4641" s="5">
        <v>13065.820809359835</v>
      </c>
      <c r="N4641" s="5">
        <v>28426.778914975595</v>
      </c>
      <c r="O4641" s="5">
        <v>25802.481365323994</v>
      </c>
      <c r="P4641" s="5">
        <v>16574.429708560569</v>
      </c>
      <c r="Q4641" s="5">
        <v>25156.033327562815</v>
      </c>
      <c r="R4641" s="5">
        <v>7394.6358885760465</v>
      </c>
    </row>
    <row r="4642" spans="9:18">
      <c r="I4642" s="4">
        <v>4627</v>
      </c>
      <c r="J4642" s="5">
        <v>8580.4413740966302</v>
      </c>
      <c r="K4642" s="5">
        <v>19467.955014411935</v>
      </c>
      <c r="L4642" s="5">
        <v>15922.087958863045</v>
      </c>
      <c r="M4642" s="5">
        <v>13022.686998540772</v>
      </c>
      <c r="N4642" s="5">
        <v>12592.300437162297</v>
      </c>
      <c r="O4642" s="5">
        <v>59207.798737851255</v>
      </c>
      <c r="P4642" s="5">
        <v>23769.190223735484</v>
      </c>
      <c r="Q4642" s="5">
        <v>31902.904306425251</v>
      </c>
      <c r="R4642" s="5">
        <v>7784.2246210242874</v>
      </c>
    </row>
    <row r="4643" spans="9:18">
      <c r="I4643" s="4">
        <v>4628</v>
      </c>
      <c r="J4643" s="5">
        <v>26634.853073396614</v>
      </c>
      <c r="K4643" s="5">
        <v>14587.813833513306</v>
      </c>
      <c r="L4643" s="5">
        <v>25389.332759288587</v>
      </c>
      <c r="M4643" s="5">
        <v>15586.009710351766</v>
      </c>
      <c r="N4643" s="5">
        <v>15786.177386596903</v>
      </c>
      <c r="O4643" s="5">
        <v>55264.438774006347</v>
      </c>
      <c r="P4643" s="5">
        <v>54100.778483493887</v>
      </c>
      <c r="Q4643" s="5">
        <v>148345.62878828164</v>
      </c>
      <c r="R4643" s="5">
        <v>72561.496699005787</v>
      </c>
    </row>
    <row r="4644" spans="9:18">
      <c r="I4644" s="4">
        <v>4629</v>
      </c>
      <c r="J4644" s="5">
        <v>17005.744061105343</v>
      </c>
      <c r="K4644" s="5">
        <v>15487.124352801369</v>
      </c>
      <c r="L4644" s="5">
        <v>14146.191653372813</v>
      </c>
      <c r="M4644" s="5">
        <v>18879.640760542785</v>
      </c>
      <c r="N4644" s="5">
        <v>19225.139878706803</v>
      </c>
      <c r="O4644" s="5">
        <v>41653.890350944224</v>
      </c>
      <c r="P4644" s="5">
        <v>54292.749740228588</v>
      </c>
      <c r="Q4644" s="5">
        <v>30495.121067047665</v>
      </c>
      <c r="R4644" s="5">
        <v>3311.4906988006405</v>
      </c>
    </row>
    <row r="4645" spans="9:18">
      <c r="I4645" s="4">
        <v>4630</v>
      </c>
      <c r="J4645" s="5">
        <v>11036.461796239426</v>
      </c>
      <c r="K4645" s="5">
        <v>14674.169276244838</v>
      </c>
      <c r="L4645" s="5">
        <v>14344.859750762502</v>
      </c>
      <c r="M4645" s="5">
        <v>14432.283063351901</v>
      </c>
      <c r="N4645" s="5">
        <v>11684.605182472778</v>
      </c>
      <c r="O4645" s="5">
        <v>83458.030763693328</v>
      </c>
      <c r="P4645" s="5">
        <v>14316.965520592317</v>
      </c>
      <c r="Q4645" s="5">
        <v>70295.978314632754</v>
      </c>
      <c r="R4645" s="5">
        <v>86510.608303273053</v>
      </c>
    </row>
    <row r="4646" spans="9:18">
      <c r="I4646" s="4">
        <v>4631</v>
      </c>
      <c r="J4646" s="5">
        <v>12701.339251949787</v>
      </c>
      <c r="K4646" s="5">
        <v>14878.52734402675</v>
      </c>
      <c r="L4646" s="5">
        <v>13622.976145621742</v>
      </c>
      <c r="M4646" s="5">
        <v>14217.48832834715</v>
      </c>
      <c r="N4646" s="5">
        <v>27841.916587595573</v>
      </c>
      <c r="O4646" s="5">
        <v>8024.6340027919978</v>
      </c>
      <c r="P4646" s="5">
        <v>106091.28270624072</v>
      </c>
      <c r="Q4646" s="5">
        <v>31974.553851773013</v>
      </c>
      <c r="R4646" s="5">
        <v>7118.1729476780347</v>
      </c>
    </row>
    <row r="4647" spans="9:18">
      <c r="I4647" s="4">
        <v>4632</v>
      </c>
      <c r="J4647" s="5">
        <v>14710.037865351254</v>
      </c>
      <c r="K4647" s="5">
        <v>30552.499930043898</v>
      </c>
      <c r="L4647" s="5">
        <v>17578.712723867691</v>
      </c>
      <c r="M4647" s="5">
        <v>20185.026038758231</v>
      </c>
      <c r="N4647" s="5">
        <v>22735.120948269971</v>
      </c>
      <c r="O4647" s="5">
        <v>9956.4031238965053</v>
      </c>
      <c r="P4647" s="5">
        <v>35569.894390728325</v>
      </c>
      <c r="Q4647" s="5">
        <v>28797.29222718185</v>
      </c>
      <c r="R4647" s="5">
        <v>23583.884732956092</v>
      </c>
    </row>
    <row r="4648" spans="9:18">
      <c r="I4648" s="4">
        <v>4633</v>
      </c>
      <c r="J4648" s="5">
        <v>15623.733864199699</v>
      </c>
      <c r="K4648" s="5">
        <v>14878.52734402675</v>
      </c>
      <c r="L4648" s="5">
        <v>17482.478480142941</v>
      </c>
      <c r="M4648" s="5">
        <v>19433.64679949253</v>
      </c>
      <c r="N4648" s="5">
        <v>26115.05281128412</v>
      </c>
      <c r="O4648" s="5">
        <v>13519.384207850644</v>
      </c>
      <c r="P4648" s="5">
        <v>29283.825979394511</v>
      </c>
      <c r="Q4648" s="5">
        <v>6386.5227360487288</v>
      </c>
      <c r="R4648" s="5">
        <v>122304.95880137496</v>
      </c>
    </row>
    <row r="4649" spans="9:18">
      <c r="I4649" s="4">
        <v>4634</v>
      </c>
      <c r="J4649" s="5">
        <v>18650.249281571734</v>
      </c>
      <c r="K4649" s="5">
        <v>30552.499930043898</v>
      </c>
      <c r="L4649" s="5">
        <v>21954.536591034263</v>
      </c>
      <c r="M4649" s="5">
        <v>10142.860128720422</v>
      </c>
      <c r="N4649" s="5">
        <v>25549.748582175915</v>
      </c>
      <c r="O4649" s="5">
        <v>94068.324736096256</v>
      </c>
      <c r="P4649" s="5">
        <v>20391.123772341358</v>
      </c>
      <c r="Q4649" s="5">
        <v>4924.9171270300558</v>
      </c>
      <c r="R4649" s="5">
        <v>14706.681111065362</v>
      </c>
    </row>
    <row r="4650" spans="9:18">
      <c r="I4650" s="4">
        <v>4635</v>
      </c>
      <c r="J4650" s="5">
        <v>9368.8270679249108</v>
      </c>
      <c r="K4650" s="5">
        <v>10931.803935361211</v>
      </c>
      <c r="L4650" s="5">
        <v>22319.409576580376</v>
      </c>
      <c r="M4650" s="5">
        <v>10451.914120098167</v>
      </c>
      <c r="N4650" s="5">
        <v>36962.805083900916</v>
      </c>
      <c r="O4650" s="5">
        <v>30608.431994348266</v>
      </c>
      <c r="P4650" s="5">
        <v>33500.490132682797</v>
      </c>
      <c r="Q4650" s="5">
        <v>54060.5331097772</v>
      </c>
      <c r="R4650" s="5">
        <v>93933.045103013996</v>
      </c>
    </row>
    <row r="4651" spans="9:18">
      <c r="I4651" s="4">
        <v>4636</v>
      </c>
      <c r="J4651" s="5">
        <v>16459.003095225507</v>
      </c>
      <c r="K4651" s="5">
        <v>15051.330276415061</v>
      </c>
      <c r="L4651" s="5">
        <v>15471.738323660695</v>
      </c>
      <c r="M4651" s="5">
        <v>11860.862376247747</v>
      </c>
      <c r="N4651" s="5">
        <v>22868.569282757788</v>
      </c>
      <c r="O4651" s="5">
        <v>10738.305003664611</v>
      </c>
      <c r="P4651" s="5">
        <v>41657.50350099193</v>
      </c>
      <c r="Q4651" s="5">
        <v>129470.11441833655</v>
      </c>
      <c r="R4651" s="5">
        <v>8046.7106309763258</v>
      </c>
    </row>
    <row r="4652" spans="9:18">
      <c r="I4652" s="4">
        <v>4637</v>
      </c>
      <c r="J4652" s="5">
        <v>16544.73779470181</v>
      </c>
      <c r="K4652" s="5">
        <v>15698.764831033119</v>
      </c>
      <c r="L4652" s="5">
        <v>17243.440968229323</v>
      </c>
      <c r="M4652" s="5">
        <v>15202.972920708273</v>
      </c>
      <c r="N4652" s="5">
        <v>11952.903761138405</v>
      </c>
      <c r="O4652" s="5">
        <v>49114.195066822271</v>
      </c>
      <c r="P4652" s="5">
        <v>36724.352187786957</v>
      </c>
      <c r="Q4652" s="5">
        <v>9645.8788061228515</v>
      </c>
      <c r="R4652" s="5">
        <v>46004.399892616471</v>
      </c>
    </row>
    <row r="4653" spans="9:18">
      <c r="I4653" s="4">
        <v>4638</v>
      </c>
      <c r="J4653" s="5">
        <v>22812.564910649318</v>
      </c>
      <c r="K4653" s="5">
        <v>34058.671324159091</v>
      </c>
      <c r="L4653" s="5">
        <v>17482.478480142941</v>
      </c>
      <c r="M4653" s="5">
        <v>21072.983263501868</v>
      </c>
      <c r="N4653" s="5">
        <v>8555.1229659096207</v>
      </c>
      <c r="O4653" s="5">
        <v>9320.7026593487881</v>
      </c>
      <c r="P4653" s="5">
        <v>31127.87225845682</v>
      </c>
      <c r="Q4653" s="5">
        <v>56069.347629295014</v>
      </c>
      <c r="R4653" s="5">
        <v>216919.53009911609</v>
      </c>
    </row>
    <row r="4654" spans="9:18">
      <c r="I4654" s="4">
        <v>4639</v>
      </c>
      <c r="J4654" s="5">
        <v>15064.079707240266</v>
      </c>
      <c r="K4654" s="5">
        <v>21218.439146892688</v>
      </c>
      <c r="L4654" s="5">
        <v>18475.258050488967</v>
      </c>
      <c r="M4654" s="5">
        <v>19151.339770278159</v>
      </c>
      <c r="N4654" s="5">
        <v>11952.903761138405</v>
      </c>
      <c r="O4654" s="5">
        <v>20489.622805425737</v>
      </c>
      <c r="P4654" s="5">
        <v>45161.732159568586</v>
      </c>
      <c r="Q4654" s="5">
        <v>116445.46783345108</v>
      </c>
      <c r="R4654" s="5">
        <v>81423.874800517297</v>
      </c>
    </row>
    <row r="4655" spans="9:18">
      <c r="I4655" s="4">
        <v>4640</v>
      </c>
      <c r="J4655" s="5">
        <v>17592.832480262863</v>
      </c>
      <c r="K4655" s="5">
        <v>26110.948843472826</v>
      </c>
      <c r="L4655" s="5">
        <v>15300.182042823812</v>
      </c>
      <c r="M4655" s="5">
        <v>15346.383801976139</v>
      </c>
      <c r="N4655" s="5">
        <v>19225.139878706803</v>
      </c>
      <c r="O4655" s="5">
        <v>6199.3195463515376</v>
      </c>
      <c r="P4655" s="5">
        <v>36724.352187786957</v>
      </c>
      <c r="Q4655" s="5">
        <v>48756.323642664109</v>
      </c>
      <c r="R4655" s="5">
        <v>40368.364083205248</v>
      </c>
    </row>
    <row r="4656" spans="9:18">
      <c r="I4656" s="4">
        <v>4641</v>
      </c>
      <c r="J4656" s="5">
        <v>12701.339251949787</v>
      </c>
      <c r="K4656" s="5">
        <v>15391.837334808681</v>
      </c>
      <c r="L4656" s="5">
        <v>15922.087958863045</v>
      </c>
      <c r="M4656" s="5">
        <v>10451.914120098167</v>
      </c>
      <c r="N4656" s="5">
        <v>10882.757905166785</v>
      </c>
      <c r="O4656" s="5">
        <v>42492.261063288854</v>
      </c>
      <c r="P4656" s="5">
        <v>54100.778483493887</v>
      </c>
      <c r="Q4656" s="5">
        <v>21421.044775857536</v>
      </c>
      <c r="R4656" s="5">
        <v>14079.827908007112</v>
      </c>
    </row>
    <row r="4657" spans="9:18">
      <c r="I4657" s="4">
        <v>4642</v>
      </c>
      <c r="J4657" s="5">
        <v>16145.071869702888</v>
      </c>
      <c r="K4657" s="5">
        <v>22732.797143159998</v>
      </c>
      <c r="L4657" s="5">
        <v>13622.976145621742</v>
      </c>
      <c r="M4657" s="5">
        <v>22961.931350882205</v>
      </c>
      <c r="N4657" s="5">
        <v>11635.644856128632</v>
      </c>
      <c r="O4657" s="5">
        <v>30608.431994348266</v>
      </c>
      <c r="P4657" s="5">
        <v>27452.975716953504</v>
      </c>
      <c r="Q4657" s="5">
        <v>28776.080424849053</v>
      </c>
      <c r="R4657" s="5">
        <v>12116.34255245842</v>
      </c>
    </row>
    <row r="4658" spans="9:18">
      <c r="I4658" s="4">
        <v>4643</v>
      </c>
      <c r="J4658" s="5">
        <v>28590.354879265724</v>
      </c>
      <c r="K4658" s="5">
        <v>21218.439146892688</v>
      </c>
      <c r="L4658" s="5">
        <v>11827.803406885578</v>
      </c>
      <c r="M4658" s="5">
        <v>19890.009981657669</v>
      </c>
      <c r="N4658" s="5">
        <v>23283.854578052265</v>
      </c>
      <c r="O4658" s="5">
        <v>25604.597681740845</v>
      </c>
      <c r="P4658" s="5">
        <v>21933.779100635442</v>
      </c>
      <c r="Q4658" s="5">
        <v>37802.358878968138</v>
      </c>
      <c r="R4658" s="5">
        <v>10885.018205103002</v>
      </c>
    </row>
    <row r="4659" spans="9:18">
      <c r="I4659" s="4">
        <v>4644</v>
      </c>
      <c r="J4659" s="5">
        <v>14680.308400328413</v>
      </c>
      <c r="K4659" s="5">
        <v>13652.224205833634</v>
      </c>
      <c r="L4659" s="5">
        <v>34748.877779456467</v>
      </c>
      <c r="M4659" s="5">
        <v>11680.747299075838</v>
      </c>
      <c r="N4659" s="5">
        <v>24853.247795632611</v>
      </c>
      <c r="O4659" s="5">
        <v>21930.527973988665</v>
      </c>
      <c r="P4659" s="5">
        <v>8662.4232458952465</v>
      </c>
      <c r="Q4659" s="5">
        <v>28567.61306643406</v>
      </c>
      <c r="R4659" s="5">
        <v>181970.23111012415</v>
      </c>
    </row>
    <row r="4660" spans="9:18">
      <c r="I4660" s="4">
        <v>4645</v>
      </c>
      <c r="J4660" s="5">
        <v>14710.037865351254</v>
      </c>
      <c r="K4660" s="5">
        <v>14878.52734402675</v>
      </c>
      <c r="L4660" s="5">
        <v>15832.5469007027</v>
      </c>
      <c r="M4660" s="5">
        <v>25580.243606220469</v>
      </c>
      <c r="N4660" s="5">
        <v>45581.602064432409</v>
      </c>
      <c r="O4660" s="5">
        <v>40304.23053285561</v>
      </c>
      <c r="P4660" s="5">
        <v>5836.7810663002319</v>
      </c>
      <c r="Q4660" s="5">
        <v>28797.29222718185</v>
      </c>
      <c r="R4660" s="5">
        <v>17304.847214362417</v>
      </c>
    </row>
    <row r="4661" spans="9:18">
      <c r="I4661" s="4">
        <v>4646</v>
      </c>
      <c r="J4661" s="5">
        <v>12035.382213755307</v>
      </c>
      <c r="K4661" s="5">
        <v>12026.500118162745</v>
      </c>
      <c r="L4661" s="5">
        <v>16017.890956041876</v>
      </c>
      <c r="M4661" s="5">
        <v>15346.383801976139</v>
      </c>
      <c r="N4661" s="5">
        <v>40377.252444397986</v>
      </c>
      <c r="O4661" s="5">
        <v>9708.4497800977806</v>
      </c>
      <c r="P4661" s="5">
        <v>21933.779100635442</v>
      </c>
      <c r="Q4661" s="5">
        <v>13099.063525342741</v>
      </c>
      <c r="R4661" s="5">
        <v>41056.152565483346</v>
      </c>
    </row>
    <row r="4662" spans="9:18">
      <c r="I4662" s="4">
        <v>4647</v>
      </c>
      <c r="J4662" s="5">
        <v>28169.050633834027</v>
      </c>
      <c r="K4662" s="5">
        <v>11507.182177474708</v>
      </c>
      <c r="L4662" s="5">
        <v>15923.549351835489</v>
      </c>
      <c r="M4662" s="5">
        <v>25580.243606220469</v>
      </c>
      <c r="N4662" s="5">
        <v>22868.569282757788</v>
      </c>
      <c r="O4662" s="5">
        <v>30608.431994348266</v>
      </c>
      <c r="P4662" s="5">
        <v>10733.318076105543</v>
      </c>
      <c r="Q4662" s="5">
        <v>64585.328088516922</v>
      </c>
      <c r="R4662" s="5">
        <v>8046.7106309763258</v>
      </c>
    </row>
    <row r="4663" spans="9:18">
      <c r="I4663" s="4">
        <v>4648</v>
      </c>
      <c r="J4663" s="5">
        <v>21888.821432026474</v>
      </c>
      <c r="K4663" s="5">
        <v>13520.836427679104</v>
      </c>
      <c r="L4663" s="5">
        <v>15225.811035017256</v>
      </c>
      <c r="M4663" s="5">
        <v>29041.83725675238</v>
      </c>
      <c r="N4663" s="5">
        <v>18410.937863650517</v>
      </c>
      <c r="O4663" s="5">
        <v>53504.725169095313</v>
      </c>
      <c r="P4663" s="5">
        <v>33715.790977629549</v>
      </c>
      <c r="Q4663" s="5">
        <v>28776.080424849053</v>
      </c>
      <c r="R4663" s="5">
        <v>5865.9802599669383</v>
      </c>
    </row>
    <row r="4664" spans="9:18">
      <c r="I4664" s="4">
        <v>4649</v>
      </c>
      <c r="J4664" s="5">
        <v>33627.941293959229</v>
      </c>
      <c r="K4664" s="5">
        <v>14611.618478071941</v>
      </c>
      <c r="L4664" s="5">
        <v>25389.332759288587</v>
      </c>
      <c r="M4664" s="5">
        <v>13616.35938654862</v>
      </c>
      <c r="N4664" s="5">
        <v>22735.120948269971</v>
      </c>
      <c r="O4664" s="5">
        <v>6199.3195463515376</v>
      </c>
      <c r="P4664" s="5">
        <v>9811.9720599964548</v>
      </c>
      <c r="Q4664" s="5">
        <v>42044.890065817184</v>
      </c>
      <c r="R4664" s="5">
        <v>72561.496699005787</v>
      </c>
    </row>
    <row r="4665" spans="9:18">
      <c r="I4665" s="4">
        <v>4650</v>
      </c>
      <c r="J4665" s="5">
        <v>12452.764985867625</v>
      </c>
      <c r="K4665" s="5">
        <v>34058.671324159091</v>
      </c>
      <c r="L4665" s="5">
        <v>13037.115556745504</v>
      </c>
      <c r="M4665" s="5">
        <v>21712.71007234112</v>
      </c>
      <c r="N4665" s="5">
        <v>29468.83360104046</v>
      </c>
      <c r="O4665" s="5">
        <v>59207.798737851255</v>
      </c>
      <c r="P4665" s="5">
        <v>13793.886507202402</v>
      </c>
      <c r="Q4665" s="5">
        <v>27018.509959127641</v>
      </c>
      <c r="R4665" s="5">
        <v>3433.6677391851467</v>
      </c>
    </row>
    <row r="4666" spans="9:18">
      <c r="I4666" s="4">
        <v>4651</v>
      </c>
      <c r="J4666" s="5">
        <v>23517.429992060665</v>
      </c>
      <c r="K4666" s="5">
        <v>14136.873097602549</v>
      </c>
      <c r="L4666" s="5">
        <v>16106.634875163341</v>
      </c>
      <c r="M4666" s="5">
        <v>19430.369425783585</v>
      </c>
      <c r="N4666" s="5">
        <v>10882.757905166785</v>
      </c>
      <c r="O4666" s="5">
        <v>16462.170789592048</v>
      </c>
      <c r="P4666" s="5">
        <v>14773.185437294762</v>
      </c>
      <c r="Q4666" s="5">
        <v>28567.61306643406</v>
      </c>
      <c r="R4666" s="5">
        <v>8130.5639219412278</v>
      </c>
    </row>
    <row r="4667" spans="9:18">
      <c r="I4667" s="4">
        <v>4652</v>
      </c>
      <c r="J4667" s="5">
        <v>16156.372629961115</v>
      </c>
      <c r="K4667" s="5">
        <v>12777.667398488715</v>
      </c>
      <c r="L4667" s="5">
        <v>19359.475411188432</v>
      </c>
      <c r="M4667" s="5">
        <v>6367.5407465007311</v>
      </c>
      <c r="N4667" s="5">
        <v>11251.634703629026</v>
      </c>
      <c r="O4667" s="5">
        <v>53007.660727727191</v>
      </c>
      <c r="P4667" s="5">
        <v>55119.366528283317</v>
      </c>
      <c r="Q4667" s="5">
        <v>70295.978314632754</v>
      </c>
      <c r="R4667" s="5">
        <v>81423.874800517297</v>
      </c>
    </row>
    <row r="4668" spans="9:18">
      <c r="I4668" s="4">
        <v>4653</v>
      </c>
      <c r="J4668" s="5">
        <v>12056.41843703942</v>
      </c>
      <c r="K4668" s="5">
        <v>43843.85059185313</v>
      </c>
      <c r="L4668" s="5">
        <v>14344.859750762502</v>
      </c>
      <c r="M4668" s="5">
        <v>18177.175180585615</v>
      </c>
      <c r="N4668" s="5">
        <v>24020.875410266352</v>
      </c>
      <c r="O4668" s="5">
        <v>26565.882515615398</v>
      </c>
      <c r="P4668" s="5">
        <v>12639.596794453437</v>
      </c>
      <c r="Q4668" s="5">
        <v>12451.066014448154</v>
      </c>
      <c r="R4668" s="5">
        <v>93933.045103013996</v>
      </c>
    </row>
    <row r="4669" spans="9:18">
      <c r="I4669" s="4">
        <v>4654</v>
      </c>
      <c r="J4669" s="5">
        <v>14017.326487344162</v>
      </c>
      <c r="K4669" s="5">
        <v>19467.955014411935</v>
      </c>
      <c r="L4669" s="5">
        <v>17716.90539191998</v>
      </c>
      <c r="M4669" s="5">
        <v>18177.175180585615</v>
      </c>
      <c r="N4669" s="5">
        <v>14921.795973817481</v>
      </c>
      <c r="O4669" s="5">
        <v>51330.340277512776</v>
      </c>
      <c r="P4669" s="5">
        <v>3017.2887813579896</v>
      </c>
      <c r="Q4669" s="5">
        <v>59964.86015574776</v>
      </c>
      <c r="R4669" s="5">
        <v>26783.439354489365</v>
      </c>
    </row>
    <row r="4670" spans="9:18">
      <c r="I4670" s="4">
        <v>4655</v>
      </c>
      <c r="J4670" s="5">
        <v>16733.020222212988</v>
      </c>
      <c r="K4670" s="5">
        <v>13331.01856102917</v>
      </c>
      <c r="L4670" s="5">
        <v>17693.864646288712</v>
      </c>
      <c r="M4670" s="5">
        <v>32497.510405113037</v>
      </c>
      <c r="N4670" s="5">
        <v>25549.748582175915</v>
      </c>
      <c r="O4670" s="5">
        <v>27084.483614751469</v>
      </c>
      <c r="P4670" s="5">
        <v>9826.8369575407578</v>
      </c>
      <c r="Q4670" s="5">
        <v>27018.509959127641</v>
      </c>
      <c r="R4670" s="5">
        <v>29295.938844292672</v>
      </c>
    </row>
    <row r="4671" spans="9:18">
      <c r="I4671" s="4">
        <v>4656</v>
      </c>
      <c r="J4671" s="5">
        <v>43272.831879770602</v>
      </c>
      <c r="K4671" s="5">
        <v>13719.930466819731</v>
      </c>
      <c r="L4671" s="5">
        <v>13867.07093008449</v>
      </c>
      <c r="M4671" s="5">
        <v>22815.60259636537</v>
      </c>
      <c r="N4671" s="5">
        <v>45581.602064432409</v>
      </c>
      <c r="O4671" s="5">
        <v>6199.3195463515376</v>
      </c>
      <c r="P4671" s="5">
        <v>9047.5556949992188</v>
      </c>
      <c r="Q4671" s="5">
        <v>31019.493883163672</v>
      </c>
      <c r="R4671" s="5">
        <v>50287.76786557267</v>
      </c>
    </row>
    <row r="4672" spans="9:18">
      <c r="I4672" s="4">
        <v>4657</v>
      </c>
      <c r="J4672" s="5">
        <v>31559.699247539775</v>
      </c>
      <c r="K4672" s="5">
        <v>15051.330276415061</v>
      </c>
      <c r="L4672" s="5">
        <v>15126.980926457318</v>
      </c>
      <c r="M4672" s="5">
        <v>17116.951435661951</v>
      </c>
      <c r="N4672" s="5">
        <v>6130.3882288404347</v>
      </c>
      <c r="O4672" s="5">
        <v>20991.103410982985</v>
      </c>
      <c r="P4672" s="5">
        <v>10532.667493814919</v>
      </c>
      <c r="Q4672" s="5">
        <v>14064.158297039334</v>
      </c>
      <c r="R4672" s="5">
        <v>29295.938844292672</v>
      </c>
    </row>
    <row r="4673" spans="9:18">
      <c r="I4673" s="4">
        <v>4658</v>
      </c>
      <c r="J4673" s="5">
        <v>15648.665245032147</v>
      </c>
      <c r="K4673" s="5">
        <v>21187.174639714212</v>
      </c>
      <c r="L4673" s="5">
        <v>18634.523182776735</v>
      </c>
      <c r="M4673" s="5">
        <v>13139.022167648376</v>
      </c>
      <c r="N4673" s="5">
        <v>4770.4216775830728</v>
      </c>
      <c r="O4673" s="5">
        <v>25644.588869829797</v>
      </c>
      <c r="P4673" s="5">
        <v>16072.735485912413</v>
      </c>
      <c r="Q4673" s="5">
        <v>22145.301831504508</v>
      </c>
      <c r="R4673" s="5">
        <v>12116.34255245842</v>
      </c>
    </row>
    <row r="4674" spans="9:18">
      <c r="I4674" s="4">
        <v>4659</v>
      </c>
      <c r="J4674" s="5">
        <v>16788.081681455456</v>
      </c>
      <c r="K4674" s="5">
        <v>11558.357574452555</v>
      </c>
      <c r="L4674" s="5">
        <v>17920.486090689363</v>
      </c>
      <c r="M4674" s="5">
        <v>24981.974172352908</v>
      </c>
      <c r="N4674" s="5">
        <v>11251.634703629026</v>
      </c>
      <c r="O4674" s="5">
        <v>67717.30633712461</v>
      </c>
      <c r="P4674" s="5">
        <v>14316.965520592317</v>
      </c>
      <c r="Q4674" s="5">
        <v>129470.11441833655</v>
      </c>
      <c r="R4674" s="5">
        <v>23583.884732956092</v>
      </c>
    </row>
    <row r="4675" spans="9:18">
      <c r="I4675" s="4">
        <v>4660</v>
      </c>
      <c r="J4675" s="5">
        <v>14750.660273177687</v>
      </c>
      <c r="K4675" s="5">
        <v>32073.547537933715</v>
      </c>
      <c r="L4675" s="5">
        <v>16472.138192556791</v>
      </c>
      <c r="M4675" s="5">
        <v>16842.379179328669</v>
      </c>
      <c r="N4675" s="5">
        <v>24314.043643333731</v>
      </c>
      <c r="O4675" s="5">
        <v>30876.675913171162</v>
      </c>
      <c r="P4675" s="5">
        <v>14316.965520592317</v>
      </c>
      <c r="Q4675" s="5">
        <v>30266.563414010914</v>
      </c>
      <c r="R4675" s="5">
        <v>7201.7586694681067</v>
      </c>
    </row>
    <row r="4676" spans="9:18">
      <c r="I4676" s="4">
        <v>4661</v>
      </c>
      <c r="J4676" s="5">
        <v>16166.107684907736</v>
      </c>
      <c r="K4676" s="5">
        <v>11206.053243692098</v>
      </c>
      <c r="L4676" s="5">
        <v>17845.207337527903</v>
      </c>
      <c r="M4676" s="5">
        <v>16842.379179328669</v>
      </c>
      <c r="N4676" s="5">
        <v>20718.434293991453</v>
      </c>
      <c r="O4676" s="5">
        <v>5909.5347260996277</v>
      </c>
      <c r="P4676" s="5">
        <v>45161.732159568586</v>
      </c>
      <c r="Q4676" s="5">
        <v>9138.5169630896526</v>
      </c>
      <c r="R4676" s="5">
        <v>39727.513802035661</v>
      </c>
    </row>
    <row r="4677" spans="9:18">
      <c r="I4677" s="4">
        <v>4662</v>
      </c>
      <c r="J4677" s="5">
        <v>13045.114546182727</v>
      </c>
      <c r="K4677" s="5">
        <v>32073.547537933715</v>
      </c>
      <c r="L4677" s="5">
        <v>21428.663623484812</v>
      </c>
      <c r="M4677" s="5">
        <v>10111.451009425113</v>
      </c>
      <c r="N4677" s="5">
        <v>19225.139878706803</v>
      </c>
      <c r="O4677" s="5">
        <v>10746.295275180995</v>
      </c>
      <c r="P4677" s="5">
        <v>13793.886507202402</v>
      </c>
      <c r="Q4677" s="5">
        <v>15663.43865741136</v>
      </c>
      <c r="R4677" s="5">
        <v>55106.806585409526</v>
      </c>
    </row>
    <row r="4678" spans="9:18">
      <c r="I4678" s="4">
        <v>4663</v>
      </c>
      <c r="J4678" s="5">
        <v>22370.105711697011</v>
      </c>
      <c r="K4678" s="5">
        <v>61827.107730316675</v>
      </c>
      <c r="L4678" s="5">
        <v>14344.859750762502</v>
      </c>
      <c r="M4678" s="5">
        <v>36301.422888051464</v>
      </c>
      <c r="N4678" s="5">
        <v>23043.345403059295</v>
      </c>
      <c r="O4678" s="5">
        <v>9708.4497800977806</v>
      </c>
      <c r="P4678" s="5">
        <v>5735.6883097179207</v>
      </c>
      <c r="Q4678" s="5">
        <v>148345.62878828164</v>
      </c>
      <c r="R4678" s="5">
        <v>50287.76786557267</v>
      </c>
    </row>
    <row r="4679" spans="9:18">
      <c r="I4679" s="4">
        <v>4664</v>
      </c>
      <c r="J4679" s="5">
        <v>14741.240040396578</v>
      </c>
      <c r="K4679" s="5">
        <v>16132.555399908759</v>
      </c>
      <c r="L4679" s="5">
        <v>22319.409576580376</v>
      </c>
      <c r="M4679" s="5">
        <v>13011.820191946215</v>
      </c>
      <c r="N4679" s="5">
        <v>23283.854578052265</v>
      </c>
      <c r="O4679" s="5">
        <v>3171.3006415671193</v>
      </c>
      <c r="P4679" s="5">
        <v>8069.5385577067918</v>
      </c>
      <c r="Q4679" s="5">
        <v>19315.033835554255</v>
      </c>
      <c r="R4679" s="5">
        <v>76851.431017396084</v>
      </c>
    </row>
    <row r="4680" spans="9:18">
      <c r="I4680" s="4">
        <v>4665</v>
      </c>
      <c r="J4680" s="5">
        <v>14594.990625703947</v>
      </c>
      <c r="K4680" s="5">
        <v>13652.224205833634</v>
      </c>
      <c r="L4680" s="5">
        <v>14146.191653372813</v>
      </c>
      <c r="M4680" s="5">
        <v>15346.383801976139</v>
      </c>
      <c r="N4680" s="5">
        <v>10882.757905166785</v>
      </c>
      <c r="O4680" s="5">
        <v>30608.431994348266</v>
      </c>
      <c r="P4680" s="5">
        <v>46514.467673254068</v>
      </c>
      <c r="Q4680" s="5">
        <v>31618.396253255491</v>
      </c>
      <c r="R4680" s="5">
        <v>38898.713625068609</v>
      </c>
    </row>
    <row r="4681" spans="9:18">
      <c r="I4681" s="4">
        <v>4666</v>
      </c>
      <c r="J4681" s="5">
        <v>15623.733864199699</v>
      </c>
      <c r="K4681" s="5">
        <v>13719.930466819731</v>
      </c>
      <c r="L4681" s="5">
        <v>16472.138192556791</v>
      </c>
      <c r="M4681" s="5">
        <v>19795.661011456152</v>
      </c>
      <c r="N4681" s="5">
        <v>19125.360074567652</v>
      </c>
      <c r="O4681" s="5">
        <v>42492.261063288854</v>
      </c>
      <c r="P4681" s="5">
        <v>14316.965520592317</v>
      </c>
      <c r="Q4681" s="5">
        <v>31902.904306425251</v>
      </c>
      <c r="R4681" s="5">
        <v>31715.273557891396</v>
      </c>
    </row>
    <row r="4682" spans="9:18">
      <c r="I4682" s="4">
        <v>4667</v>
      </c>
      <c r="J4682" s="5">
        <v>21717.214093683677</v>
      </c>
      <c r="K4682" s="5">
        <v>12423.491400404893</v>
      </c>
      <c r="L4682" s="5">
        <v>15487.970507365942</v>
      </c>
      <c r="M4682" s="5">
        <v>21072.983263501868</v>
      </c>
      <c r="N4682" s="5">
        <v>27833.630848857778</v>
      </c>
      <c r="O4682" s="5">
        <v>40304.23053285561</v>
      </c>
      <c r="P4682" s="5">
        <v>9047.5556949992188</v>
      </c>
      <c r="Q4682" s="5">
        <v>27018.509959127641</v>
      </c>
      <c r="R4682" s="5">
        <v>89167.415757270224</v>
      </c>
    </row>
    <row r="4683" spans="9:18">
      <c r="I4683" s="4">
        <v>4668</v>
      </c>
      <c r="J4683" s="5">
        <v>16459.003095225507</v>
      </c>
      <c r="K4683" s="5">
        <v>16952.949313901812</v>
      </c>
      <c r="L4683" s="5">
        <v>14815.394001212817</v>
      </c>
      <c r="M4683" s="5">
        <v>19097.39635881727</v>
      </c>
      <c r="N4683" s="5">
        <v>63974.903847153939</v>
      </c>
      <c r="O4683" s="5">
        <v>94068.324736096256</v>
      </c>
      <c r="P4683" s="5">
        <v>25258.981945036445</v>
      </c>
      <c r="Q4683" s="5">
        <v>19541.409060825732</v>
      </c>
      <c r="R4683" s="5">
        <v>55012.315589742022</v>
      </c>
    </row>
    <row r="4684" spans="9:18">
      <c r="I4684" s="4">
        <v>4669</v>
      </c>
      <c r="J4684" s="5">
        <v>14538.277247583976</v>
      </c>
      <c r="K4684" s="5">
        <v>19467.955014411935</v>
      </c>
      <c r="L4684" s="5">
        <v>14146.191653372813</v>
      </c>
      <c r="M4684" s="5">
        <v>17116.951435661951</v>
      </c>
      <c r="N4684" s="5">
        <v>25424.029865101274</v>
      </c>
      <c r="O4684" s="5">
        <v>16826.763259351828</v>
      </c>
      <c r="P4684" s="5">
        <v>3930.0915591834291</v>
      </c>
      <c r="Q4684" s="5">
        <v>17493.456269945855</v>
      </c>
      <c r="R4684" s="5">
        <v>122304.95880137496</v>
      </c>
    </row>
    <row r="4685" spans="9:18">
      <c r="I4685" s="4">
        <v>4670</v>
      </c>
      <c r="J4685" s="5">
        <v>15352.465904292809</v>
      </c>
      <c r="K4685" s="5">
        <v>13288.692555879701</v>
      </c>
      <c r="L4685" s="5">
        <v>16293.265064857471</v>
      </c>
      <c r="M4685" s="5">
        <v>13616.35938654862</v>
      </c>
      <c r="N4685" s="5">
        <v>59876.136849941562</v>
      </c>
      <c r="O4685" s="5">
        <v>40942.522561879181</v>
      </c>
      <c r="P4685" s="5">
        <v>49519.098753410741</v>
      </c>
      <c r="Q4685" s="5">
        <v>52421.574537857021</v>
      </c>
      <c r="R4685" s="5">
        <v>38898.713625068609</v>
      </c>
    </row>
    <row r="4686" spans="9:18">
      <c r="I4686" s="4">
        <v>4671</v>
      </c>
      <c r="J4686" s="5">
        <v>11936.262457073821</v>
      </c>
      <c r="K4686" s="5">
        <v>11857.447519815871</v>
      </c>
      <c r="L4686" s="5">
        <v>14649.721476864312</v>
      </c>
      <c r="M4686" s="5">
        <v>23515.935489506261</v>
      </c>
      <c r="N4686" s="5">
        <v>36962.805083900916</v>
      </c>
      <c r="O4686" s="5">
        <v>14371.728352806511</v>
      </c>
      <c r="P4686" s="5">
        <v>35569.894390728325</v>
      </c>
      <c r="Q4686" s="5">
        <v>100789.83462564547</v>
      </c>
      <c r="R4686" s="5">
        <v>23583.884732956092</v>
      </c>
    </row>
    <row r="4687" spans="9:18">
      <c r="I4687" s="4">
        <v>4672</v>
      </c>
      <c r="J4687" s="5">
        <v>7855.2948890116513</v>
      </c>
      <c r="K4687" s="5">
        <v>14095.75230105142</v>
      </c>
      <c r="L4687" s="5">
        <v>15471.738323660695</v>
      </c>
      <c r="M4687" s="5">
        <v>33862.836621974391</v>
      </c>
      <c r="N4687" s="5">
        <v>20558.672182394013</v>
      </c>
      <c r="O4687" s="5">
        <v>62082.6862081785</v>
      </c>
      <c r="P4687" s="5">
        <v>83536.241167211992</v>
      </c>
      <c r="Q4687" s="5">
        <v>59964.86015574776</v>
      </c>
      <c r="R4687" s="5">
        <v>24722.972470599001</v>
      </c>
    </row>
    <row r="4688" spans="9:18">
      <c r="I4688" s="4">
        <v>4673</v>
      </c>
      <c r="J4688" s="5">
        <v>29760.443016608337</v>
      </c>
      <c r="K4688" s="5">
        <v>15631.937142257386</v>
      </c>
      <c r="L4688" s="5">
        <v>22018.381599979773</v>
      </c>
      <c r="M4688" s="5">
        <v>13065.820809359835</v>
      </c>
      <c r="N4688" s="5">
        <v>26115.05281128412</v>
      </c>
      <c r="O4688" s="5">
        <v>13117.417685535194</v>
      </c>
      <c r="P4688" s="5">
        <v>26541.896041444568</v>
      </c>
      <c r="Q4688" s="5">
        <v>3272.4685014937832</v>
      </c>
      <c r="R4688" s="5">
        <v>39788.288251916689</v>
      </c>
    </row>
    <row r="4689" spans="9:18">
      <c r="I4689" s="4">
        <v>4674</v>
      </c>
      <c r="J4689" s="5">
        <v>16710.807721801892</v>
      </c>
      <c r="K4689" s="5">
        <v>14674.169276244838</v>
      </c>
      <c r="L4689" s="5">
        <v>22319.409576580376</v>
      </c>
      <c r="M4689" s="5">
        <v>20550.782384061673</v>
      </c>
      <c r="N4689" s="5">
        <v>15786.177386596903</v>
      </c>
      <c r="O4689" s="5">
        <v>5909.5347260996277</v>
      </c>
      <c r="P4689" s="5">
        <v>9482.0186426688688</v>
      </c>
      <c r="Q4689" s="5">
        <v>52545.991451361173</v>
      </c>
      <c r="R4689" s="5">
        <v>39727.513802035661</v>
      </c>
    </row>
    <row r="4690" spans="9:18">
      <c r="I4690" s="4">
        <v>4675</v>
      </c>
      <c r="J4690" s="5">
        <v>13447.638004246244</v>
      </c>
      <c r="K4690" s="5">
        <v>15129.619337591721</v>
      </c>
      <c r="L4690" s="5">
        <v>14175.160754078657</v>
      </c>
      <c r="M4690" s="5">
        <v>21833.004790208965</v>
      </c>
      <c r="N4690" s="5">
        <v>39672.376281023731</v>
      </c>
      <c r="O4690" s="5">
        <v>35286.662852302201</v>
      </c>
      <c r="P4690" s="5">
        <v>12790.85158217316</v>
      </c>
      <c r="Q4690" s="5">
        <v>48756.323642664109</v>
      </c>
      <c r="R4690" s="5">
        <v>216919.53009911609</v>
      </c>
    </row>
    <row r="4691" spans="9:18">
      <c r="I4691" s="4">
        <v>4676</v>
      </c>
      <c r="J4691" s="5">
        <v>28085.9245102444</v>
      </c>
      <c r="K4691" s="5">
        <v>15487.124352801369</v>
      </c>
      <c r="L4691" s="5">
        <v>19224.583269019437</v>
      </c>
      <c r="M4691" s="5">
        <v>41403.687663920646</v>
      </c>
      <c r="N4691" s="5">
        <v>17811.114014514766</v>
      </c>
      <c r="O4691" s="5">
        <v>25644.588869829797</v>
      </c>
      <c r="P4691" s="5">
        <v>55152.110177667731</v>
      </c>
      <c r="Q4691" s="5">
        <v>37101.531383212743</v>
      </c>
      <c r="R4691" s="5">
        <v>3433.6677391851467</v>
      </c>
    </row>
    <row r="4692" spans="9:18">
      <c r="I4692" s="4">
        <v>4677</v>
      </c>
      <c r="J4692" s="5">
        <v>16016.491239086423</v>
      </c>
      <c r="K4692" s="5">
        <v>29672.680843304515</v>
      </c>
      <c r="L4692" s="5">
        <v>18810.091753970282</v>
      </c>
      <c r="M4692" s="5">
        <v>19262.243095117232</v>
      </c>
      <c r="N4692" s="5">
        <v>8555.1229659096207</v>
      </c>
      <c r="O4692" s="5">
        <v>27062.73412298776</v>
      </c>
      <c r="P4692" s="5">
        <v>33500.490132682797</v>
      </c>
      <c r="Q4692" s="5">
        <v>17234.335939857254</v>
      </c>
      <c r="R4692" s="5">
        <v>14051.647494499957</v>
      </c>
    </row>
    <row r="4693" spans="9:18">
      <c r="I4693" s="4">
        <v>4678</v>
      </c>
      <c r="J4693" s="5">
        <v>15417.870921574262</v>
      </c>
      <c r="K4693" s="5">
        <v>21527.93129974293</v>
      </c>
      <c r="L4693" s="5">
        <v>22162.138529251199</v>
      </c>
      <c r="M4693" s="5">
        <v>31472.019071027709</v>
      </c>
      <c r="N4693" s="5">
        <v>23008.246229813707</v>
      </c>
      <c r="O4693" s="5">
        <v>20991.103410982985</v>
      </c>
      <c r="P4693" s="5">
        <v>14316.965520592317</v>
      </c>
      <c r="Q4693" s="5">
        <v>52421.574537857021</v>
      </c>
      <c r="R4693" s="5">
        <v>29295.938844292672</v>
      </c>
    </row>
    <row r="4694" spans="9:18">
      <c r="I4694" s="4">
        <v>4679</v>
      </c>
      <c r="J4694" s="5">
        <v>13841.207384998772</v>
      </c>
      <c r="K4694" s="5">
        <v>17128.860847126922</v>
      </c>
      <c r="L4694" s="5">
        <v>15923.549351835489</v>
      </c>
      <c r="M4694" s="5">
        <v>42282.977640783138</v>
      </c>
      <c r="N4694" s="5">
        <v>13909.728487455486</v>
      </c>
      <c r="O4694" s="5">
        <v>20489.622805425737</v>
      </c>
      <c r="P4694" s="5">
        <v>12790.85158217316</v>
      </c>
      <c r="Q4694" s="5">
        <v>25156.033327562815</v>
      </c>
      <c r="R4694" s="5">
        <v>17687.533637716911</v>
      </c>
    </row>
    <row r="4695" spans="9:18">
      <c r="I4695" s="4">
        <v>4680</v>
      </c>
      <c r="J4695" s="5">
        <v>15417.870921574262</v>
      </c>
      <c r="K4695" s="5">
        <v>14497.035717129334</v>
      </c>
      <c r="L4695" s="5">
        <v>22018.381599979773</v>
      </c>
      <c r="M4695" s="5">
        <v>20229.919588372999</v>
      </c>
      <c r="N4695" s="5">
        <v>9209.4418830788036</v>
      </c>
      <c r="O4695" s="5">
        <v>94068.324736096256</v>
      </c>
      <c r="P4695" s="5">
        <v>35213.322626437533</v>
      </c>
      <c r="Q4695" s="5">
        <v>68168.482468129529</v>
      </c>
      <c r="R4695" s="5">
        <v>72561.496699005787</v>
      </c>
    </row>
    <row r="4696" spans="9:18">
      <c r="I4696" s="4">
        <v>4681</v>
      </c>
      <c r="J4696" s="5">
        <v>15648.665245032147</v>
      </c>
      <c r="K4696" s="5">
        <v>32073.547537933715</v>
      </c>
      <c r="L4696" s="5">
        <v>15832.5469007027</v>
      </c>
      <c r="M4696" s="5">
        <v>25580.243606220469</v>
      </c>
      <c r="N4696" s="5">
        <v>23998.040874392525</v>
      </c>
      <c r="O4696" s="5">
        <v>13117.417685535194</v>
      </c>
      <c r="P4696" s="5">
        <v>9047.5556949992188</v>
      </c>
      <c r="Q4696" s="5">
        <v>3909.239690544402</v>
      </c>
      <c r="R4696" s="5">
        <v>34970.397641695177</v>
      </c>
    </row>
    <row r="4697" spans="9:18">
      <c r="I4697" s="4">
        <v>4682</v>
      </c>
      <c r="J4697" s="5">
        <v>13595.404057849493</v>
      </c>
      <c r="K4697" s="5">
        <v>26110.948843472826</v>
      </c>
      <c r="L4697" s="5">
        <v>25007.552172398639</v>
      </c>
      <c r="M4697" s="5">
        <v>23515.935489506261</v>
      </c>
      <c r="N4697" s="5">
        <v>11788.341482962171</v>
      </c>
      <c r="O4697" s="5">
        <v>9708.4497800977806</v>
      </c>
      <c r="P4697" s="5">
        <v>9633.1652908310007</v>
      </c>
      <c r="Q4697" s="5">
        <v>129470.11441833655</v>
      </c>
      <c r="R4697" s="5">
        <v>87776.138236389699</v>
      </c>
    </row>
    <row r="4698" spans="9:18">
      <c r="I4698" s="4">
        <v>4683</v>
      </c>
      <c r="J4698" s="5">
        <v>9368.8270679249108</v>
      </c>
      <c r="K4698" s="5">
        <v>15391.837334808681</v>
      </c>
      <c r="L4698" s="5">
        <v>15759.954187048656</v>
      </c>
      <c r="M4698" s="5">
        <v>16881.579299055</v>
      </c>
      <c r="N4698" s="5">
        <v>15251.140047572881</v>
      </c>
      <c r="O4698" s="5">
        <v>16462.170789592048</v>
      </c>
      <c r="P4698" s="5">
        <v>16574.429708560569</v>
      </c>
      <c r="Q4698" s="5">
        <v>22895.455950885695</v>
      </c>
      <c r="R4698" s="5">
        <v>89167.415757270224</v>
      </c>
    </row>
    <row r="4699" spans="9:18">
      <c r="I4699" s="4">
        <v>4684</v>
      </c>
      <c r="J4699" s="5">
        <v>9405.362381917912</v>
      </c>
      <c r="K4699" s="5">
        <v>10931.803935361211</v>
      </c>
      <c r="L4699" s="5">
        <v>22319.409576580376</v>
      </c>
      <c r="M4699" s="5">
        <v>12735.841453044006</v>
      </c>
      <c r="N4699" s="5">
        <v>40377.252444397986</v>
      </c>
      <c r="O4699" s="5">
        <v>33720.545907536376</v>
      </c>
      <c r="P4699" s="5">
        <v>34768.042801665702</v>
      </c>
      <c r="Q4699" s="5">
        <v>43417.41805414496</v>
      </c>
      <c r="R4699" s="5">
        <v>8130.5639219412278</v>
      </c>
    </row>
    <row r="4700" spans="9:18">
      <c r="I4700" s="4">
        <v>4685</v>
      </c>
      <c r="J4700" s="5">
        <v>11854.381651026555</v>
      </c>
      <c r="K4700" s="5">
        <v>15428.770955406064</v>
      </c>
      <c r="L4700" s="5">
        <v>13622.976145621742</v>
      </c>
      <c r="M4700" s="5">
        <v>16001.653036457456</v>
      </c>
      <c r="N4700" s="5">
        <v>27841.916587595573</v>
      </c>
      <c r="O4700" s="5">
        <v>27062.73412298776</v>
      </c>
      <c r="P4700" s="5">
        <v>20403.656304140692</v>
      </c>
      <c r="Q4700" s="5">
        <v>8502.450657922871</v>
      </c>
      <c r="R4700" s="5">
        <v>87776.138236389699</v>
      </c>
    </row>
    <row r="4701" spans="9:18">
      <c r="I4701" s="4">
        <v>4686</v>
      </c>
      <c r="J4701" s="5">
        <v>14960.076233580705</v>
      </c>
      <c r="K4701" s="5">
        <v>16081.362509465702</v>
      </c>
      <c r="L4701" s="5">
        <v>16106.634875163341</v>
      </c>
      <c r="M4701" s="5">
        <v>41698.977215629871</v>
      </c>
      <c r="N4701" s="5">
        <v>21931.347680292267</v>
      </c>
      <c r="O4701" s="5">
        <v>16505.600261180331</v>
      </c>
      <c r="P4701" s="5">
        <v>29283.825979394511</v>
      </c>
      <c r="Q4701" s="5">
        <v>25156.033327562815</v>
      </c>
      <c r="R4701" s="5">
        <v>114016.93673542379</v>
      </c>
    </row>
    <row r="4702" spans="9:18">
      <c r="I4702" s="4">
        <v>4687</v>
      </c>
      <c r="J4702" s="5">
        <v>13391.049101507895</v>
      </c>
      <c r="K4702" s="5">
        <v>16674.541027260992</v>
      </c>
      <c r="L4702" s="5">
        <v>27144.958215276103</v>
      </c>
      <c r="M4702" s="5">
        <v>41698.977215629871</v>
      </c>
      <c r="N4702" s="5">
        <v>26152.705108198839</v>
      </c>
      <c r="O4702" s="5">
        <v>77417.02098927302</v>
      </c>
      <c r="P4702" s="5">
        <v>14316.965520592317</v>
      </c>
      <c r="Q4702" s="5">
        <v>129470.11441833655</v>
      </c>
      <c r="R4702" s="5">
        <v>34970.397641695177</v>
      </c>
    </row>
    <row r="4703" spans="9:18">
      <c r="I4703" s="4">
        <v>4688</v>
      </c>
      <c r="J4703" s="5">
        <v>12701.339251949787</v>
      </c>
      <c r="K4703" s="5">
        <v>34164.842952759042</v>
      </c>
      <c r="L4703" s="5">
        <v>14146.191653372813</v>
      </c>
      <c r="M4703" s="5">
        <v>16001.653036457456</v>
      </c>
      <c r="N4703" s="5">
        <v>59876.136849941562</v>
      </c>
      <c r="O4703" s="5">
        <v>41653.890350944224</v>
      </c>
      <c r="P4703" s="5">
        <v>9482.0186426688688</v>
      </c>
      <c r="Q4703" s="5">
        <v>29432.473148002948</v>
      </c>
      <c r="R4703" s="5">
        <v>12130.167062525341</v>
      </c>
    </row>
    <row r="4704" spans="9:18">
      <c r="I4704" s="4">
        <v>4689</v>
      </c>
      <c r="J4704" s="5">
        <v>8580.4413740966302</v>
      </c>
      <c r="K4704" s="5">
        <v>12423.491400404893</v>
      </c>
      <c r="L4704" s="5">
        <v>16777.996633299583</v>
      </c>
      <c r="M4704" s="5">
        <v>19151.339770278159</v>
      </c>
      <c r="N4704" s="5">
        <v>15804.474686449519</v>
      </c>
      <c r="O4704" s="5">
        <v>13519.384207850644</v>
      </c>
      <c r="P4704" s="5">
        <v>13793.886507202402</v>
      </c>
      <c r="Q4704" s="5">
        <v>20883.852062640355</v>
      </c>
      <c r="R4704" s="5">
        <v>18230.645544621442</v>
      </c>
    </row>
    <row r="4705" spans="9:18">
      <c r="I4705" s="4">
        <v>4690</v>
      </c>
      <c r="J4705" s="5">
        <v>17592.832480262863</v>
      </c>
      <c r="K4705" s="5">
        <v>17495.743706488822</v>
      </c>
      <c r="L4705" s="5">
        <v>15161.007794371622</v>
      </c>
      <c r="M4705" s="5">
        <v>17116.951435661951</v>
      </c>
      <c r="N4705" s="5">
        <v>12297.015342318469</v>
      </c>
      <c r="O4705" s="5">
        <v>20489.622805425737</v>
      </c>
      <c r="P4705" s="5">
        <v>74840.036182179319</v>
      </c>
      <c r="Q4705" s="5">
        <v>8474.2603471579441</v>
      </c>
      <c r="R4705" s="5">
        <v>51141.799458534304</v>
      </c>
    </row>
    <row r="4706" spans="9:18">
      <c r="I4706" s="4">
        <v>4691</v>
      </c>
      <c r="J4706" s="5">
        <v>31559.699247539775</v>
      </c>
      <c r="K4706" s="5">
        <v>43843.85059185313</v>
      </c>
      <c r="L4706" s="5">
        <v>21954.536591034263</v>
      </c>
      <c r="M4706" s="5">
        <v>15586.009710351766</v>
      </c>
      <c r="N4706" s="5">
        <v>18367.429489032103</v>
      </c>
      <c r="O4706" s="5">
        <v>20991.103410982985</v>
      </c>
      <c r="P4706" s="5">
        <v>24349.301972630979</v>
      </c>
      <c r="Q4706" s="5">
        <v>30266.563414010914</v>
      </c>
      <c r="R4706" s="5">
        <v>10885.018205103002</v>
      </c>
    </row>
    <row r="4707" spans="9:18">
      <c r="I4707" s="4">
        <v>4692</v>
      </c>
      <c r="J4707" s="5">
        <v>15064.079707240266</v>
      </c>
      <c r="K4707" s="5">
        <v>11857.447519815871</v>
      </c>
      <c r="L4707" s="5">
        <v>14264.23790876064</v>
      </c>
      <c r="M4707" s="5">
        <v>20041.623430301417</v>
      </c>
      <c r="N4707" s="5">
        <v>9563.1256545330361</v>
      </c>
      <c r="O4707" s="5">
        <v>24247.516962783076</v>
      </c>
      <c r="P4707" s="5">
        <v>31127.87225845682</v>
      </c>
      <c r="Q4707" s="5">
        <v>8502.450657922871</v>
      </c>
      <c r="R4707" s="5">
        <v>62674.060343500474</v>
      </c>
    </row>
    <row r="4708" spans="9:18">
      <c r="I4708" s="4">
        <v>4693</v>
      </c>
      <c r="J4708" s="5">
        <v>15064.079707240266</v>
      </c>
      <c r="K4708" s="5">
        <v>17495.743706488822</v>
      </c>
      <c r="L4708" s="5">
        <v>11827.803406885578</v>
      </c>
      <c r="M4708" s="5">
        <v>14217.48832834715</v>
      </c>
      <c r="N4708" s="5">
        <v>15658.063692994532</v>
      </c>
      <c r="O4708" s="5">
        <v>9320.7026593487881</v>
      </c>
      <c r="P4708" s="5">
        <v>18963.234565965948</v>
      </c>
      <c r="Q4708" s="5">
        <v>27789.973552634947</v>
      </c>
      <c r="R4708" s="5">
        <v>55106.806585409526</v>
      </c>
    </row>
    <row r="4709" spans="9:18">
      <c r="I4709" s="4">
        <v>4694</v>
      </c>
      <c r="J4709" s="5">
        <v>43272.831879770602</v>
      </c>
      <c r="K4709" s="5">
        <v>23543.914024953676</v>
      </c>
      <c r="L4709" s="5">
        <v>15471.738323660695</v>
      </c>
      <c r="M4709" s="5">
        <v>11680.747299075838</v>
      </c>
      <c r="N4709" s="5">
        <v>25424.029865101274</v>
      </c>
      <c r="O4709" s="5">
        <v>67717.30633712461</v>
      </c>
      <c r="P4709" s="5">
        <v>45161.732159568586</v>
      </c>
      <c r="Q4709" s="5">
        <v>31902.904306425251</v>
      </c>
      <c r="R4709" s="5">
        <v>76851.431017396084</v>
      </c>
    </row>
    <row r="4710" spans="9:18">
      <c r="I4710" s="4">
        <v>4695</v>
      </c>
      <c r="J4710" s="5">
        <v>13918.242013140338</v>
      </c>
      <c r="K4710" s="5">
        <v>15698.764831033119</v>
      </c>
      <c r="L4710" s="5">
        <v>17693.864646288712</v>
      </c>
      <c r="M4710" s="5">
        <v>21712.71007234112</v>
      </c>
      <c r="N4710" s="5">
        <v>23043.345403059295</v>
      </c>
      <c r="O4710" s="5">
        <v>14371.728352806511</v>
      </c>
      <c r="P4710" s="5">
        <v>10966.822219855034</v>
      </c>
      <c r="Q4710" s="5">
        <v>79566.621912742485</v>
      </c>
      <c r="R4710" s="5">
        <v>7394.6358885760465</v>
      </c>
    </row>
    <row r="4711" spans="9:18">
      <c r="I4711" s="4">
        <v>4696</v>
      </c>
      <c r="J4711" s="5">
        <v>18650.249281571734</v>
      </c>
      <c r="K4711" s="5">
        <v>23327.217259521742</v>
      </c>
      <c r="L4711" s="5">
        <v>16616.161224349555</v>
      </c>
      <c r="M4711" s="5">
        <v>10142.860128720422</v>
      </c>
      <c r="N4711" s="5">
        <v>59876.136849941562</v>
      </c>
      <c r="O4711" s="5">
        <v>41653.890350944224</v>
      </c>
      <c r="P4711" s="5">
        <v>10532.667493814919</v>
      </c>
      <c r="Q4711" s="5">
        <v>9645.8788061228515</v>
      </c>
      <c r="R4711" s="5">
        <v>8105.1944146993656</v>
      </c>
    </row>
    <row r="4712" spans="9:18">
      <c r="I4712" s="4">
        <v>4697</v>
      </c>
      <c r="J4712" s="5">
        <v>11936.262457073821</v>
      </c>
      <c r="K4712" s="5">
        <v>56656.842992470461</v>
      </c>
      <c r="L4712" s="5">
        <v>13023.361770761438</v>
      </c>
      <c r="M4712" s="5">
        <v>13616.35938654862</v>
      </c>
      <c r="N4712" s="5">
        <v>20558.672182394013</v>
      </c>
      <c r="O4712" s="5">
        <v>20827.029306810669</v>
      </c>
      <c r="P4712" s="5">
        <v>12992.105410393709</v>
      </c>
      <c r="Q4712" s="5">
        <v>9454.5906023793759</v>
      </c>
      <c r="R4712" s="5">
        <v>18349.337771428582</v>
      </c>
    </row>
    <row r="4713" spans="9:18">
      <c r="I4713" s="4">
        <v>4698</v>
      </c>
      <c r="J4713" s="5">
        <v>16088.430030489333</v>
      </c>
      <c r="K4713" s="5">
        <v>9739.7813029644258</v>
      </c>
      <c r="L4713" s="5">
        <v>14610.165745300763</v>
      </c>
      <c r="M4713" s="5">
        <v>16881.579299055</v>
      </c>
      <c r="N4713" s="5">
        <v>20292.069765667391</v>
      </c>
      <c r="O4713" s="5">
        <v>9956.4031238965053</v>
      </c>
      <c r="P4713" s="5">
        <v>39054.462981000084</v>
      </c>
      <c r="Q4713" s="5">
        <v>8474.2603471579441</v>
      </c>
      <c r="R4713" s="5">
        <v>7201.7586694681067</v>
      </c>
    </row>
    <row r="4714" spans="9:18">
      <c r="I4714" s="4">
        <v>4699</v>
      </c>
      <c r="J4714" s="5">
        <v>16511.332839561353</v>
      </c>
      <c r="K4714" s="5">
        <v>31910.762633549082</v>
      </c>
      <c r="L4714" s="5">
        <v>13023.361770761438</v>
      </c>
      <c r="M4714" s="5">
        <v>30830.81083227017</v>
      </c>
      <c r="N4714" s="5">
        <v>11604.12831603515</v>
      </c>
      <c r="O4714" s="5">
        <v>30876.675913171162</v>
      </c>
      <c r="P4714" s="5">
        <v>27708.613526855763</v>
      </c>
      <c r="Q4714" s="5">
        <v>22895.455950885695</v>
      </c>
      <c r="R4714" s="5">
        <v>18349.337771428582</v>
      </c>
    </row>
    <row r="4715" spans="9:18">
      <c r="I4715" s="4">
        <v>4700</v>
      </c>
      <c r="J4715" s="5">
        <v>16511.332839561353</v>
      </c>
      <c r="K4715" s="5">
        <v>14021.934268028277</v>
      </c>
      <c r="L4715" s="5">
        <v>18602.881797624486</v>
      </c>
      <c r="M4715" s="5">
        <v>19430.369425783585</v>
      </c>
      <c r="N4715" s="5">
        <v>21931.347680292267</v>
      </c>
      <c r="O4715" s="5">
        <v>35286.662852302201</v>
      </c>
      <c r="P4715" s="5">
        <v>14327.191387816954</v>
      </c>
      <c r="Q4715" s="5">
        <v>17493.456269945855</v>
      </c>
      <c r="R4715" s="5">
        <v>3433.6677391851467</v>
      </c>
    </row>
    <row r="4716" spans="9:18">
      <c r="I4716" s="4">
        <v>4701</v>
      </c>
      <c r="J4716" s="5">
        <v>14344.692898101612</v>
      </c>
      <c r="K4716" s="5">
        <v>14854.898507619706</v>
      </c>
      <c r="L4716" s="5">
        <v>19189.275558866306</v>
      </c>
      <c r="M4716" s="5">
        <v>41698.977215629871</v>
      </c>
      <c r="N4716" s="5">
        <v>41563.89847100406</v>
      </c>
      <c r="O4716" s="5">
        <v>9708.4497800977806</v>
      </c>
      <c r="P4716" s="5">
        <v>10733.318076105543</v>
      </c>
      <c r="Q4716" s="5">
        <v>31902.904306425251</v>
      </c>
      <c r="R4716" s="5">
        <v>18230.645544621442</v>
      </c>
    </row>
    <row r="4717" spans="9:18">
      <c r="I4717" s="4">
        <v>4702</v>
      </c>
      <c r="J4717" s="5">
        <v>15648.665245032147</v>
      </c>
      <c r="K4717" s="5">
        <v>29672.680843304515</v>
      </c>
      <c r="L4717" s="5">
        <v>19078.910217042379</v>
      </c>
      <c r="M4717" s="5">
        <v>22961.931350882205</v>
      </c>
      <c r="N4717" s="5">
        <v>23043.345403059295</v>
      </c>
      <c r="O4717" s="5">
        <v>9956.4031238965053</v>
      </c>
      <c r="P4717" s="5">
        <v>6275.8915673055426</v>
      </c>
      <c r="Q4717" s="5">
        <v>28797.29222718185</v>
      </c>
      <c r="R4717" s="5">
        <v>20236.767651156802</v>
      </c>
    </row>
    <row r="4718" spans="9:18">
      <c r="I4718" s="4">
        <v>4703</v>
      </c>
      <c r="J4718" s="5">
        <v>14538.277247583976</v>
      </c>
      <c r="K4718" s="5">
        <v>21527.93129974293</v>
      </c>
      <c r="L4718" s="5">
        <v>13417.453622029931</v>
      </c>
      <c r="M4718" s="5">
        <v>10142.860128720422</v>
      </c>
      <c r="N4718" s="5">
        <v>26115.05281128412</v>
      </c>
      <c r="O4718" s="5">
        <v>27508.313315384185</v>
      </c>
      <c r="P4718" s="5">
        <v>34768.042801665702</v>
      </c>
      <c r="Q4718" s="5">
        <v>37497.234505125656</v>
      </c>
      <c r="R4718" s="5">
        <v>54594.567438884274</v>
      </c>
    </row>
    <row r="4719" spans="9:18">
      <c r="I4719" s="4">
        <v>4704</v>
      </c>
      <c r="J4719" s="5">
        <v>16305.770155972396</v>
      </c>
      <c r="K4719" s="5">
        <v>18086.448513145526</v>
      </c>
      <c r="L4719" s="5">
        <v>16071.478531535273</v>
      </c>
      <c r="M4719" s="5">
        <v>32751.734100446065</v>
      </c>
      <c r="N4719" s="5">
        <v>13745.376566850549</v>
      </c>
      <c r="O4719" s="5">
        <v>13613.378495715853</v>
      </c>
      <c r="P4719" s="5">
        <v>3831.1492650071077</v>
      </c>
      <c r="Q4719" s="5">
        <v>8832.660767995616</v>
      </c>
      <c r="R4719" s="5">
        <v>55106.806585409526</v>
      </c>
    </row>
    <row r="4720" spans="9:18">
      <c r="I4720" s="4">
        <v>4705</v>
      </c>
      <c r="J4720" s="5">
        <v>16156.372629961115</v>
      </c>
      <c r="K4720" s="5">
        <v>13288.692555879701</v>
      </c>
      <c r="L4720" s="5">
        <v>17073.17760523731</v>
      </c>
      <c r="M4720" s="5">
        <v>36301.422888051464</v>
      </c>
      <c r="N4720" s="5">
        <v>22511.351424689696</v>
      </c>
      <c r="O4720" s="5">
        <v>53504.725169095313</v>
      </c>
      <c r="P4720" s="5">
        <v>77603.711720266961</v>
      </c>
      <c r="Q4720" s="5">
        <v>37101.531383212743</v>
      </c>
      <c r="R4720" s="5">
        <v>13258.538726001538</v>
      </c>
    </row>
    <row r="4721" spans="9:18">
      <c r="I4721" s="4">
        <v>4706</v>
      </c>
      <c r="J4721" s="5">
        <v>16145.071869702888</v>
      </c>
      <c r="K4721" s="5">
        <v>21958.925144875713</v>
      </c>
      <c r="L4721" s="5">
        <v>14691.846656953887</v>
      </c>
      <c r="M4721" s="5">
        <v>13616.35938654862</v>
      </c>
      <c r="N4721" s="5">
        <v>20718.434293991453</v>
      </c>
      <c r="O4721" s="5">
        <v>24369.28567093279</v>
      </c>
      <c r="P4721" s="5">
        <v>14773.185437294762</v>
      </c>
      <c r="Q4721" s="5">
        <v>54060.5331097772</v>
      </c>
      <c r="R4721" s="5">
        <v>16039.216896723072</v>
      </c>
    </row>
    <row r="4722" spans="9:18">
      <c r="I4722" s="4">
        <v>4707</v>
      </c>
      <c r="J4722" s="5">
        <v>7855.2948890116513</v>
      </c>
      <c r="K4722" s="5">
        <v>21958.925144875713</v>
      </c>
      <c r="L4722" s="5">
        <v>23561.450544884348</v>
      </c>
      <c r="M4722" s="5">
        <v>19262.243095117232</v>
      </c>
      <c r="N4722" s="5">
        <v>26152.705108198839</v>
      </c>
      <c r="O4722" s="5">
        <v>13117.417685535194</v>
      </c>
      <c r="P4722" s="5">
        <v>10532.667493814919</v>
      </c>
      <c r="Q4722" s="5">
        <v>52421.574537857021</v>
      </c>
      <c r="R4722" s="5">
        <v>39263.770877572199</v>
      </c>
    </row>
    <row r="4723" spans="9:18">
      <c r="I4723" s="4">
        <v>4708</v>
      </c>
      <c r="J4723" s="5">
        <v>11936.262457073821</v>
      </c>
      <c r="K4723" s="5">
        <v>35705.595198125673</v>
      </c>
      <c r="L4723" s="5">
        <v>18810.091753970282</v>
      </c>
      <c r="M4723" s="5">
        <v>31554.722481137964</v>
      </c>
      <c r="N4723" s="5">
        <v>22868.569282757788</v>
      </c>
      <c r="O4723" s="5">
        <v>24247.516962783076</v>
      </c>
      <c r="P4723" s="5">
        <v>41657.50350099193</v>
      </c>
      <c r="Q4723" s="5">
        <v>47365.380972950254</v>
      </c>
      <c r="R4723" s="5">
        <v>5865.9802599669383</v>
      </c>
    </row>
    <row r="4724" spans="9:18">
      <c r="I4724" s="4">
        <v>4709</v>
      </c>
      <c r="J4724" s="5">
        <v>14749.343145806102</v>
      </c>
      <c r="K4724" s="5">
        <v>18086.448513145526</v>
      </c>
      <c r="L4724" s="5">
        <v>15651.346103181355</v>
      </c>
      <c r="M4724" s="5">
        <v>11860.862376247747</v>
      </c>
      <c r="N4724" s="5">
        <v>4770.4216775830728</v>
      </c>
      <c r="O4724" s="5">
        <v>26565.882515615398</v>
      </c>
      <c r="P4724" s="5">
        <v>14773.185437294762</v>
      </c>
      <c r="Q4724" s="5">
        <v>35525.432376048877</v>
      </c>
      <c r="R4724" s="5">
        <v>39263.770877572199</v>
      </c>
    </row>
    <row r="4725" spans="9:18">
      <c r="I4725" s="4">
        <v>4710</v>
      </c>
      <c r="J4725" s="5">
        <v>16166.107684907736</v>
      </c>
      <c r="K4725" s="5">
        <v>14674.169276244838</v>
      </c>
      <c r="L4725" s="5">
        <v>29265.217478369766</v>
      </c>
      <c r="M4725" s="5">
        <v>14660.631931099009</v>
      </c>
      <c r="N4725" s="5">
        <v>11684.605182472778</v>
      </c>
      <c r="O4725" s="5">
        <v>16826.763259351828</v>
      </c>
      <c r="P4725" s="5">
        <v>27452.975716953504</v>
      </c>
      <c r="Q4725" s="5">
        <v>68168.482468129529</v>
      </c>
      <c r="R4725" s="5">
        <v>93933.045103013996</v>
      </c>
    </row>
    <row r="4726" spans="9:18">
      <c r="I4726" s="4">
        <v>4711</v>
      </c>
      <c r="J4726" s="5">
        <v>14076.209333698853</v>
      </c>
      <c r="K4726" s="5">
        <v>16934.093371663999</v>
      </c>
      <c r="L4726" s="5">
        <v>15471.738323660695</v>
      </c>
      <c r="M4726" s="5">
        <v>12426.949970383979</v>
      </c>
      <c r="N4726" s="5">
        <v>57711.498171893618</v>
      </c>
      <c r="O4726" s="5">
        <v>13840.304699955392</v>
      </c>
      <c r="P4726" s="5">
        <v>38024.168395914428</v>
      </c>
      <c r="Q4726" s="5">
        <v>22145.301831504508</v>
      </c>
      <c r="R4726" s="5">
        <v>3433.6677391851467</v>
      </c>
    </row>
    <row r="4727" spans="9:18">
      <c r="I4727" s="4">
        <v>4712</v>
      </c>
      <c r="J4727" s="5">
        <v>14710.037865351254</v>
      </c>
      <c r="K4727" s="5">
        <v>9769.3659785458403</v>
      </c>
      <c r="L4727" s="5">
        <v>15161.007794371622</v>
      </c>
      <c r="M4727" s="5">
        <v>23067.94260629595</v>
      </c>
      <c r="N4727" s="5">
        <v>21909.120225822895</v>
      </c>
      <c r="O4727" s="5">
        <v>12110.196126281628</v>
      </c>
      <c r="P4727" s="5">
        <v>12790.85158217316</v>
      </c>
      <c r="Q4727" s="5">
        <v>20883.852062640355</v>
      </c>
      <c r="R4727" s="5">
        <v>29295.938844292672</v>
      </c>
    </row>
    <row r="4728" spans="9:18">
      <c r="I4728" s="4">
        <v>4713</v>
      </c>
      <c r="J4728" s="5">
        <v>14076.209333698853</v>
      </c>
      <c r="K4728" s="5">
        <v>17903.387243834499</v>
      </c>
      <c r="L4728" s="5">
        <v>16106.634875163341</v>
      </c>
      <c r="M4728" s="5">
        <v>42282.977640783138</v>
      </c>
      <c r="N4728" s="5">
        <v>41563.89847100406</v>
      </c>
      <c r="O4728" s="5">
        <v>79848.944504816522</v>
      </c>
      <c r="P4728" s="5">
        <v>14376.883105731285</v>
      </c>
      <c r="Q4728" s="5">
        <v>3272.4685014937832</v>
      </c>
      <c r="R4728" s="5">
        <v>12130.167062525341</v>
      </c>
    </row>
    <row r="4729" spans="9:18">
      <c r="I4729" s="4">
        <v>4714</v>
      </c>
      <c r="J4729" s="5">
        <v>15130.594750069789</v>
      </c>
      <c r="K4729" s="5">
        <v>12777.667398488715</v>
      </c>
      <c r="L4729" s="5">
        <v>19224.583269019437</v>
      </c>
      <c r="M4729" s="5">
        <v>21332.072353846772</v>
      </c>
      <c r="N4729" s="5">
        <v>14921.795973817481</v>
      </c>
      <c r="O4729" s="5">
        <v>66253.993323243907</v>
      </c>
      <c r="P4729" s="5">
        <v>25258.981945036445</v>
      </c>
      <c r="Q4729" s="5">
        <v>6386.5227360487288</v>
      </c>
      <c r="R4729" s="5">
        <v>41056.152565483346</v>
      </c>
    </row>
    <row r="4730" spans="9:18">
      <c r="I4730" s="4">
        <v>4715</v>
      </c>
      <c r="J4730" s="5">
        <v>14671.176405938595</v>
      </c>
      <c r="K4730" s="5">
        <v>13559.080695844099</v>
      </c>
      <c r="L4730" s="5">
        <v>13417.453622029931</v>
      </c>
      <c r="M4730" s="5">
        <v>19795.661011456152</v>
      </c>
      <c r="N4730" s="5">
        <v>28426.778914975595</v>
      </c>
      <c r="O4730" s="5">
        <v>20721.57544042755</v>
      </c>
      <c r="P4730" s="5">
        <v>74840.036182179319</v>
      </c>
      <c r="Q4730" s="5">
        <v>21421.044775857536</v>
      </c>
      <c r="R4730" s="5">
        <v>7118.1729476780347</v>
      </c>
    </row>
    <row r="4731" spans="9:18">
      <c r="I4731" s="4">
        <v>4716</v>
      </c>
      <c r="J4731" s="5">
        <v>15623.733864199699</v>
      </c>
      <c r="K4731" s="5">
        <v>14021.934268028277</v>
      </c>
      <c r="L4731" s="5">
        <v>13417.453622029931</v>
      </c>
      <c r="M4731" s="5">
        <v>22961.931350882205</v>
      </c>
      <c r="N4731" s="5">
        <v>12297.015342318469</v>
      </c>
      <c r="O4731" s="5">
        <v>18637.945795127704</v>
      </c>
      <c r="P4731" s="5">
        <v>14773.185437294762</v>
      </c>
      <c r="Q4731" s="5">
        <v>6386.5227360487288</v>
      </c>
      <c r="R4731" s="5">
        <v>17991.870496434763</v>
      </c>
    </row>
    <row r="4732" spans="9:18">
      <c r="I4732" s="4">
        <v>4717</v>
      </c>
      <c r="J4732" s="5">
        <v>15081.728672246438</v>
      </c>
      <c r="K4732" s="5">
        <v>14095.75230105142</v>
      </c>
      <c r="L4732" s="5">
        <v>10752.183901283248</v>
      </c>
      <c r="M4732" s="5">
        <v>22815.60259636537</v>
      </c>
      <c r="N4732" s="5">
        <v>23283.854578052265</v>
      </c>
      <c r="O4732" s="5">
        <v>25802.481365323994</v>
      </c>
      <c r="P4732" s="5">
        <v>9965.8330787532959</v>
      </c>
      <c r="Q4732" s="5">
        <v>8880.8074399558282</v>
      </c>
      <c r="R4732" s="5">
        <v>7201.7586694681067</v>
      </c>
    </row>
    <row r="4733" spans="9:18">
      <c r="I4733" s="4">
        <v>4718</v>
      </c>
      <c r="J4733" s="5">
        <v>15554.996700302558</v>
      </c>
      <c r="K4733" s="5">
        <v>18821.113178054162</v>
      </c>
      <c r="L4733" s="5">
        <v>20698.842353987733</v>
      </c>
      <c r="M4733" s="5">
        <v>17542.15972125496</v>
      </c>
      <c r="N4733" s="5">
        <v>9209.4418830788036</v>
      </c>
      <c r="O4733" s="5">
        <v>16505.600261180331</v>
      </c>
      <c r="P4733" s="5">
        <v>28537.545734403488</v>
      </c>
      <c r="Q4733" s="5">
        <v>9652.8114206999071</v>
      </c>
      <c r="R4733" s="5">
        <v>114016.93673542379</v>
      </c>
    </row>
    <row r="4734" spans="9:18">
      <c r="I4734" s="4">
        <v>4719</v>
      </c>
      <c r="J4734" s="5">
        <v>15352.465904292809</v>
      </c>
      <c r="K4734" s="5">
        <v>18821.113178054162</v>
      </c>
      <c r="L4734" s="5">
        <v>27144.958215276103</v>
      </c>
      <c r="M4734" s="5">
        <v>32751.734100446065</v>
      </c>
      <c r="N4734" s="5">
        <v>24020.875410266352</v>
      </c>
      <c r="O4734" s="5">
        <v>66253.993323243907</v>
      </c>
      <c r="P4734" s="5">
        <v>48123.003747643132</v>
      </c>
      <c r="Q4734" s="5">
        <v>31855.809428519857</v>
      </c>
      <c r="R4734" s="5">
        <v>14079.827908007112</v>
      </c>
    </row>
    <row r="4735" spans="9:18">
      <c r="I4735" s="4">
        <v>4720</v>
      </c>
      <c r="J4735" s="5">
        <v>20768.286261788198</v>
      </c>
      <c r="K4735" s="5">
        <v>14017.262946034314</v>
      </c>
      <c r="L4735" s="5">
        <v>17482.478480142941</v>
      </c>
      <c r="M4735" s="5">
        <v>30785.663999045999</v>
      </c>
      <c r="N4735" s="5">
        <v>27833.630848857778</v>
      </c>
      <c r="O4735" s="5">
        <v>9869.5889207969612</v>
      </c>
      <c r="P4735" s="5">
        <v>45161.732159568586</v>
      </c>
      <c r="Q4735" s="5">
        <v>18097.768262249352</v>
      </c>
      <c r="R4735" s="5">
        <v>2071.5141323269809</v>
      </c>
    </row>
    <row r="4736" spans="9:18">
      <c r="I4736" s="4">
        <v>4721</v>
      </c>
      <c r="J4736" s="5">
        <v>31559.699247539775</v>
      </c>
      <c r="K4736" s="5">
        <v>11558.357574452555</v>
      </c>
      <c r="L4736" s="5">
        <v>18475.258050488967</v>
      </c>
      <c r="M4736" s="5">
        <v>22326.253555179093</v>
      </c>
      <c r="N4736" s="5">
        <v>20292.069765667391</v>
      </c>
      <c r="O4736" s="5">
        <v>83458.030763693328</v>
      </c>
      <c r="P4736" s="5">
        <v>83536.241167211992</v>
      </c>
      <c r="Q4736" s="5">
        <v>13099.063525342741</v>
      </c>
      <c r="R4736" s="5">
        <v>18230.645544621442</v>
      </c>
    </row>
    <row r="4737" spans="9:18">
      <c r="I4737" s="4">
        <v>4722</v>
      </c>
      <c r="J4737" s="5">
        <v>21888.821432026474</v>
      </c>
      <c r="K4737" s="5">
        <v>15428.770955406064</v>
      </c>
      <c r="L4737" s="5">
        <v>16014.071850041886</v>
      </c>
      <c r="M4737" s="5">
        <v>29041.83725675238</v>
      </c>
      <c r="N4737" s="5">
        <v>8555.1229659096207</v>
      </c>
      <c r="O4737" s="5">
        <v>9869.5889207969612</v>
      </c>
      <c r="P4737" s="5">
        <v>45161.732159568586</v>
      </c>
      <c r="Q4737" s="5">
        <v>4924.9171270300558</v>
      </c>
      <c r="R4737" s="5">
        <v>39727.513802035661</v>
      </c>
    </row>
    <row r="4738" spans="9:18">
      <c r="I4738" s="4">
        <v>4723</v>
      </c>
      <c r="J4738" s="5">
        <v>14538.277247583976</v>
      </c>
      <c r="K4738" s="5">
        <v>14579.232378315752</v>
      </c>
      <c r="L4738" s="5">
        <v>15923.549351835489</v>
      </c>
      <c r="M4738" s="5">
        <v>18816.787977140237</v>
      </c>
      <c r="N4738" s="5">
        <v>42744.618431291936</v>
      </c>
      <c r="O4738" s="5">
        <v>19492.655596593511</v>
      </c>
      <c r="P4738" s="5">
        <v>29283.825979394511</v>
      </c>
      <c r="Q4738" s="5">
        <v>22145.301831504508</v>
      </c>
      <c r="R4738" s="5">
        <v>9913.4206865238284</v>
      </c>
    </row>
    <row r="4739" spans="9:18">
      <c r="I4739" s="4">
        <v>4724</v>
      </c>
      <c r="J4739" s="5">
        <v>17679.321624063952</v>
      </c>
      <c r="K4739" s="5">
        <v>19467.955014411935</v>
      </c>
      <c r="L4739" s="5">
        <v>23561.450544884348</v>
      </c>
      <c r="M4739" s="5">
        <v>11860.862376247747</v>
      </c>
      <c r="N4739" s="5">
        <v>46248.895746171031</v>
      </c>
      <c r="O4739" s="5">
        <v>53504.725169095313</v>
      </c>
      <c r="P4739" s="5">
        <v>16650.229067545235</v>
      </c>
      <c r="Q4739" s="5">
        <v>64585.328088516922</v>
      </c>
      <c r="R4739" s="5">
        <v>86510.608303273053</v>
      </c>
    </row>
    <row r="4740" spans="9:18">
      <c r="I4740" s="4">
        <v>4725</v>
      </c>
      <c r="J4740" s="5">
        <v>14750.660273177687</v>
      </c>
      <c r="K4740" s="5">
        <v>11206.053243692098</v>
      </c>
      <c r="L4740" s="5">
        <v>10896.494237357269</v>
      </c>
      <c r="M4740" s="5">
        <v>23067.94260629595</v>
      </c>
      <c r="N4740" s="5">
        <v>21617.945168312468</v>
      </c>
      <c r="O4740" s="5">
        <v>4231.3144655921506</v>
      </c>
      <c r="P4740" s="5">
        <v>9811.9720599964548</v>
      </c>
      <c r="Q4740" s="5">
        <v>35525.432376048877</v>
      </c>
      <c r="R4740" s="5">
        <v>5865.9802599669383</v>
      </c>
    </row>
    <row r="4741" spans="9:18">
      <c r="I4741" s="4">
        <v>4726</v>
      </c>
      <c r="J4741" s="5">
        <v>15417.870921574262</v>
      </c>
      <c r="K4741" s="5">
        <v>21527.93129974293</v>
      </c>
      <c r="L4741" s="5">
        <v>14691.846656953887</v>
      </c>
      <c r="M4741" s="5">
        <v>36301.422888051464</v>
      </c>
      <c r="N4741" s="5">
        <v>17811.114014514766</v>
      </c>
      <c r="O4741" s="5">
        <v>59207.798737851255</v>
      </c>
      <c r="P4741" s="5">
        <v>77603.711720266961</v>
      </c>
      <c r="Q4741" s="5">
        <v>30266.563414010914</v>
      </c>
      <c r="R4741" s="5">
        <v>7118.1729476780347</v>
      </c>
    </row>
    <row r="4742" spans="9:18">
      <c r="I4742" s="4">
        <v>4727</v>
      </c>
      <c r="J4742" s="5">
        <v>28590.354879265724</v>
      </c>
      <c r="K4742" s="5">
        <v>23934.551191616061</v>
      </c>
      <c r="L4742" s="5">
        <v>17482.478480142941</v>
      </c>
      <c r="M4742" s="5">
        <v>13065.820809359835</v>
      </c>
      <c r="N4742" s="5">
        <v>19225.139878706803</v>
      </c>
      <c r="O4742" s="5">
        <v>24369.28567093279</v>
      </c>
      <c r="P4742" s="5">
        <v>23769.190223735484</v>
      </c>
      <c r="Q4742" s="5">
        <v>13099.063525342741</v>
      </c>
      <c r="R4742" s="5">
        <v>89167.415757270224</v>
      </c>
    </row>
    <row r="4743" spans="9:18">
      <c r="I4743" s="4">
        <v>4728</v>
      </c>
      <c r="J4743" s="5">
        <v>34933.039312618188</v>
      </c>
      <c r="K4743" s="5">
        <v>9739.7813029644258</v>
      </c>
      <c r="L4743" s="5">
        <v>13867.07093008449</v>
      </c>
      <c r="M4743" s="5">
        <v>13065.820809359835</v>
      </c>
      <c r="N4743" s="5">
        <v>23746.795665493762</v>
      </c>
      <c r="O4743" s="5">
        <v>16462.170789592048</v>
      </c>
      <c r="P4743" s="5">
        <v>106091.28270624072</v>
      </c>
      <c r="Q4743" s="5">
        <v>31974.553851773013</v>
      </c>
      <c r="R4743" s="5">
        <v>114016.93673542379</v>
      </c>
    </row>
    <row r="4744" spans="9:18">
      <c r="I4744" s="4">
        <v>4729</v>
      </c>
      <c r="J4744" s="5">
        <v>11936.262457073821</v>
      </c>
      <c r="K4744" s="5">
        <v>34164.842952759042</v>
      </c>
      <c r="L4744" s="5">
        <v>13037.115556745504</v>
      </c>
      <c r="M4744" s="5">
        <v>13139.022167648376</v>
      </c>
      <c r="N4744" s="5">
        <v>40377.252444397986</v>
      </c>
      <c r="O4744" s="5">
        <v>26268.613803794757</v>
      </c>
      <c r="P4744" s="5">
        <v>106091.28270624072</v>
      </c>
      <c r="Q4744" s="5">
        <v>4631.7430487757983</v>
      </c>
      <c r="R4744" s="5">
        <v>50287.76786557267</v>
      </c>
    </row>
    <row r="4745" spans="9:18">
      <c r="I4745" s="4">
        <v>4730</v>
      </c>
      <c r="J4745" s="5">
        <v>21717.214093683677</v>
      </c>
      <c r="K4745" s="5">
        <v>26110.948843472826</v>
      </c>
      <c r="L4745" s="5">
        <v>15664.99858445921</v>
      </c>
      <c r="M4745" s="5">
        <v>19890.009981657669</v>
      </c>
      <c r="N4745" s="5">
        <v>21009.255892677338</v>
      </c>
      <c r="O4745" s="5">
        <v>25604.597681740845</v>
      </c>
      <c r="P4745" s="5">
        <v>16574.429708560569</v>
      </c>
      <c r="Q4745" s="5">
        <v>3909.239690544402</v>
      </c>
      <c r="R4745" s="5">
        <v>18230.645544621442</v>
      </c>
    </row>
    <row r="4746" spans="9:18">
      <c r="I4746" s="4">
        <v>4731</v>
      </c>
      <c r="J4746" s="5">
        <v>14017.326487344162</v>
      </c>
      <c r="K4746" s="5">
        <v>11857.447519815871</v>
      </c>
      <c r="L4746" s="5">
        <v>23561.450544884348</v>
      </c>
      <c r="M4746" s="5">
        <v>29041.83725675238</v>
      </c>
      <c r="N4746" s="5">
        <v>26565.664379767408</v>
      </c>
      <c r="O4746" s="5">
        <v>94068.324736096256</v>
      </c>
      <c r="P4746" s="5">
        <v>74840.036182179319</v>
      </c>
      <c r="Q4746" s="5">
        <v>56069.347629295014</v>
      </c>
      <c r="R4746" s="5">
        <v>12194.45251033065</v>
      </c>
    </row>
    <row r="4747" spans="9:18">
      <c r="I4747" s="4">
        <v>4732</v>
      </c>
      <c r="J4747" s="5">
        <v>13841.207384998772</v>
      </c>
      <c r="K4747" s="5">
        <v>19467.955014411935</v>
      </c>
      <c r="L4747" s="5">
        <v>15759.954187048656</v>
      </c>
      <c r="M4747" s="5">
        <v>20788.503422877813</v>
      </c>
      <c r="N4747" s="5">
        <v>23008.246229813707</v>
      </c>
      <c r="O4747" s="5">
        <v>32474.063027682765</v>
      </c>
      <c r="P4747" s="5">
        <v>22601.57564624758</v>
      </c>
      <c r="Q4747" s="5">
        <v>11928.872068442162</v>
      </c>
      <c r="R4747" s="5">
        <v>7201.7586694681067</v>
      </c>
    </row>
    <row r="4748" spans="9:18">
      <c r="I4748" s="4">
        <v>4733</v>
      </c>
      <c r="J4748" s="5">
        <v>13918.242013140338</v>
      </c>
      <c r="K4748" s="5">
        <v>32294.121255311245</v>
      </c>
      <c r="L4748" s="5">
        <v>19359.475411188432</v>
      </c>
      <c r="M4748" s="5">
        <v>26477.996319655329</v>
      </c>
      <c r="N4748" s="5">
        <v>23008.246229813707</v>
      </c>
      <c r="O4748" s="5">
        <v>35286.662852302201</v>
      </c>
      <c r="P4748" s="5">
        <v>17643.087208586294</v>
      </c>
      <c r="Q4748" s="5">
        <v>31902.904306425251</v>
      </c>
      <c r="R4748" s="5">
        <v>39727.513802035661</v>
      </c>
    </row>
    <row r="4749" spans="9:18">
      <c r="I4749" s="4">
        <v>4734</v>
      </c>
      <c r="J4749" s="5">
        <v>21150.169973104224</v>
      </c>
      <c r="K4749" s="5">
        <v>18821.113178054162</v>
      </c>
      <c r="L4749" s="5">
        <v>17683.765335572589</v>
      </c>
      <c r="M4749" s="5">
        <v>10111.451009425113</v>
      </c>
      <c r="N4749" s="5">
        <v>10882.757905166785</v>
      </c>
      <c r="O4749" s="5">
        <v>27062.73412298776</v>
      </c>
      <c r="P4749" s="5">
        <v>12790.85158217316</v>
      </c>
      <c r="Q4749" s="5">
        <v>8502.450657922871</v>
      </c>
      <c r="R4749" s="5">
        <v>40368.364083205248</v>
      </c>
    </row>
    <row r="4750" spans="9:18">
      <c r="I4750" s="4">
        <v>4735</v>
      </c>
      <c r="J4750" s="5">
        <v>16016.491239086423</v>
      </c>
      <c r="K4750" s="5">
        <v>11558.357574452555</v>
      </c>
      <c r="L4750" s="5">
        <v>15764.107424863063</v>
      </c>
      <c r="M4750" s="5">
        <v>23515.935489506261</v>
      </c>
      <c r="N4750" s="5">
        <v>20558.672182394013</v>
      </c>
      <c r="O4750" s="5">
        <v>19430.912633256889</v>
      </c>
      <c r="P4750" s="5">
        <v>74840.036182179319</v>
      </c>
      <c r="Q4750" s="5">
        <v>11173.074396969254</v>
      </c>
      <c r="R4750" s="5">
        <v>18720.450716365784</v>
      </c>
    </row>
    <row r="4751" spans="9:18">
      <c r="I4751" s="4">
        <v>4736</v>
      </c>
      <c r="J4751" s="5">
        <v>16788.081681455456</v>
      </c>
      <c r="K4751" s="5">
        <v>16674.541027260992</v>
      </c>
      <c r="L4751" s="5">
        <v>23561.450544884348</v>
      </c>
      <c r="M4751" s="5">
        <v>20788.503422877813</v>
      </c>
      <c r="N4751" s="5">
        <v>40377.252444397986</v>
      </c>
      <c r="O4751" s="5">
        <v>8024.6340027919978</v>
      </c>
      <c r="P4751" s="5">
        <v>28537.545734403488</v>
      </c>
      <c r="Q4751" s="5">
        <v>6386.5227360487288</v>
      </c>
      <c r="R4751" s="5">
        <v>59414.886464347241</v>
      </c>
    </row>
    <row r="4752" spans="9:18">
      <c r="I4752" s="4">
        <v>4737</v>
      </c>
      <c r="J4752" s="5">
        <v>16016.491239086423</v>
      </c>
      <c r="K4752" s="5">
        <v>14017.262946034314</v>
      </c>
      <c r="L4752" s="5">
        <v>27144.958215276103</v>
      </c>
      <c r="M4752" s="5">
        <v>12426.949970383979</v>
      </c>
      <c r="N4752" s="5">
        <v>20583.564383988036</v>
      </c>
      <c r="O4752" s="5">
        <v>20721.57544042755</v>
      </c>
      <c r="P4752" s="5">
        <v>18963.234565965948</v>
      </c>
      <c r="Q4752" s="5">
        <v>37802.358878968138</v>
      </c>
      <c r="R4752" s="5">
        <v>39727.513802035661</v>
      </c>
    </row>
    <row r="4753" spans="9:18">
      <c r="I4753" s="4">
        <v>4738</v>
      </c>
      <c r="J4753" s="5">
        <v>14750.660273177687</v>
      </c>
      <c r="K4753" s="5">
        <v>19467.955014411935</v>
      </c>
      <c r="L4753" s="5">
        <v>19359.475411188432</v>
      </c>
      <c r="M4753" s="5">
        <v>21712.71007234112</v>
      </c>
      <c r="N4753" s="5">
        <v>18410.937863650517</v>
      </c>
      <c r="O4753" s="5">
        <v>10738.305003664611</v>
      </c>
      <c r="P4753" s="5">
        <v>34814.458119125498</v>
      </c>
      <c r="Q4753" s="5">
        <v>4924.9171270300558</v>
      </c>
      <c r="R4753" s="5">
        <v>33863.04333215439</v>
      </c>
    </row>
    <row r="4754" spans="9:18">
      <c r="I4754" s="4">
        <v>4739</v>
      </c>
      <c r="J4754" s="5">
        <v>16305.770155972396</v>
      </c>
      <c r="K4754" s="5">
        <v>9769.3659785458403</v>
      </c>
      <c r="L4754" s="5">
        <v>18634.523182776735</v>
      </c>
      <c r="M4754" s="5">
        <v>32751.734100446065</v>
      </c>
      <c r="N4754" s="5">
        <v>8104.6265149430556</v>
      </c>
      <c r="O4754" s="5">
        <v>27503.656957929088</v>
      </c>
      <c r="P4754" s="5">
        <v>9047.5556949992188</v>
      </c>
      <c r="Q4754" s="5">
        <v>52421.574537857021</v>
      </c>
      <c r="R4754" s="5">
        <v>122304.95880137496</v>
      </c>
    </row>
    <row r="4755" spans="9:18">
      <c r="I4755" s="4">
        <v>4740</v>
      </c>
      <c r="J4755" s="5">
        <v>28590.354879265724</v>
      </c>
      <c r="K4755" s="5">
        <v>32073.547537933715</v>
      </c>
      <c r="L4755" s="5">
        <v>14796.875457021113</v>
      </c>
      <c r="M4755" s="5">
        <v>12426.949970383979</v>
      </c>
      <c r="N4755" s="5">
        <v>22868.569282757788</v>
      </c>
      <c r="O4755" s="5">
        <v>41800.463215706819</v>
      </c>
      <c r="P4755" s="5">
        <v>25258.981945036445</v>
      </c>
      <c r="Q4755" s="5">
        <v>73941.636731325911</v>
      </c>
      <c r="R4755" s="5">
        <v>54594.567438884274</v>
      </c>
    </row>
    <row r="4756" spans="9:18">
      <c r="I4756" s="4">
        <v>4741</v>
      </c>
      <c r="J4756" s="5">
        <v>28169.050633834027</v>
      </c>
      <c r="K4756" s="5">
        <v>32294.121255311245</v>
      </c>
      <c r="L4756" s="5">
        <v>22319.409576580376</v>
      </c>
      <c r="M4756" s="5">
        <v>12619.198742021435</v>
      </c>
      <c r="N4756" s="5">
        <v>12523.573732460784</v>
      </c>
      <c r="O4756" s="5">
        <v>31172.963108652857</v>
      </c>
      <c r="P4756" s="5">
        <v>16650.229067545235</v>
      </c>
      <c r="Q4756" s="5">
        <v>52421.574537857021</v>
      </c>
      <c r="R4756" s="5">
        <v>76851.431017396084</v>
      </c>
    </row>
    <row r="4757" spans="9:18">
      <c r="I4757" s="4">
        <v>4742</v>
      </c>
      <c r="J4757" s="5">
        <v>13391.049101507895</v>
      </c>
      <c r="K4757" s="5">
        <v>7753.2116148734594</v>
      </c>
      <c r="L4757" s="5">
        <v>22412.045018675239</v>
      </c>
      <c r="M4757" s="5">
        <v>10142.860128720422</v>
      </c>
      <c r="N4757" s="5">
        <v>4770.4216775830728</v>
      </c>
      <c r="O4757" s="5">
        <v>66253.993323243907</v>
      </c>
      <c r="P4757" s="5">
        <v>16072.735485912413</v>
      </c>
      <c r="Q4757" s="5">
        <v>27789.973552634947</v>
      </c>
      <c r="R4757" s="5">
        <v>72640.340924600489</v>
      </c>
    </row>
    <row r="4758" spans="9:18">
      <c r="I4758" s="4">
        <v>4743</v>
      </c>
      <c r="J4758" s="5">
        <v>11116.191595722205</v>
      </c>
      <c r="K4758" s="5">
        <v>16132.555399908759</v>
      </c>
      <c r="L4758" s="5">
        <v>15923.549351835489</v>
      </c>
      <c r="M4758" s="5">
        <v>21272.00214469912</v>
      </c>
      <c r="N4758" s="5">
        <v>27841.916587595573</v>
      </c>
      <c r="O4758" s="5">
        <v>41800.463215706819</v>
      </c>
      <c r="P4758" s="5">
        <v>14316.965520592317</v>
      </c>
      <c r="Q4758" s="5">
        <v>37277.391668005912</v>
      </c>
      <c r="R4758" s="5">
        <v>12194.45251033065</v>
      </c>
    </row>
    <row r="4759" spans="9:18">
      <c r="I4759" s="4">
        <v>4744</v>
      </c>
      <c r="J4759" s="5">
        <v>21888.821432026474</v>
      </c>
      <c r="K4759" s="5">
        <v>31910.762633549082</v>
      </c>
      <c r="L4759" s="5">
        <v>23760.785349782636</v>
      </c>
      <c r="M4759" s="5">
        <v>14660.631931099009</v>
      </c>
      <c r="N4759" s="5">
        <v>21617.945168312468</v>
      </c>
      <c r="O4759" s="5">
        <v>5444.7598502623823</v>
      </c>
      <c r="P4759" s="5">
        <v>27373.102585108634</v>
      </c>
      <c r="Q4759" s="5">
        <v>13099.063525342741</v>
      </c>
      <c r="R4759" s="5">
        <v>14706.681111065362</v>
      </c>
    </row>
    <row r="4760" spans="9:18">
      <c r="I4760" s="4">
        <v>4745</v>
      </c>
      <c r="J4760" s="5">
        <v>14710.037865351254</v>
      </c>
      <c r="K4760" s="5">
        <v>43843.85059185313</v>
      </c>
      <c r="L4760" s="5">
        <v>13622.976145621742</v>
      </c>
      <c r="M4760" s="5">
        <v>21332.072353846772</v>
      </c>
      <c r="N4760" s="5">
        <v>9209.4418830788036</v>
      </c>
      <c r="O4760" s="5">
        <v>13613.378495715853</v>
      </c>
      <c r="P4760" s="5">
        <v>27708.613526855763</v>
      </c>
      <c r="Q4760" s="5">
        <v>54060.5331097772</v>
      </c>
      <c r="R4760" s="5">
        <v>182942.88598316166</v>
      </c>
    </row>
    <row r="4761" spans="9:18">
      <c r="I4761" s="4">
        <v>4746</v>
      </c>
      <c r="J4761" s="5">
        <v>43272.831879770602</v>
      </c>
      <c r="K4761" s="5">
        <v>16873.752266014431</v>
      </c>
      <c r="L4761" s="5">
        <v>17920.486090689363</v>
      </c>
      <c r="M4761" s="5">
        <v>16500.222621933419</v>
      </c>
      <c r="N4761" s="5">
        <v>20292.069765667391</v>
      </c>
      <c r="O4761" s="5">
        <v>32474.063027682765</v>
      </c>
      <c r="P4761" s="5">
        <v>8877.9712092977989</v>
      </c>
      <c r="Q4761" s="5">
        <v>31618.396253255491</v>
      </c>
      <c r="R4761" s="5">
        <v>7394.6358885760465</v>
      </c>
    </row>
    <row r="4762" spans="9:18">
      <c r="I4762" s="4">
        <v>4747</v>
      </c>
      <c r="J4762" s="5">
        <v>16416.142496463777</v>
      </c>
      <c r="K4762" s="5">
        <v>34164.842952759042</v>
      </c>
      <c r="L4762" s="5">
        <v>14815.394001212817</v>
      </c>
      <c r="M4762" s="5">
        <v>13022.686998540772</v>
      </c>
      <c r="N4762" s="5">
        <v>13909.728487455486</v>
      </c>
      <c r="O4762" s="5">
        <v>53028.643350899503</v>
      </c>
      <c r="P4762" s="5">
        <v>27820.721938889761</v>
      </c>
      <c r="Q4762" s="5">
        <v>17234.335939857254</v>
      </c>
      <c r="R4762" s="5">
        <v>18349.337771428582</v>
      </c>
    </row>
    <row r="4763" spans="9:18">
      <c r="I4763" s="4">
        <v>4748</v>
      </c>
      <c r="J4763" s="5">
        <v>21150.169973104224</v>
      </c>
      <c r="K4763" s="5">
        <v>14351.415257675473</v>
      </c>
      <c r="L4763" s="5">
        <v>14175.160754078657</v>
      </c>
      <c r="M4763" s="5">
        <v>12934.591863415189</v>
      </c>
      <c r="N4763" s="5">
        <v>24769.339976495565</v>
      </c>
      <c r="O4763" s="5">
        <v>19430.912633256889</v>
      </c>
      <c r="P4763" s="5">
        <v>106091.28270624072</v>
      </c>
      <c r="Q4763" s="5">
        <v>14064.158297039334</v>
      </c>
      <c r="R4763" s="5">
        <v>7784.2246210242874</v>
      </c>
    </row>
    <row r="4764" spans="9:18">
      <c r="I4764" s="4">
        <v>4749</v>
      </c>
      <c r="J4764" s="5">
        <v>13447.638004246244</v>
      </c>
      <c r="K4764" s="5">
        <v>10931.803935361211</v>
      </c>
      <c r="L4764" s="5">
        <v>17243.440968229323</v>
      </c>
      <c r="M4764" s="5">
        <v>20185.026038758231</v>
      </c>
      <c r="N4764" s="5">
        <v>15130.853682762778</v>
      </c>
      <c r="O4764" s="5">
        <v>27084.483614751469</v>
      </c>
      <c r="P4764" s="5">
        <v>23769.190223735484</v>
      </c>
      <c r="Q4764" s="5">
        <v>3909.239690544402</v>
      </c>
      <c r="R4764" s="5">
        <v>93933.045103013996</v>
      </c>
    </row>
    <row r="4765" spans="9:18">
      <c r="I4765" s="4">
        <v>4750</v>
      </c>
      <c r="J4765" s="5">
        <v>12035.382213755307</v>
      </c>
      <c r="K4765" s="5">
        <v>9739.7813029644258</v>
      </c>
      <c r="L4765" s="5">
        <v>18215.751370765771</v>
      </c>
      <c r="M4765" s="5">
        <v>22961.931350882205</v>
      </c>
      <c r="N4765" s="5">
        <v>22511.351424689696</v>
      </c>
      <c r="O4765" s="5">
        <v>13550.031670770122</v>
      </c>
      <c r="P4765" s="5">
        <v>55119.366528283317</v>
      </c>
      <c r="Q4765" s="5">
        <v>35525.432376048877</v>
      </c>
      <c r="R4765" s="5">
        <v>27349.63499959607</v>
      </c>
    </row>
    <row r="4766" spans="9:18">
      <c r="I4766" s="4">
        <v>4751</v>
      </c>
      <c r="J4766" s="5">
        <v>13447.638004246244</v>
      </c>
      <c r="K4766" s="5">
        <v>7753.2116148734594</v>
      </c>
      <c r="L4766" s="5">
        <v>15832.5469007027</v>
      </c>
      <c r="M4766" s="5">
        <v>17116.951435661951</v>
      </c>
      <c r="N4766" s="5">
        <v>15251.140047572881</v>
      </c>
      <c r="O4766" s="5">
        <v>12110.196126281628</v>
      </c>
      <c r="P4766" s="5">
        <v>35213.322626437533</v>
      </c>
      <c r="Q4766" s="5">
        <v>47365.380972950254</v>
      </c>
      <c r="R4766" s="5">
        <v>3433.6677391851467</v>
      </c>
    </row>
    <row r="4767" spans="9:18">
      <c r="I4767" s="4">
        <v>4752</v>
      </c>
      <c r="J4767" s="5">
        <v>12452.764985867625</v>
      </c>
      <c r="K4767" s="5">
        <v>21218.439146892688</v>
      </c>
      <c r="L4767" s="5">
        <v>15746.942257105531</v>
      </c>
      <c r="M4767" s="5">
        <v>33862.836621974391</v>
      </c>
      <c r="N4767" s="5">
        <v>23998.040874392525</v>
      </c>
      <c r="O4767" s="5">
        <v>42492.261063288854</v>
      </c>
      <c r="P4767" s="5">
        <v>18862.487147419793</v>
      </c>
      <c r="Q4767" s="5">
        <v>9652.8114206999071</v>
      </c>
      <c r="R4767" s="5">
        <v>18230.645544621442</v>
      </c>
    </row>
    <row r="4768" spans="9:18">
      <c r="I4768" s="4">
        <v>4753</v>
      </c>
      <c r="J4768" s="5">
        <v>12701.339251949787</v>
      </c>
      <c r="K4768" s="5">
        <v>35705.595198125673</v>
      </c>
      <c r="L4768" s="5">
        <v>19189.275558866306</v>
      </c>
      <c r="M4768" s="5">
        <v>16500.222621933419</v>
      </c>
      <c r="N4768" s="5">
        <v>24853.247795632611</v>
      </c>
      <c r="O4768" s="5">
        <v>8801.3667015774663</v>
      </c>
      <c r="P4768" s="5">
        <v>9482.0186426688688</v>
      </c>
      <c r="Q4768" s="5">
        <v>30495.121067047665</v>
      </c>
      <c r="R4768" s="5">
        <v>181970.23111012415</v>
      </c>
    </row>
    <row r="4769" spans="9:18">
      <c r="I4769" s="4">
        <v>4754</v>
      </c>
      <c r="J4769" s="5">
        <v>11116.191595722205</v>
      </c>
      <c r="K4769" s="5">
        <v>21187.174639714212</v>
      </c>
      <c r="L4769" s="5">
        <v>16014.071850041886</v>
      </c>
      <c r="M4769" s="5">
        <v>21913.431401527439</v>
      </c>
      <c r="N4769" s="5">
        <v>27833.630848857778</v>
      </c>
      <c r="O4769" s="5">
        <v>9956.4031238965053</v>
      </c>
      <c r="P4769" s="5">
        <v>66904.018529955298</v>
      </c>
      <c r="Q4769" s="5">
        <v>44911.749632594299</v>
      </c>
      <c r="R4769" s="5">
        <v>122304.95880137496</v>
      </c>
    </row>
    <row r="4770" spans="9:18">
      <c r="I4770" s="4">
        <v>4755</v>
      </c>
      <c r="J4770" s="5">
        <v>31559.699247539775</v>
      </c>
      <c r="K4770" s="5">
        <v>11857.447519815871</v>
      </c>
      <c r="L4770" s="5">
        <v>17693.864646288712</v>
      </c>
      <c r="M4770" s="5">
        <v>6367.5407465007311</v>
      </c>
      <c r="N4770" s="5">
        <v>15804.474686449519</v>
      </c>
      <c r="O4770" s="5">
        <v>30876.675913171162</v>
      </c>
      <c r="P4770" s="5">
        <v>16574.429708560569</v>
      </c>
      <c r="Q4770" s="5">
        <v>71213.172792303565</v>
      </c>
      <c r="R4770" s="5">
        <v>261393.32711858812</v>
      </c>
    </row>
    <row r="4771" spans="9:18">
      <c r="I4771" s="4">
        <v>4756</v>
      </c>
      <c r="J4771" s="5">
        <v>14671.176405938595</v>
      </c>
      <c r="K4771" s="5">
        <v>15768.312122029349</v>
      </c>
      <c r="L4771" s="5">
        <v>15832.5469007027</v>
      </c>
      <c r="M4771" s="5">
        <v>41698.977215629871</v>
      </c>
      <c r="N4771" s="5">
        <v>36962.805083900916</v>
      </c>
      <c r="O4771" s="5">
        <v>15936.062371781712</v>
      </c>
      <c r="P4771" s="5">
        <v>28537.545734403488</v>
      </c>
      <c r="Q4771" s="5">
        <v>47365.380972950254</v>
      </c>
      <c r="R4771" s="5">
        <v>6360.7905155660001</v>
      </c>
    </row>
    <row r="4772" spans="9:18">
      <c r="I4772" s="4">
        <v>4757</v>
      </c>
      <c r="J4772" s="5">
        <v>21888.821432026474</v>
      </c>
      <c r="K4772" s="5">
        <v>56656.842992470461</v>
      </c>
      <c r="L4772" s="5">
        <v>15161.007794371622</v>
      </c>
      <c r="M4772" s="5">
        <v>12987.517521908694</v>
      </c>
      <c r="N4772" s="5">
        <v>39672.376281023731</v>
      </c>
      <c r="O4772" s="5">
        <v>14371.728352806511</v>
      </c>
      <c r="P4772" s="5">
        <v>9811.9720599964548</v>
      </c>
      <c r="Q4772" s="5">
        <v>43417.41805414496</v>
      </c>
      <c r="R4772" s="5">
        <v>5865.9802599669383</v>
      </c>
    </row>
    <row r="4773" spans="9:18">
      <c r="I4773" s="4">
        <v>4758</v>
      </c>
      <c r="J4773" s="5">
        <v>14960.076233580705</v>
      </c>
      <c r="K4773" s="5">
        <v>16665.1498926479</v>
      </c>
      <c r="L4773" s="5">
        <v>16577.562442697115</v>
      </c>
      <c r="M4773" s="5">
        <v>41698.977215629871</v>
      </c>
      <c r="N4773" s="5">
        <v>14335.478134989447</v>
      </c>
      <c r="O4773" s="5">
        <v>10369.402667058452</v>
      </c>
      <c r="P4773" s="5">
        <v>6275.8915673055426</v>
      </c>
      <c r="Q4773" s="5">
        <v>52545.991451361173</v>
      </c>
      <c r="R4773" s="5">
        <v>20303.08745527079</v>
      </c>
    </row>
    <row r="4774" spans="9:18">
      <c r="I4774" s="4">
        <v>4759</v>
      </c>
      <c r="J4774" s="5">
        <v>15081.728672246438</v>
      </c>
      <c r="K4774" s="5">
        <v>18218.584572172625</v>
      </c>
      <c r="L4774" s="5">
        <v>14649.721476864312</v>
      </c>
      <c r="M4774" s="5">
        <v>6367.5407465007311</v>
      </c>
      <c r="N4774" s="5">
        <v>63974.903847153939</v>
      </c>
      <c r="O4774" s="5">
        <v>16524.769946939996</v>
      </c>
      <c r="P4774" s="5">
        <v>20403.656304140692</v>
      </c>
      <c r="Q4774" s="5">
        <v>96632.959478514502</v>
      </c>
      <c r="R4774" s="5">
        <v>8720.6503563381029</v>
      </c>
    </row>
    <row r="4775" spans="9:18">
      <c r="I4775" s="4">
        <v>4760</v>
      </c>
      <c r="J4775" s="5">
        <v>15554.996700302558</v>
      </c>
      <c r="K4775" s="5">
        <v>14497.035717129334</v>
      </c>
      <c r="L4775" s="5">
        <v>21725.131459372977</v>
      </c>
      <c r="M4775" s="5">
        <v>41403.687663920646</v>
      </c>
      <c r="N4775" s="5">
        <v>14335.478134989447</v>
      </c>
      <c r="O4775" s="5">
        <v>51330.340277512776</v>
      </c>
      <c r="P4775" s="5">
        <v>31127.87225845682</v>
      </c>
      <c r="Q4775" s="5">
        <v>8832.660767995616</v>
      </c>
      <c r="R4775" s="5">
        <v>93933.045103013996</v>
      </c>
    </row>
    <row r="4776" spans="9:18">
      <c r="I4776" s="4">
        <v>4761</v>
      </c>
      <c r="J4776" s="5">
        <v>15417.870921574262</v>
      </c>
      <c r="K4776" s="5">
        <v>16665.1498926479</v>
      </c>
      <c r="L4776" s="5">
        <v>14364.472927446199</v>
      </c>
      <c r="M4776" s="5">
        <v>33862.836621974391</v>
      </c>
      <c r="N4776" s="5">
        <v>10882.757905166785</v>
      </c>
      <c r="O4776" s="5">
        <v>10738.305003664611</v>
      </c>
      <c r="P4776" s="5">
        <v>16574.429708560569</v>
      </c>
      <c r="Q4776" s="5">
        <v>37101.531383212743</v>
      </c>
      <c r="R4776" s="5">
        <v>8130.5639219412278</v>
      </c>
    </row>
    <row r="4777" spans="9:18">
      <c r="I4777" s="4">
        <v>4762</v>
      </c>
      <c r="J4777" s="5">
        <v>11843.28062342474</v>
      </c>
      <c r="K4777" s="5">
        <v>14136.873097602549</v>
      </c>
      <c r="L4777" s="5">
        <v>13867.07093008449</v>
      </c>
      <c r="M4777" s="5">
        <v>29834.240613550006</v>
      </c>
      <c r="N4777" s="5">
        <v>45581.602064432409</v>
      </c>
      <c r="O4777" s="5">
        <v>12110.196126281628</v>
      </c>
      <c r="P4777" s="5">
        <v>39054.462981000084</v>
      </c>
      <c r="Q4777" s="5">
        <v>13865.641566869812</v>
      </c>
      <c r="R4777" s="5">
        <v>6681.1887184356683</v>
      </c>
    </row>
    <row r="4778" spans="9:18">
      <c r="I4778" s="4">
        <v>4763</v>
      </c>
      <c r="J4778" s="5">
        <v>14960.076233580705</v>
      </c>
      <c r="K4778" s="5">
        <v>14587.813833513306</v>
      </c>
      <c r="L4778" s="5">
        <v>13037.115556745504</v>
      </c>
      <c r="M4778" s="5">
        <v>13011.820191946215</v>
      </c>
      <c r="N4778" s="5">
        <v>6130.3882288404347</v>
      </c>
      <c r="O4778" s="5">
        <v>25644.588869829797</v>
      </c>
      <c r="P4778" s="5">
        <v>10180.109839011631</v>
      </c>
      <c r="Q4778" s="5">
        <v>4924.9171270300558</v>
      </c>
      <c r="R4778" s="5">
        <v>3989.7956692889929</v>
      </c>
    </row>
    <row r="4779" spans="9:18">
      <c r="I4779" s="4">
        <v>4764</v>
      </c>
      <c r="J4779" s="5">
        <v>14741.240040396578</v>
      </c>
      <c r="K4779" s="5">
        <v>53937.689698015136</v>
      </c>
      <c r="L4779" s="5">
        <v>22412.045018675239</v>
      </c>
      <c r="M4779" s="5">
        <v>30830.81083227017</v>
      </c>
      <c r="N4779" s="5">
        <v>27841.916587595573</v>
      </c>
      <c r="O4779" s="5">
        <v>9708.4497800977806</v>
      </c>
      <c r="P4779" s="5">
        <v>27452.975716953504</v>
      </c>
      <c r="Q4779" s="5">
        <v>22895.455950885695</v>
      </c>
      <c r="R4779" s="5">
        <v>20236.767651156802</v>
      </c>
    </row>
    <row r="4780" spans="9:18">
      <c r="I4780" s="4">
        <v>4765</v>
      </c>
      <c r="J4780" s="5">
        <v>20002.201347927807</v>
      </c>
      <c r="K4780" s="5">
        <v>14611.618478071941</v>
      </c>
      <c r="L4780" s="5">
        <v>24256.352541181568</v>
      </c>
      <c r="M4780" s="5">
        <v>22326.253555179093</v>
      </c>
      <c r="N4780" s="5">
        <v>14921.795973817481</v>
      </c>
      <c r="O4780" s="5">
        <v>55264.438774006347</v>
      </c>
      <c r="P4780" s="5">
        <v>26541.896041444568</v>
      </c>
      <c r="Q4780" s="5">
        <v>20987.925664394581</v>
      </c>
      <c r="R4780" s="5">
        <v>27349.63499959607</v>
      </c>
    </row>
    <row r="4781" spans="9:18">
      <c r="I4781" s="4">
        <v>4766</v>
      </c>
      <c r="J4781" s="5">
        <v>11116.191595722205</v>
      </c>
      <c r="K4781" s="5">
        <v>16132.555399908759</v>
      </c>
      <c r="L4781" s="5">
        <v>18475.258050488967</v>
      </c>
      <c r="M4781" s="5">
        <v>7334.8610818348589</v>
      </c>
      <c r="N4781" s="5">
        <v>24769.339976495565</v>
      </c>
      <c r="O4781" s="5">
        <v>35865.625349531729</v>
      </c>
      <c r="P4781" s="5">
        <v>54292.749740228588</v>
      </c>
      <c r="Q4781" s="5">
        <v>8502.450657922871</v>
      </c>
      <c r="R4781" s="5">
        <v>41056.152565483346</v>
      </c>
    </row>
    <row r="4782" spans="9:18">
      <c r="I4782" s="4">
        <v>4767</v>
      </c>
      <c r="J4782" s="5">
        <v>14594.990625703947</v>
      </c>
      <c r="K4782" s="5">
        <v>14351.415257675473</v>
      </c>
      <c r="L4782" s="5">
        <v>16106.634875163341</v>
      </c>
      <c r="M4782" s="5">
        <v>42282.977640783138</v>
      </c>
      <c r="N4782" s="5">
        <v>45581.602064432409</v>
      </c>
      <c r="O4782" s="5">
        <v>53007.660727727191</v>
      </c>
      <c r="P4782" s="5">
        <v>54100.778483493887</v>
      </c>
      <c r="Q4782" s="5">
        <v>18097.768262249352</v>
      </c>
      <c r="R4782" s="5">
        <v>8105.1944146993656</v>
      </c>
    </row>
    <row r="4783" spans="9:18">
      <c r="I4783" s="4">
        <v>4768</v>
      </c>
      <c r="J4783" s="5">
        <v>14076.209333698853</v>
      </c>
      <c r="K4783" s="5">
        <v>16199.334613834633</v>
      </c>
      <c r="L4783" s="5">
        <v>14691.846656953887</v>
      </c>
      <c r="M4783" s="5">
        <v>18816.787977140237</v>
      </c>
      <c r="N4783" s="5">
        <v>23583.581287126868</v>
      </c>
      <c r="O4783" s="5">
        <v>79848.944504816522</v>
      </c>
      <c r="P4783" s="5">
        <v>26541.896041444568</v>
      </c>
      <c r="Q4783" s="5">
        <v>73941.636731325911</v>
      </c>
      <c r="R4783" s="5">
        <v>7118.1729476780347</v>
      </c>
    </row>
    <row r="4784" spans="9:18">
      <c r="I4784" s="4">
        <v>4769</v>
      </c>
      <c r="J4784" s="5">
        <v>19467.17453557903</v>
      </c>
      <c r="K4784" s="5">
        <v>16605.655749562578</v>
      </c>
      <c r="L4784" s="5">
        <v>17073.17760523731</v>
      </c>
      <c r="M4784" s="5">
        <v>26477.996319655329</v>
      </c>
      <c r="N4784" s="5">
        <v>4770.4216775830728</v>
      </c>
      <c r="O4784" s="5">
        <v>5909.5347260996277</v>
      </c>
      <c r="P4784" s="5">
        <v>32155.527541400057</v>
      </c>
      <c r="Q4784" s="5">
        <v>7349.2234634219121</v>
      </c>
      <c r="R4784" s="5">
        <v>3311.4906988006405</v>
      </c>
    </row>
    <row r="4785" spans="9:18">
      <c r="I4785" s="4">
        <v>4770</v>
      </c>
      <c r="J4785" s="5">
        <v>45301.532027110363</v>
      </c>
      <c r="K4785" s="5">
        <v>34164.842952759042</v>
      </c>
      <c r="L4785" s="5">
        <v>15651.346103181355</v>
      </c>
      <c r="M4785" s="5">
        <v>21072.983263501868</v>
      </c>
      <c r="N4785" s="5">
        <v>21009.255892677338</v>
      </c>
      <c r="O4785" s="5">
        <v>9869.5889207969612</v>
      </c>
      <c r="P4785" s="5">
        <v>41657.50350099193</v>
      </c>
      <c r="Q4785" s="5">
        <v>22145.301831504508</v>
      </c>
      <c r="R4785" s="5">
        <v>41418.225609677866</v>
      </c>
    </row>
    <row r="4786" spans="9:18">
      <c r="I4786" s="4">
        <v>4771</v>
      </c>
      <c r="J4786" s="5">
        <v>11854.381651026555</v>
      </c>
      <c r="K4786" s="5">
        <v>8124.7965732661823</v>
      </c>
      <c r="L4786" s="5">
        <v>24256.352541181568</v>
      </c>
      <c r="M4786" s="5">
        <v>13139.022167648376</v>
      </c>
      <c r="N4786" s="5">
        <v>23583.581287126868</v>
      </c>
      <c r="O4786" s="5">
        <v>62082.6862081785</v>
      </c>
      <c r="P4786" s="5">
        <v>16574.429708560569</v>
      </c>
      <c r="Q4786" s="5">
        <v>44911.749632594299</v>
      </c>
      <c r="R4786" s="5">
        <v>38898.713625068609</v>
      </c>
    </row>
    <row r="4787" spans="9:18">
      <c r="I4787" s="4">
        <v>4772</v>
      </c>
      <c r="J4787" s="5">
        <v>13391.049101507895</v>
      </c>
      <c r="K4787" s="5">
        <v>19467.955014411935</v>
      </c>
      <c r="L4787" s="5">
        <v>15664.99858445921</v>
      </c>
      <c r="M4787" s="5">
        <v>6367.5407465007311</v>
      </c>
      <c r="N4787" s="5">
        <v>12592.300437162297</v>
      </c>
      <c r="O4787" s="5">
        <v>13840.304699955392</v>
      </c>
      <c r="P4787" s="5">
        <v>40377.463755170742</v>
      </c>
      <c r="Q4787" s="5">
        <v>17493.456269945855</v>
      </c>
      <c r="R4787" s="5">
        <v>51141.799458534304</v>
      </c>
    </row>
    <row r="4788" spans="9:18">
      <c r="I4788" s="4">
        <v>4773</v>
      </c>
      <c r="J4788" s="5">
        <v>22812.564910649318</v>
      </c>
      <c r="K4788" s="5">
        <v>14351.415257675473</v>
      </c>
      <c r="L4788" s="5">
        <v>18475.258050488967</v>
      </c>
      <c r="M4788" s="5">
        <v>20041.623430301417</v>
      </c>
      <c r="N4788" s="5">
        <v>11604.12831603515</v>
      </c>
      <c r="O4788" s="5">
        <v>21930.527973988665</v>
      </c>
      <c r="P4788" s="5">
        <v>22601.57564624758</v>
      </c>
      <c r="Q4788" s="5">
        <v>17153.530968450712</v>
      </c>
      <c r="R4788" s="5">
        <v>39727.513802035661</v>
      </c>
    </row>
    <row r="4789" spans="9:18">
      <c r="I4789" s="4">
        <v>4774</v>
      </c>
      <c r="J4789" s="5">
        <v>13447.638004246244</v>
      </c>
      <c r="K4789" s="5">
        <v>15051.330276415061</v>
      </c>
      <c r="L4789" s="5">
        <v>14364.472927446199</v>
      </c>
      <c r="M4789" s="5">
        <v>11860.862376247747</v>
      </c>
      <c r="N4789" s="5">
        <v>11751.639947035985</v>
      </c>
      <c r="O4789" s="5">
        <v>94068.324736096256</v>
      </c>
      <c r="P4789" s="5">
        <v>9826.8369575407578</v>
      </c>
      <c r="Q4789" s="5">
        <v>8832.660767995616</v>
      </c>
      <c r="R4789" s="5">
        <v>7879.038918914337</v>
      </c>
    </row>
    <row r="4790" spans="9:18">
      <c r="I4790" s="4">
        <v>4775</v>
      </c>
      <c r="J4790" s="5">
        <v>14710.037865351254</v>
      </c>
      <c r="K4790" s="5">
        <v>31910.762633549082</v>
      </c>
      <c r="L4790" s="5">
        <v>20698.842353987733</v>
      </c>
      <c r="M4790" s="5">
        <v>12987.517521908694</v>
      </c>
      <c r="N4790" s="5">
        <v>51261.622558090799</v>
      </c>
      <c r="O4790" s="5">
        <v>6199.3195463515376</v>
      </c>
      <c r="P4790" s="5">
        <v>54292.749740228588</v>
      </c>
      <c r="Q4790" s="5">
        <v>21421.044775857536</v>
      </c>
      <c r="R4790" s="5">
        <v>114016.93673542379</v>
      </c>
    </row>
    <row r="4791" spans="9:18">
      <c r="I4791" s="4">
        <v>4776</v>
      </c>
      <c r="J4791" s="5">
        <v>12888.204629170894</v>
      </c>
      <c r="K4791" s="5">
        <v>21527.93129974293</v>
      </c>
      <c r="L4791" s="5">
        <v>15651.346103181355</v>
      </c>
      <c r="M4791" s="5">
        <v>11860.862376247747</v>
      </c>
      <c r="N4791" s="5">
        <v>23008.246229813707</v>
      </c>
      <c r="O4791" s="5">
        <v>24258.192244316608</v>
      </c>
      <c r="P4791" s="5">
        <v>10180.109839011631</v>
      </c>
      <c r="Q4791" s="5">
        <v>71213.172792303565</v>
      </c>
      <c r="R4791" s="5">
        <v>35232.418639121184</v>
      </c>
    </row>
    <row r="4792" spans="9:18">
      <c r="I4792" s="4">
        <v>4777</v>
      </c>
      <c r="J4792" s="5">
        <v>15081.728672246438</v>
      </c>
      <c r="K4792" s="5">
        <v>22732.797143159998</v>
      </c>
      <c r="L4792" s="5">
        <v>15126.980926457318</v>
      </c>
      <c r="M4792" s="5">
        <v>36301.422888051464</v>
      </c>
      <c r="N4792" s="5">
        <v>21909.120225822895</v>
      </c>
      <c r="O4792" s="5">
        <v>10738.305003664611</v>
      </c>
      <c r="P4792" s="5">
        <v>8069.5385577067918</v>
      </c>
      <c r="Q4792" s="5">
        <v>8502.450657922871</v>
      </c>
      <c r="R4792" s="5">
        <v>84289.422255274636</v>
      </c>
    </row>
    <row r="4793" spans="9:18">
      <c r="I4793" s="4">
        <v>4778</v>
      </c>
      <c r="J4793" s="5">
        <v>17679.321624063952</v>
      </c>
      <c r="K4793" s="5">
        <v>16273.14570113692</v>
      </c>
      <c r="L4793" s="5">
        <v>25007.552172398639</v>
      </c>
      <c r="M4793" s="5">
        <v>16842.379179328669</v>
      </c>
      <c r="N4793" s="5">
        <v>8555.1229659096207</v>
      </c>
      <c r="O4793" s="5">
        <v>25802.481365323994</v>
      </c>
      <c r="P4793" s="5">
        <v>17737.38315098183</v>
      </c>
      <c r="Q4793" s="5">
        <v>9454.5906023793759</v>
      </c>
      <c r="R4793" s="5">
        <v>33863.04333215439</v>
      </c>
    </row>
    <row r="4794" spans="9:18">
      <c r="I4794" s="4">
        <v>4779</v>
      </c>
      <c r="J4794" s="5">
        <v>21150.169973104224</v>
      </c>
      <c r="K4794" s="5">
        <v>13719.930466819731</v>
      </c>
      <c r="L4794" s="5">
        <v>29265.217478369766</v>
      </c>
      <c r="M4794" s="5">
        <v>15346.383801976139</v>
      </c>
      <c r="N4794" s="5">
        <v>48565.498233359976</v>
      </c>
      <c r="O4794" s="5">
        <v>14371.728352806511</v>
      </c>
      <c r="P4794" s="5">
        <v>27708.613526855763</v>
      </c>
      <c r="Q4794" s="5">
        <v>17153.530968450712</v>
      </c>
      <c r="R4794" s="5">
        <v>3989.7956692889929</v>
      </c>
    </row>
    <row r="4795" spans="9:18">
      <c r="I4795" s="4">
        <v>4780</v>
      </c>
      <c r="J4795" s="5">
        <v>9405.362381917912</v>
      </c>
      <c r="K4795" s="5">
        <v>11403.533194020869</v>
      </c>
      <c r="L4795" s="5">
        <v>16071.260291253868</v>
      </c>
      <c r="M4795" s="5">
        <v>19433.64679949253</v>
      </c>
      <c r="N4795" s="5">
        <v>19225.139878706803</v>
      </c>
      <c r="O4795" s="5">
        <v>66253.993323243907</v>
      </c>
      <c r="P4795" s="5">
        <v>21039.927746191301</v>
      </c>
      <c r="Q4795" s="5">
        <v>148345.62878828164</v>
      </c>
      <c r="R4795" s="5">
        <v>18349.337771428582</v>
      </c>
    </row>
    <row r="4796" spans="9:18">
      <c r="I4796" s="4">
        <v>4781</v>
      </c>
      <c r="J4796" s="5">
        <v>16733.020222212988</v>
      </c>
      <c r="K4796" s="5">
        <v>17003.901855709089</v>
      </c>
      <c r="L4796" s="5">
        <v>13358.459356674217</v>
      </c>
      <c r="M4796" s="5">
        <v>29041.83725675238</v>
      </c>
      <c r="N4796" s="5">
        <v>12592.300437162297</v>
      </c>
      <c r="O4796" s="5">
        <v>8024.6340027919978</v>
      </c>
      <c r="P4796" s="5">
        <v>5735.6883097179207</v>
      </c>
      <c r="Q4796" s="5">
        <v>14064.158297039334</v>
      </c>
      <c r="R4796" s="5">
        <v>7784.2246210242874</v>
      </c>
    </row>
    <row r="4797" spans="9:18">
      <c r="I4797" s="4">
        <v>4782</v>
      </c>
      <c r="J4797" s="5">
        <v>17005.744061105343</v>
      </c>
      <c r="K4797" s="5">
        <v>35488.449387009874</v>
      </c>
      <c r="L4797" s="5">
        <v>16577.562442697115</v>
      </c>
      <c r="M4797" s="5">
        <v>12426.949970383979</v>
      </c>
      <c r="N4797" s="5">
        <v>26115.05281128412</v>
      </c>
      <c r="O4797" s="5">
        <v>94068.324736096256</v>
      </c>
      <c r="P4797" s="5">
        <v>8662.4232458952465</v>
      </c>
      <c r="Q4797" s="5">
        <v>13865.641566869812</v>
      </c>
      <c r="R4797" s="5">
        <v>13258.538726001538</v>
      </c>
    </row>
    <row r="4798" spans="9:18">
      <c r="I4798" s="4">
        <v>4783</v>
      </c>
      <c r="J4798" s="5">
        <v>16416.142496463777</v>
      </c>
      <c r="K4798" s="5">
        <v>53937.689698015136</v>
      </c>
      <c r="L4798" s="5">
        <v>13417.453622029931</v>
      </c>
      <c r="M4798" s="5">
        <v>12735.841453044006</v>
      </c>
      <c r="N4798" s="5">
        <v>42744.618431291936</v>
      </c>
      <c r="O4798" s="5">
        <v>31172.963108652857</v>
      </c>
      <c r="P4798" s="5">
        <v>33715.790977629549</v>
      </c>
      <c r="Q4798" s="5">
        <v>9796.0979856104404</v>
      </c>
      <c r="R4798" s="5">
        <v>26783.439354489365</v>
      </c>
    </row>
    <row r="4799" spans="9:18">
      <c r="I4799" s="4">
        <v>4784</v>
      </c>
      <c r="J4799" s="5">
        <v>12056.41843703942</v>
      </c>
      <c r="K4799" s="5">
        <v>23327.217259521742</v>
      </c>
      <c r="L4799" s="5">
        <v>13622.976145621742</v>
      </c>
      <c r="M4799" s="5">
        <v>19795.661011456152</v>
      </c>
      <c r="N4799" s="5">
        <v>22868.569282757788</v>
      </c>
      <c r="O4799" s="5">
        <v>13117.417685535194</v>
      </c>
      <c r="P4799" s="5">
        <v>21933.779100635442</v>
      </c>
      <c r="Q4799" s="5">
        <v>28567.61306643406</v>
      </c>
      <c r="R4799" s="5">
        <v>2180.6148629084787</v>
      </c>
    </row>
    <row r="4800" spans="9:18">
      <c r="I4800" s="4">
        <v>4785</v>
      </c>
      <c r="J4800" s="5">
        <v>9368.8270679249108</v>
      </c>
      <c r="K4800" s="5">
        <v>11206.053243692098</v>
      </c>
      <c r="L4800" s="5">
        <v>16472.138192556791</v>
      </c>
      <c r="M4800" s="5">
        <v>13011.820191946215</v>
      </c>
      <c r="N4800" s="5">
        <v>11952.903761138405</v>
      </c>
      <c r="O4800" s="5">
        <v>53504.725169095313</v>
      </c>
      <c r="P4800" s="5">
        <v>22708.601480587709</v>
      </c>
      <c r="Q4800" s="5">
        <v>59134.059519022907</v>
      </c>
      <c r="R4800" s="5">
        <v>19133.693426869788</v>
      </c>
    </row>
    <row r="4801" spans="9:18">
      <c r="I4801" s="4">
        <v>4786</v>
      </c>
      <c r="J4801" s="5">
        <v>11116.191595722205</v>
      </c>
      <c r="K4801" s="5">
        <v>17903.387243834499</v>
      </c>
      <c r="L4801" s="5">
        <v>22412.045018675239</v>
      </c>
      <c r="M4801" s="5">
        <v>22326.253555179093</v>
      </c>
      <c r="N4801" s="5">
        <v>28426.778914975595</v>
      </c>
      <c r="O4801" s="5">
        <v>25802.481365323994</v>
      </c>
      <c r="P4801" s="5">
        <v>34768.042801665702</v>
      </c>
      <c r="Q4801" s="5">
        <v>53055.59182561023</v>
      </c>
      <c r="R4801" s="5">
        <v>7394.6358885760465</v>
      </c>
    </row>
    <row r="4802" spans="9:18">
      <c r="I4802" s="4">
        <v>4787</v>
      </c>
      <c r="J4802" s="5">
        <v>27392.038553726634</v>
      </c>
      <c r="K4802" s="5">
        <v>6949.5708823216592</v>
      </c>
      <c r="L4802" s="5">
        <v>15764.107424863063</v>
      </c>
      <c r="M4802" s="5">
        <v>19042.78605337895</v>
      </c>
      <c r="N4802" s="5">
        <v>41563.89847100406</v>
      </c>
      <c r="O4802" s="5">
        <v>13966.178986479143</v>
      </c>
      <c r="P4802" s="5">
        <v>35213.322626437533</v>
      </c>
      <c r="Q4802" s="5">
        <v>148345.62878828164</v>
      </c>
      <c r="R4802" s="5">
        <v>216919.53009911609</v>
      </c>
    </row>
    <row r="4803" spans="9:18">
      <c r="I4803" s="4">
        <v>4788</v>
      </c>
      <c r="J4803" s="5">
        <v>15352.465904292809</v>
      </c>
      <c r="K4803" s="5">
        <v>35488.449387009874</v>
      </c>
      <c r="L4803" s="5">
        <v>14146.191653372813</v>
      </c>
      <c r="M4803" s="5">
        <v>15202.972920708273</v>
      </c>
      <c r="N4803" s="5">
        <v>23283.854578052265</v>
      </c>
      <c r="O4803" s="5">
        <v>27195.510785031525</v>
      </c>
      <c r="P4803" s="5">
        <v>13452.921824087563</v>
      </c>
      <c r="Q4803" s="5">
        <v>12451.066014448154</v>
      </c>
      <c r="R4803" s="5">
        <v>261393.32711858812</v>
      </c>
    </row>
    <row r="4804" spans="9:18">
      <c r="I4804" s="4">
        <v>4789</v>
      </c>
      <c r="J4804" s="5">
        <v>27392.038553726634</v>
      </c>
      <c r="K4804" s="5">
        <v>26110.948843472826</v>
      </c>
      <c r="L4804" s="5">
        <v>11827.803406885578</v>
      </c>
      <c r="M4804" s="5">
        <v>30785.663999045999</v>
      </c>
      <c r="N4804" s="5">
        <v>18367.429489032103</v>
      </c>
      <c r="O4804" s="5">
        <v>25604.597681740845</v>
      </c>
      <c r="P4804" s="5">
        <v>17996.895987204196</v>
      </c>
      <c r="Q4804" s="5">
        <v>54060.5331097772</v>
      </c>
      <c r="R4804" s="5">
        <v>20236.767651156802</v>
      </c>
    </row>
    <row r="4805" spans="9:18">
      <c r="I4805" s="4">
        <v>4790</v>
      </c>
      <c r="J4805" s="5">
        <v>16016.491239086423</v>
      </c>
      <c r="K4805" s="5">
        <v>17495.743706488822</v>
      </c>
      <c r="L4805" s="5">
        <v>16071.260291253868</v>
      </c>
      <c r="M4805" s="5">
        <v>17116.951435661951</v>
      </c>
      <c r="N4805" s="5">
        <v>20558.672182394013</v>
      </c>
      <c r="O4805" s="5">
        <v>21930.527973988665</v>
      </c>
      <c r="P4805" s="5">
        <v>27452.975716953504</v>
      </c>
      <c r="Q4805" s="5">
        <v>48756.323642664109</v>
      </c>
      <c r="R4805" s="5">
        <v>84289.422255274636</v>
      </c>
    </row>
    <row r="4806" spans="9:18">
      <c r="I4806" s="4">
        <v>4791</v>
      </c>
      <c r="J4806" s="5">
        <v>9368.8270679249108</v>
      </c>
      <c r="K4806" s="5">
        <v>16081.362509465702</v>
      </c>
      <c r="L4806" s="5">
        <v>14264.23790876064</v>
      </c>
      <c r="M4806" s="5">
        <v>12987.517521908694</v>
      </c>
      <c r="N4806" s="5">
        <v>48565.498233359976</v>
      </c>
      <c r="O4806" s="5">
        <v>12110.196126281628</v>
      </c>
      <c r="P4806" s="5">
        <v>54292.749740228588</v>
      </c>
      <c r="Q4806" s="5">
        <v>20883.852062640355</v>
      </c>
      <c r="R4806" s="5">
        <v>16039.216896723072</v>
      </c>
    </row>
    <row r="4807" spans="9:18">
      <c r="I4807" s="4">
        <v>4792</v>
      </c>
      <c r="J4807" s="5">
        <v>12701.339251949787</v>
      </c>
      <c r="K4807" s="5">
        <v>30552.499930043898</v>
      </c>
      <c r="L4807" s="5">
        <v>14344.859750762502</v>
      </c>
      <c r="M4807" s="5">
        <v>20041.623430301417</v>
      </c>
      <c r="N4807" s="5">
        <v>23043.345403059295</v>
      </c>
      <c r="O4807" s="5">
        <v>5444.7598502623823</v>
      </c>
      <c r="P4807" s="5">
        <v>5735.6883097179207</v>
      </c>
      <c r="Q4807" s="5">
        <v>79566.621912742485</v>
      </c>
      <c r="R4807" s="5">
        <v>72561.496699005787</v>
      </c>
    </row>
    <row r="4808" spans="9:18">
      <c r="I4808" s="4">
        <v>4793</v>
      </c>
      <c r="J4808" s="5">
        <v>11036.461796239426</v>
      </c>
      <c r="K4808" s="5">
        <v>13719.930466819731</v>
      </c>
      <c r="L4808" s="5">
        <v>16777.996633299583</v>
      </c>
      <c r="M4808" s="5">
        <v>31460.745851561904</v>
      </c>
      <c r="N4808" s="5">
        <v>10882.757905166785</v>
      </c>
      <c r="O4808" s="5">
        <v>42492.261063288854</v>
      </c>
      <c r="P4808" s="5">
        <v>9047.5556949992188</v>
      </c>
      <c r="Q4808" s="5">
        <v>59964.86015574776</v>
      </c>
      <c r="R4808" s="5">
        <v>20236.767651156802</v>
      </c>
    </row>
    <row r="4809" spans="9:18">
      <c r="I4809" s="4">
        <v>4794</v>
      </c>
      <c r="J4809" s="5">
        <v>22812.564910649318</v>
      </c>
      <c r="K4809" s="5">
        <v>32073.547537933715</v>
      </c>
      <c r="L4809" s="5">
        <v>22162.138529251199</v>
      </c>
      <c r="M4809" s="5">
        <v>22815.60259636537</v>
      </c>
      <c r="N4809" s="5">
        <v>27833.630848857778</v>
      </c>
      <c r="O4809" s="5">
        <v>49114.195066822271</v>
      </c>
      <c r="P4809" s="5">
        <v>45161.732159568586</v>
      </c>
      <c r="Q4809" s="5">
        <v>73941.636731325911</v>
      </c>
      <c r="R4809" s="5">
        <v>20303.08745527079</v>
      </c>
    </row>
    <row r="4810" spans="9:18">
      <c r="I4810" s="4">
        <v>4795</v>
      </c>
      <c r="J4810" s="5">
        <v>16145.071869702888</v>
      </c>
      <c r="K4810" s="5">
        <v>16081.362509465702</v>
      </c>
      <c r="L4810" s="5">
        <v>14811.370758813007</v>
      </c>
      <c r="M4810" s="5">
        <v>16510.442870615672</v>
      </c>
      <c r="N4810" s="5">
        <v>32184.535272543482</v>
      </c>
      <c r="O4810" s="5">
        <v>27062.73412298776</v>
      </c>
      <c r="P4810" s="5">
        <v>41657.50350099193</v>
      </c>
      <c r="Q4810" s="5">
        <v>8474.2603471579441</v>
      </c>
      <c r="R4810" s="5">
        <v>14051.647494499957</v>
      </c>
    </row>
    <row r="4811" spans="9:18">
      <c r="I4811" s="4">
        <v>4796</v>
      </c>
      <c r="J4811" s="5">
        <v>45301.532027110363</v>
      </c>
      <c r="K4811" s="5">
        <v>61827.107730316675</v>
      </c>
      <c r="L4811" s="5">
        <v>15923.549351835489</v>
      </c>
      <c r="M4811" s="5">
        <v>19795.661011456152</v>
      </c>
      <c r="N4811" s="5">
        <v>15786.177386596903</v>
      </c>
      <c r="O4811" s="5">
        <v>27084.483614751469</v>
      </c>
      <c r="P4811" s="5">
        <v>16574.429708560569</v>
      </c>
      <c r="Q4811" s="5">
        <v>73941.636731325911</v>
      </c>
      <c r="R4811" s="5">
        <v>9913.4206865238284</v>
      </c>
    </row>
    <row r="4812" spans="9:18">
      <c r="I4812" s="4">
        <v>4797</v>
      </c>
      <c r="J4812" s="5">
        <v>15554.996700302558</v>
      </c>
      <c r="K4812" s="5">
        <v>14674.169276244838</v>
      </c>
      <c r="L4812" s="5">
        <v>25389.332759288587</v>
      </c>
      <c r="M4812" s="5">
        <v>11529.920007560097</v>
      </c>
      <c r="N4812" s="5">
        <v>15130.853682762778</v>
      </c>
      <c r="O4812" s="5">
        <v>53028.643350899503</v>
      </c>
      <c r="P4812" s="5">
        <v>54923.423457863879</v>
      </c>
      <c r="Q4812" s="5">
        <v>4924.9171270300558</v>
      </c>
      <c r="R4812" s="5">
        <v>18349.337771428582</v>
      </c>
    </row>
    <row r="4813" spans="9:18">
      <c r="I4813" s="4">
        <v>4798</v>
      </c>
      <c r="J4813" s="5">
        <v>9368.8270679249108</v>
      </c>
      <c r="K4813" s="5">
        <v>31910.762633549082</v>
      </c>
      <c r="L4813" s="5">
        <v>19359.475411188432</v>
      </c>
      <c r="M4813" s="5">
        <v>13022.686998540772</v>
      </c>
      <c r="N4813" s="5">
        <v>21931.347680292267</v>
      </c>
      <c r="O4813" s="5">
        <v>53007.660727727191</v>
      </c>
      <c r="P4813" s="5">
        <v>14327.191387816954</v>
      </c>
      <c r="Q4813" s="5">
        <v>8880.8074399558282</v>
      </c>
      <c r="R4813" s="5">
        <v>19133.693426869788</v>
      </c>
    </row>
    <row r="4814" spans="9:18">
      <c r="I4814" s="4">
        <v>4799</v>
      </c>
      <c r="J4814" s="5">
        <v>22370.105711697011</v>
      </c>
      <c r="K4814" s="5">
        <v>18821.113178054162</v>
      </c>
      <c r="L4814" s="5">
        <v>17920.486090689363</v>
      </c>
      <c r="M4814" s="5">
        <v>25580.243606220469</v>
      </c>
      <c r="N4814" s="5">
        <v>15804.474686449519</v>
      </c>
      <c r="O4814" s="5">
        <v>10369.402667058452</v>
      </c>
      <c r="P4814" s="5">
        <v>16574.429708560569</v>
      </c>
      <c r="Q4814" s="5">
        <v>19315.033835554255</v>
      </c>
      <c r="R4814" s="5">
        <v>55106.806585409526</v>
      </c>
    </row>
    <row r="4815" spans="9:18">
      <c r="I4815" s="4">
        <v>4800</v>
      </c>
      <c r="J4815" s="5">
        <v>11036.461796239426</v>
      </c>
      <c r="K4815" s="5">
        <v>16934.093371663999</v>
      </c>
      <c r="L4815" s="5">
        <v>14691.846656953887</v>
      </c>
      <c r="M4815" s="5">
        <v>9623.0342442006167</v>
      </c>
      <c r="N4815" s="5">
        <v>19125.360074567652</v>
      </c>
      <c r="O4815" s="5">
        <v>27062.73412298776</v>
      </c>
      <c r="P4815" s="5">
        <v>27452.975716953504</v>
      </c>
      <c r="Q4815" s="5">
        <v>9796.0979856104404</v>
      </c>
      <c r="R4815" s="5">
        <v>16039.216896723072</v>
      </c>
    </row>
    <row r="4816" spans="9:18">
      <c r="I4816" s="4">
        <v>4801</v>
      </c>
      <c r="J4816" s="5">
        <v>9368.8270679249108</v>
      </c>
      <c r="K4816" s="5">
        <v>16132.555399908759</v>
      </c>
      <c r="L4816" s="5">
        <v>34748.877779456467</v>
      </c>
      <c r="M4816" s="5">
        <v>11860.862376247747</v>
      </c>
      <c r="N4816" s="5">
        <v>17811.114014514766</v>
      </c>
      <c r="O4816" s="5">
        <v>24247.516962783076</v>
      </c>
      <c r="P4816" s="5">
        <v>3831.1492650071077</v>
      </c>
      <c r="Q4816" s="5">
        <v>19315.033835554255</v>
      </c>
      <c r="R4816" s="5">
        <v>17687.533637716911</v>
      </c>
    </row>
    <row r="4817" spans="9:18">
      <c r="I4817" s="4">
        <v>4802</v>
      </c>
      <c r="J4817" s="5">
        <v>21888.821432026474</v>
      </c>
      <c r="K4817" s="5">
        <v>14611.618478071941</v>
      </c>
      <c r="L4817" s="5">
        <v>14175.160754078657</v>
      </c>
      <c r="M4817" s="5">
        <v>32497.510405113037</v>
      </c>
      <c r="N4817" s="5">
        <v>23283.854578052265</v>
      </c>
      <c r="O4817" s="5">
        <v>27062.73412298776</v>
      </c>
      <c r="P4817" s="5">
        <v>8877.9712092977989</v>
      </c>
      <c r="Q4817" s="5">
        <v>48866.209623168346</v>
      </c>
      <c r="R4817" s="5">
        <v>18349.337771428582</v>
      </c>
    </row>
    <row r="4818" spans="9:18">
      <c r="I4818" s="4">
        <v>4803</v>
      </c>
      <c r="J4818" s="5">
        <v>15417.870921574262</v>
      </c>
      <c r="K4818" s="5">
        <v>21527.93129974293</v>
      </c>
      <c r="L4818" s="5">
        <v>14796.875457021113</v>
      </c>
      <c r="M4818" s="5">
        <v>31554.722481137964</v>
      </c>
      <c r="N4818" s="5">
        <v>36962.805083900916</v>
      </c>
      <c r="O4818" s="5">
        <v>16462.170789592048</v>
      </c>
      <c r="P4818" s="5">
        <v>13793.886507202402</v>
      </c>
      <c r="Q4818" s="5">
        <v>29432.473148002948</v>
      </c>
      <c r="R4818" s="5">
        <v>46004.399892616471</v>
      </c>
    </row>
    <row r="4819" spans="9:18">
      <c r="I4819" s="4">
        <v>4804</v>
      </c>
      <c r="J4819" s="5">
        <v>16166.107684907736</v>
      </c>
      <c r="K4819" s="5">
        <v>13331.01856102917</v>
      </c>
      <c r="L4819" s="5">
        <v>15359.132481533357</v>
      </c>
      <c r="M4819" s="5">
        <v>13011.820191946215</v>
      </c>
      <c r="N4819" s="5">
        <v>15251.140047572881</v>
      </c>
      <c r="O4819" s="5">
        <v>16524.769946939996</v>
      </c>
      <c r="P4819" s="5">
        <v>24349.301972630979</v>
      </c>
      <c r="Q4819" s="5">
        <v>47365.380972950254</v>
      </c>
      <c r="R4819" s="5">
        <v>18230.645544621442</v>
      </c>
    </row>
    <row r="4820" spans="9:18">
      <c r="I4820" s="4">
        <v>4805</v>
      </c>
      <c r="J4820" s="5">
        <v>14749.343145806102</v>
      </c>
      <c r="K4820" s="5">
        <v>6949.5708823216592</v>
      </c>
      <c r="L4820" s="5">
        <v>19078.910217042379</v>
      </c>
      <c r="M4820" s="5">
        <v>10142.860128720422</v>
      </c>
      <c r="N4820" s="5">
        <v>22010.718648995869</v>
      </c>
      <c r="O4820" s="5">
        <v>13966.178986479143</v>
      </c>
      <c r="P4820" s="5">
        <v>63015.124693769802</v>
      </c>
      <c r="Q4820" s="5">
        <v>73941.636731325911</v>
      </c>
      <c r="R4820" s="5">
        <v>14079.827908007112</v>
      </c>
    </row>
    <row r="4821" spans="9:18">
      <c r="I4821" s="4">
        <v>4806</v>
      </c>
      <c r="J4821" s="5">
        <v>9368.8270679249108</v>
      </c>
      <c r="K4821" s="5">
        <v>14579.232378315752</v>
      </c>
      <c r="L4821" s="5">
        <v>14811.370758813007</v>
      </c>
      <c r="M4821" s="5">
        <v>18879.640760542785</v>
      </c>
      <c r="N4821" s="5">
        <v>27833.630848857778</v>
      </c>
      <c r="O4821" s="5">
        <v>36759.655306288936</v>
      </c>
      <c r="P4821" s="5">
        <v>55152.110177667731</v>
      </c>
      <c r="Q4821" s="5">
        <v>59964.86015574776</v>
      </c>
      <c r="R4821" s="5">
        <v>27349.63499959607</v>
      </c>
    </row>
    <row r="4822" spans="9:18">
      <c r="I4822" s="4">
        <v>4807</v>
      </c>
      <c r="J4822" s="5">
        <v>22370.105711697011</v>
      </c>
      <c r="K4822" s="5">
        <v>14674.169276244838</v>
      </c>
      <c r="L4822" s="5">
        <v>17683.765335572589</v>
      </c>
      <c r="M4822" s="5">
        <v>29041.83725675238</v>
      </c>
      <c r="N4822" s="5">
        <v>17891.96347244953</v>
      </c>
      <c r="O4822" s="5">
        <v>25644.588869829797</v>
      </c>
      <c r="P4822" s="5">
        <v>31127.87225845682</v>
      </c>
      <c r="Q4822" s="5">
        <v>20883.852062640355</v>
      </c>
      <c r="R4822" s="5">
        <v>7879.038918914337</v>
      </c>
    </row>
    <row r="4823" spans="9:18">
      <c r="I4823" s="4">
        <v>4808</v>
      </c>
      <c r="J4823" s="5">
        <v>14749.343145806102</v>
      </c>
      <c r="K4823" s="5">
        <v>16199.334613834633</v>
      </c>
      <c r="L4823" s="5">
        <v>14691.846656953887</v>
      </c>
      <c r="M4823" s="5">
        <v>21913.431401527439</v>
      </c>
      <c r="N4823" s="5">
        <v>10882.757905166785</v>
      </c>
      <c r="O4823" s="5">
        <v>13117.417685535194</v>
      </c>
      <c r="P4823" s="5">
        <v>22708.601480587709</v>
      </c>
      <c r="Q4823" s="5">
        <v>52421.574537857021</v>
      </c>
      <c r="R4823" s="5">
        <v>8105.1944146993656</v>
      </c>
    </row>
    <row r="4824" spans="9:18">
      <c r="I4824" s="4">
        <v>4809</v>
      </c>
      <c r="J4824" s="5">
        <v>12056.41843703942</v>
      </c>
      <c r="K4824" s="5">
        <v>23327.217259521742</v>
      </c>
      <c r="L4824" s="5">
        <v>19078.910217042379</v>
      </c>
      <c r="M4824" s="5">
        <v>16842.379179328669</v>
      </c>
      <c r="N4824" s="5">
        <v>26565.664379767408</v>
      </c>
      <c r="O4824" s="5">
        <v>8801.3667015774663</v>
      </c>
      <c r="P4824" s="5">
        <v>32167.874670939738</v>
      </c>
      <c r="Q4824" s="5">
        <v>17153.530968450712</v>
      </c>
      <c r="R4824" s="5">
        <v>39727.513802035661</v>
      </c>
    </row>
    <row r="4825" spans="9:18">
      <c r="I4825" s="4">
        <v>4810</v>
      </c>
      <c r="J4825" s="5">
        <v>16544.73779470181</v>
      </c>
      <c r="K4825" s="5">
        <v>24728.095385476983</v>
      </c>
      <c r="L4825" s="5">
        <v>24256.352541181568</v>
      </c>
      <c r="M4825" s="5">
        <v>31554.722481137964</v>
      </c>
      <c r="N4825" s="5">
        <v>23043.345403059295</v>
      </c>
      <c r="O4825" s="5">
        <v>5909.5347260996277</v>
      </c>
      <c r="P4825" s="5">
        <v>33715.790977629549</v>
      </c>
      <c r="Q4825" s="5">
        <v>42044.890065817184</v>
      </c>
      <c r="R4825" s="5">
        <v>216919.53009911609</v>
      </c>
    </row>
    <row r="4826" spans="9:18">
      <c r="I4826" s="4">
        <v>4811</v>
      </c>
      <c r="J4826" s="5">
        <v>16305.770155972396</v>
      </c>
      <c r="K4826" s="5">
        <v>13559.080695844099</v>
      </c>
      <c r="L4826" s="5">
        <v>21725.131459372977</v>
      </c>
      <c r="M4826" s="5">
        <v>20788.503422877813</v>
      </c>
      <c r="N4826" s="5">
        <v>22511.351424689696</v>
      </c>
      <c r="O4826" s="5">
        <v>16572.483389649329</v>
      </c>
      <c r="P4826" s="5">
        <v>23769.190223735484</v>
      </c>
      <c r="Q4826" s="5">
        <v>37073.980790337926</v>
      </c>
      <c r="R4826" s="5">
        <v>20303.08745527079</v>
      </c>
    </row>
    <row r="4827" spans="9:18">
      <c r="I4827" s="4">
        <v>4812</v>
      </c>
      <c r="J4827" s="5">
        <v>15623.733864199699</v>
      </c>
      <c r="K4827" s="5">
        <v>14136.873097602549</v>
      </c>
      <c r="L4827" s="5">
        <v>16014.071850041886</v>
      </c>
      <c r="M4827" s="5">
        <v>20185.026038758231</v>
      </c>
      <c r="N4827" s="5">
        <v>13909.728487455486</v>
      </c>
      <c r="O4827" s="5">
        <v>3171.3006415671193</v>
      </c>
      <c r="P4827" s="5">
        <v>26126.807131356076</v>
      </c>
      <c r="Q4827" s="5">
        <v>7349.2234634219121</v>
      </c>
      <c r="R4827" s="5">
        <v>1535.701520095213</v>
      </c>
    </row>
    <row r="4828" spans="9:18">
      <c r="I4828" s="4">
        <v>4813</v>
      </c>
      <c r="J4828" s="5">
        <v>11116.191595722205</v>
      </c>
      <c r="K4828" s="5">
        <v>26110.948843472826</v>
      </c>
      <c r="L4828" s="5">
        <v>16616.161224349555</v>
      </c>
      <c r="M4828" s="5">
        <v>24981.974172352908</v>
      </c>
      <c r="N4828" s="5">
        <v>9989.086510768735</v>
      </c>
      <c r="O4828" s="5">
        <v>94068.324736096256</v>
      </c>
      <c r="P4828" s="5">
        <v>54292.749740228588</v>
      </c>
      <c r="Q4828" s="5">
        <v>7349.2234634219121</v>
      </c>
      <c r="R4828" s="5">
        <v>39263.770877572199</v>
      </c>
    </row>
    <row r="4829" spans="9:18">
      <c r="I4829" s="4">
        <v>4814</v>
      </c>
      <c r="J4829" s="5">
        <v>15352.465904292809</v>
      </c>
      <c r="K4829" s="5">
        <v>13719.930466819731</v>
      </c>
      <c r="L4829" s="5">
        <v>22319.409576580376</v>
      </c>
      <c r="M4829" s="5">
        <v>12426.949970383979</v>
      </c>
      <c r="N4829" s="5">
        <v>23583.581287126868</v>
      </c>
      <c r="O4829" s="5">
        <v>31172.963108652857</v>
      </c>
      <c r="P4829" s="5">
        <v>55152.110177667731</v>
      </c>
      <c r="Q4829" s="5">
        <v>47365.380972950254</v>
      </c>
      <c r="R4829" s="5">
        <v>12194.45251033065</v>
      </c>
    </row>
    <row r="4830" spans="9:18">
      <c r="I4830" s="4">
        <v>4815</v>
      </c>
      <c r="J4830" s="5">
        <v>16544.73779470181</v>
      </c>
      <c r="K4830" s="5">
        <v>7753.2116148734594</v>
      </c>
      <c r="L4830" s="5">
        <v>14610.165745300763</v>
      </c>
      <c r="M4830" s="5">
        <v>21712.71007234112</v>
      </c>
      <c r="N4830" s="5">
        <v>21909.120225822895</v>
      </c>
      <c r="O4830" s="5">
        <v>51330.340277512776</v>
      </c>
      <c r="P4830" s="5">
        <v>9482.0186426688688</v>
      </c>
      <c r="Q4830" s="5">
        <v>28776.080424849053</v>
      </c>
      <c r="R4830" s="5">
        <v>59414.886464347241</v>
      </c>
    </row>
    <row r="4831" spans="9:18">
      <c r="I4831" s="4">
        <v>4816</v>
      </c>
      <c r="J4831" s="5">
        <v>13918.242013140338</v>
      </c>
      <c r="K4831" s="5">
        <v>14021.934268028277</v>
      </c>
      <c r="L4831" s="5">
        <v>15923.549351835489</v>
      </c>
      <c r="M4831" s="5">
        <v>20550.782384061673</v>
      </c>
      <c r="N4831" s="5">
        <v>15251.140047572881</v>
      </c>
      <c r="O4831" s="5">
        <v>62082.6862081785</v>
      </c>
      <c r="P4831" s="5">
        <v>16072.735485912413</v>
      </c>
      <c r="Q4831" s="5">
        <v>9645.8788061228515</v>
      </c>
      <c r="R4831" s="5">
        <v>8046.7106309763258</v>
      </c>
    </row>
    <row r="4832" spans="9:18">
      <c r="I4832" s="4">
        <v>4817</v>
      </c>
      <c r="J4832" s="5">
        <v>16416.142496463777</v>
      </c>
      <c r="K4832" s="5">
        <v>12777.667398488715</v>
      </c>
      <c r="L4832" s="5">
        <v>17073.17760523731</v>
      </c>
      <c r="M4832" s="5">
        <v>23908.621352410395</v>
      </c>
      <c r="N4832" s="5">
        <v>8555.1229659096207</v>
      </c>
      <c r="O4832" s="5">
        <v>14371.728352806511</v>
      </c>
      <c r="P4832" s="5">
        <v>23769.190223735484</v>
      </c>
      <c r="Q4832" s="5">
        <v>7457.1844090365566</v>
      </c>
      <c r="R4832" s="5">
        <v>13258.538726001538</v>
      </c>
    </row>
    <row r="4833" spans="9:18">
      <c r="I4833" s="4">
        <v>4818</v>
      </c>
      <c r="J4833" s="5">
        <v>15081.728672246438</v>
      </c>
      <c r="K4833" s="5">
        <v>18218.584572172625</v>
      </c>
      <c r="L4833" s="5">
        <v>22162.138529251199</v>
      </c>
      <c r="M4833" s="5">
        <v>17542.15972125496</v>
      </c>
      <c r="N4833" s="5">
        <v>25424.029865101274</v>
      </c>
      <c r="O4833" s="5">
        <v>10738.305003664611</v>
      </c>
      <c r="P4833" s="5">
        <v>17974.179326980211</v>
      </c>
      <c r="Q4833" s="5">
        <v>30495.121067047665</v>
      </c>
      <c r="R4833" s="5">
        <v>89167.415757270224</v>
      </c>
    </row>
    <row r="4834" spans="9:18">
      <c r="I4834" s="4">
        <v>4819</v>
      </c>
      <c r="J4834" s="5">
        <v>14076.209333698853</v>
      </c>
      <c r="K4834" s="5">
        <v>10931.803935361211</v>
      </c>
      <c r="L4834" s="5">
        <v>17683.765335572589</v>
      </c>
      <c r="M4834" s="5">
        <v>13065.820809359835</v>
      </c>
      <c r="N4834" s="5">
        <v>48565.498233359976</v>
      </c>
      <c r="O4834" s="5">
        <v>10738.305003664611</v>
      </c>
      <c r="P4834" s="5">
        <v>21039.927746191301</v>
      </c>
      <c r="Q4834" s="5">
        <v>28797.29222718185</v>
      </c>
      <c r="R4834" s="5">
        <v>8720.6503563381029</v>
      </c>
    </row>
    <row r="4835" spans="9:18">
      <c r="I4835" s="4">
        <v>4820</v>
      </c>
      <c r="J4835" s="5">
        <v>15786.811016780619</v>
      </c>
      <c r="K4835" s="5">
        <v>18086.448513145526</v>
      </c>
      <c r="L4835" s="5">
        <v>15060.431658965737</v>
      </c>
      <c r="M4835" s="5">
        <v>12735.841453044006</v>
      </c>
      <c r="N4835" s="5">
        <v>20718.434293991453</v>
      </c>
      <c r="O4835" s="5">
        <v>14371.728352806511</v>
      </c>
      <c r="P4835" s="5">
        <v>35569.894390728325</v>
      </c>
      <c r="Q4835" s="5">
        <v>70295.978314632754</v>
      </c>
      <c r="R4835" s="5">
        <v>50287.76786557267</v>
      </c>
    </row>
    <row r="4836" spans="9:18">
      <c r="I4836" s="4">
        <v>4821</v>
      </c>
      <c r="J4836" s="5">
        <v>19121.054099180623</v>
      </c>
      <c r="K4836" s="5">
        <v>61827.107730316675</v>
      </c>
      <c r="L4836" s="5">
        <v>15746.942257105531</v>
      </c>
      <c r="M4836" s="5">
        <v>17542.15972125496</v>
      </c>
      <c r="N4836" s="5">
        <v>27833.630848857778</v>
      </c>
      <c r="O4836" s="5">
        <v>41653.890350944224</v>
      </c>
      <c r="P4836" s="5">
        <v>74840.036182179319</v>
      </c>
      <c r="Q4836" s="5">
        <v>11173.074396969254</v>
      </c>
      <c r="R4836" s="5">
        <v>87776.138236389699</v>
      </c>
    </row>
    <row r="4837" spans="9:18">
      <c r="I4837" s="4">
        <v>4822</v>
      </c>
      <c r="J4837" s="5">
        <v>15648.665245032147</v>
      </c>
      <c r="K4837" s="5">
        <v>15487.124352801369</v>
      </c>
      <c r="L4837" s="5">
        <v>17845.207337527903</v>
      </c>
      <c r="M4837" s="5">
        <v>31460.745851561904</v>
      </c>
      <c r="N4837" s="5">
        <v>40377.252444397986</v>
      </c>
      <c r="O4837" s="5">
        <v>41653.890350944224</v>
      </c>
      <c r="P4837" s="5">
        <v>33715.790977629549</v>
      </c>
      <c r="Q4837" s="5">
        <v>7457.1844090365566</v>
      </c>
      <c r="R4837" s="5">
        <v>96845.299789249824</v>
      </c>
    </row>
    <row r="4838" spans="9:18">
      <c r="I4838" s="4">
        <v>4823</v>
      </c>
      <c r="J4838" s="5">
        <v>13918.242013140338</v>
      </c>
      <c r="K4838" s="5">
        <v>14579.232378315752</v>
      </c>
      <c r="L4838" s="5">
        <v>13023.361770761438</v>
      </c>
      <c r="M4838" s="5">
        <v>14432.283063351901</v>
      </c>
      <c r="N4838" s="5">
        <v>25549.748582175915</v>
      </c>
      <c r="O4838" s="5">
        <v>33720.545907536376</v>
      </c>
      <c r="P4838" s="5">
        <v>10733.318076105543</v>
      </c>
      <c r="Q4838" s="5">
        <v>11173.074396969254</v>
      </c>
      <c r="R4838" s="5">
        <v>6360.7905155660001</v>
      </c>
    </row>
    <row r="4839" spans="9:18">
      <c r="I4839" s="4">
        <v>4824</v>
      </c>
      <c r="J4839" s="5">
        <v>33627.941293959229</v>
      </c>
      <c r="K4839" s="5">
        <v>18086.448513145526</v>
      </c>
      <c r="L4839" s="5">
        <v>15923.549351835489</v>
      </c>
      <c r="M4839" s="5">
        <v>11860.862376247747</v>
      </c>
      <c r="N4839" s="5">
        <v>19225.139878706803</v>
      </c>
      <c r="O4839" s="5">
        <v>59207.798737851255</v>
      </c>
      <c r="P4839" s="5">
        <v>34768.042801665702</v>
      </c>
      <c r="Q4839" s="5">
        <v>42044.890065817184</v>
      </c>
      <c r="R4839" s="5">
        <v>14079.827908007112</v>
      </c>
    </row>
    <row r="4840" spans="9:18">
      <c r="I4840" s="4">
        <v>4825</v>
      </c>
      <c r="J4840" s="5">
        <v>26634.853073396614</v>
      </c>
      <c r="K4840" s="5">
        <v>7753.2116148734594</v>
      </c>
      <c r="L4840" s="5">
        <v>22319.409576580376</v>
      </c>
      <c r="M4840" s="5">
        <v>14217.48832834715</v>
      </c>
      <c r="N4840" s="5">
        <v>10882.757905166785</v>
      </c>
      <c r="O4840" s="5">
        <v>26268.613803794757</v>
      </c>
      <c r="P4840" s="5">
        <v>32155.527541400057</v>
      </c>
      <c r="Q4840" s="5">
        <v>70295.978314632754</v>
      </c>
      <c r="R4840" s="5">
        <v>261393.32711858812</v>
      </c>
    </row>
    <row r="4841" spans="9:18">
      <c r="I4841" s="4">
        <v>4826</v>
      </c>
      <c r="J4841" s="5">
        <v>26634.853073396614</v>
      </c>
      <c r="K4841" s="5">
        <v>16605.655749562578</v>
      </c>
      <c r="L4841" s="5">
        <v>21725.131459372977</v>
      </c>
      <c r="M4841" s="5">
        <v>36301.422888051464</v>
      </c>
      <c r="N4841" s="5">
        <v>63974.903847153939</v>
      </c>
      <c r="O4841" s="5">
        <v>13840.304699955392</v>
      </c>
      <c r="P4841" s="5">
        <v>9633.1652908310007</v>
      </c>
      <c r="Q4841" s="5">
        <v>7457.1844090365566</v>
      </c>
      <c r="R4841" s="5">
        <v>41056.152565483346</v>
      </c>
    </row>
    <row r="4842" spans="9:18">
      <c r="I4842" s="4">
        <v>4827</v>
      </c>
      <c r="J4842" s="5">
        <v>15786.811016780619</v>
      </c>
      <c r="K4842" s="5">
        <v>18086.448513145526</v>
      </c>
      <c r="L4842" s="5">
        <v>14796.875457021113</v>
      </c>
      <c r="M4842" s="5">
        <v>20185.026038758231</v>
      </c>
      <c r="N4842" s="5">
        <v>34295.124147811541</v>
      </c>
      <c r="O4842" s="5">
        <v>26565.882515615398</v>
      </c>
      <c r="P4842" s="5">
        <v>9047.5556949992188</v>
      </c>
      <c r="Q4842" s="5">
        <v>3909.239690544402</v>
      </c>
      <c r="R4842" s="5">
        <v>89167.415757270224</v>
      </c>
    </row>
    <row r="4843" spans="9:18">
      <c r="I4843" s="4">
        <v>4828</v>
      </c>
      <c r="J4843" s="5">
        <v>20002.201347927807</v>
      </c>
      <c r="K4843" s="5">
        <v>8223.1266007477425</v>
      </c>
      <c r="L4843" s="5">
        <v>16071.478531535273</v>
      </c>
      <c r="M4843" s="5">
        <v>16842.379179328669</v>
      </c>
      <c r="N4843" s="5">
        <v>23746.795665493762</v>
      </c>
      <c r="O4843" s="5">
        <v>53028.643350899503</v>
      </c>
      <c r="P4843" s="5">
        <v>106091.28270624072</v>
      </c>
      <c r="Q4843" s="5">
        <v>47365.380972950254</v>
      </c>
      <c r="R4843" s="5">
        <v>7201.7586694681067</v>
      </c>
    </row>
    <row r="4844" spans="9:18">
      <c r="I4844" s="4">
        <v>4829</v>
      </c>
      <c r="J4844" s="5">
        <v>16016.491239086423</v>
      </c>
      <c r="K4844" s="5">
        <v>16081.362509465702</v>
      </c>
      <c r="L4844" s="5">
        <v>21954.536591034263</v>
      </c>
      <c r="M4844" s="5">
        <v>19430.369425783585</v>
      </c>
      <c r="N4844" s="5">
        <v>19125.360074567652</v>
      </c>
      <c r="O4844" s="5">
        <v>45451.954570113048</v>
      </c>
      <c r="P4844" s="5">
        <v>3831.1492650071077</v>
      </c>
      <c r="Q4844" s="5">
        <v>6386.5227360487288</v>
      </c>
      <c r="R4844" s="5">
        <v>8720.6503563381029</v>
      </c>
    </row>
    <row r="4845" spans="9:18">
      <c r="I4845" s="4">
        <v>4830</v>
      </c>
      <c r="J4845" s="5">
        <v>14741.240040396578</v>
      </c>
      <c r="K4845" s="5">
        <v>14579.232378315752</v>
      </c>
      <c r="L4845" s="5">
        <v>16071.478531535273</v>
      </c>
      <c r="M4845" s="5">
        <v>20229.919588372999</v>
      </c>
      <c r="N4845" s="5">
        <v>19225.139878706803</v>
      </c>
      <c r="O4845" s="5">
        <v>21930.527973988665</v>
      </c>
      <c r="P4845" s="5">
        <v>24349.301972630979</v>
      </c>
      <c r="Q4845" s="5">
        <v>20883.852062640355</v>
      </c>
      <c r="R4845" s="5">
        <v>35232.418639121184</v>
      </c>
    </row>
    <row r="4846" spans="9:18">
      <c r="I4846" s="4">
        <v>4831</v>
      </c>
      <c r="J4846" s="5">
        <v>43272.831879770602</v>
      </c>
      <c r="K4846" s="5">
        <v>21218.439146892688</v>
      </c>
      <c r="L4846" s="5">
        <v>15651.346103181355</v>
      </c>
      <c r="M4846" s="5">
        <v>32497.510405113037</v>
      </c>
      <c r="N4846" s="5">
        <v>35826.921212852278</v>
      </c>
      <c r="O4846" s="5">
        <v>30656.031716467984</v>
      </c>
      <c r="P4846" s="5">
        <v>29283.825979394511</v>
      </c>
      <c r="Q4846" s="5">
        <v>59134.059519022907</v>
      </c>
      <c r="R4846" s="5">
        <v>16039.216896723072</v>
      </c>
    </row>
    <row r="4847" spans="9:18">
      <c r="I4847" s="4">
        <v>4832</v>
      </c>
      <c r="J4847" s="5">
        <v>14076.209333698853</v>
      </c>
      <c r="K4847" s="5">
        <v>14878.52734402675</v>
      </c>
      <c r="L4847" s="5">
        <v>25389.332759288587</v>
      </c>
      <c r="M4847" s="5">
        <v>30830.81083227017</v>
      </c>
      <c r="N4847" s="5">
        <v>46248.895746171031</v>
      </c>
      <c r="O4847" s="5">
        <v>24422.445067017139</v>
      </c>
      <c r="P4847" s="5">
        <v>22708.601480587709</v>
      </c>
      <c r="Q4847" s="5">
        <v>31019.493883163672</v>
      </c>
      <c r="R4847" s="5">
        <v>3311.4906988006405</v>
      </c>
    </row>
    <row r="4848" spans="9:18">
      <c r="I4848" s="4">
        <v>4833</v>
      </c>
      <c r="J4848" s="5">
        <v>28590.354879265724</v>
      </c>
      <c r="K4848" s="5">
        <v>56656.842992470461</v>
      </c>
      <c r="L4848" s="5">
        <v>13023.361770761438</v>
      </c>
      <c r="M4848" s="5">
        <v>16001.653036457456</v>
      </c>
      <c r="N4848" s="5">
        <v>11604.12831603515</v>
      </c>
      <c r="O4848" s="5">
        <v>36759.655306288936</v>
      </c>
      <c r="P4848" s="5">
        <v>33500.490132682797</v>
      </c>
      <c r="Q4848" s="5">
        <v>42044.890065817184</v>
      </c>
      <c r="R4848" s="5">
        <v>181970.23111012415</v>
      </c>
    </row>
    <row r="4849" spans="9:18">
      <c r="I4849" s="4">
        <v>4834</v>
      </c>
      <c r="J4849" s="5">
        <v>15064.079707240266</v>
      </c>
      <c r="K4849" s="5">
        <v>17495.743706488822</v>
      </c>
      <c r="L4849" s="5">
        <v>13417.453622029931</v>
      </c>
      <c r="M4849" s="5">
        <v>33862.836621974391</v>
      </c>
      <c r="N4849" s="5">
        <v>19125.360074567652</v>
      </c>
      <c r="O4849" s="5">
        <v>16572.483389649329</v>
      </c>
      <c r="P4849" s="5">
        <v>21813.848941464526</v>
      </c>
      <c r="Q4849" s="5">
        <v>8474.2603471579441</v>
      </c>
      <c r="R4849" s="5">
        <v>39263.770877572199</v>
      </c>
    </row>
    <row r="4850" spans="9:18">
      <c r="I4850" s="4">
        <v>4835</v>
      </c>
      <c r="J4850" s="5">
        <v>11854.381651026555</v>
      </c>
      <c r="K4850" s="5">
        <v>26110.948843472826</v>
      </c>
      <c r="L4850" s="5">
        <v>14146.191653372813</v>
      </c>
      <c r="M4850" s="5">
        <v>13139.022167648376</v>
      </c>
      <c r="N4850" s="5">
        <v>6130.3882288404347</v>
      </c>
      <c r="O4850" s="5">
        <v>51330.340277512776</v>
      </c>
      <c r="P4850" s="5">
        <v>33715.790977629549</v>
      </c>
      <c r="Q4850" s="5">
        <v>31902.904306425251</v>
      </c>
      <c r="R4850" s="5">
        <v>86510.608303273053</v>
      </c>
    </row>
    <row r="4851" spans="9:18">
      <c r="I4851" s="4">
        <v>4836</v>
      </c>
      <c r="J4851" s="5">
        <v>45301.532027110363</v>
      </c>
      <c r="K4851" s="5">
        <v>17903.387243834499</v>
      </c>
      <c r="L4851" s="5">
        <v>18810.091753970282</v>
      </c>
      <c r="M4851" s="5">
        <v>21913.431401527439</v>
      </c>
      <c r="N4851" s="5">
        <v>11952.903761138405</v>
      </c>
      <c r="O4851" s="5">
        <v>13519.384207850644</v>
      </c>
      <c r="P4851" s="5">
        <v>22708.601480587709</v>
      </c>
      <c r="Q4851" s="5">
        <v>70295.978314632754</v>
      </c>
      <c r="R4851" s="5">
        <v>10885.018205103002</v>
      </c>
    </row>
    <row r="4852" spans="9:18">
      <c r="I4852" s="4">
        <v>4837</v>
      </c>
      <c r="J4852" s="5">
        <v>14680.308400328413</v>
      </c>
      <c r="K4852" s="5">
        <v>34058.671324159091</v>
      </c>
      <c r="L4852" s="5">
        <v>18215.751370765771</v>
      </c>
      <c r="M4852" s="5">
        <v>21272.00214469912</v>
      </c>
      <c r="N4852" s="5">
        <v>23998.040874392525</v>
      </c>
      <c r="O4852" s="5">
        <v>16462.170789592048</v>
      </c>
      <c r="P4852" s="5">
        <v>41657.50350099193</v>
      </c>
      <c r="Q4852" s="5">
        <v>52421.574537857021</v>
      </c>
      <c r="R4852" s="5">
        <v>81423.874800517297</v>
      </c>
    </row>
    <row r="4853" spans="9:18">
      <c r="I4853" s="4">
        <v>4838</v>
      </c>
      <c r="J4853" s="5">
        <v>17679.321624063952</v>
      </c>
      <c r="K4853" s="5">
        <v>12026.500118162745</v>
      </c>
      <c r="L4853" s="5">
        <v>14146.191653372813</v>
      </c>
      <c r="M4853" s="5">
        <v>15346.383801976139</v>
      </c>
      <c r="N4853" s="5">
        <v>12297.015342318469</v>
      </c>
      <c r="O4853" s="5">
        <v>41653.890350944224</v>
      </c>
      <c r="P4853" s="5">
        <v>38771.994792132391</v>
      </c>
      <c r="Q4853" s="5">
        <v>35525.432376048877</v>
      </c>
      <c r="R4853" s="5">
        <v>18349.337771428582</v>
      </c>
    </row>
    <row r="4854" spans="9:18">
      <c r="I4854" s="4">
        <v>4839</v>
      </c>
      <c r="J4854" s="5">
        <v>11036.461796239426</v>
      </c>
      <c r="K4854" s="5">
        <v>53937.689698015136</v>
      </c>
      <c r="L4854" s="5">
        <v>17920.486090689363</v>
      </c>
      <c r="M4854" s="5">
        <v>13065.820809359835</v>
      </c>
      <c r="N4854" s="5">
        <v>14240.123545764454</v>
      </c>
      <c r="O4854" s="5">
        <v>9869.5889207969612</v>
      </c>
      <c r="P4854" s="5">
        <v>8069.5385577067918</v>
      </c>
      <c r="Q4854" s="5">
        <v>56069.347629295014</v>
      </c>
      <c r="R4854" s="5">
        <v>87776.138236389699</v>
      </c>
    </row>
    <row r="4855" spans="9:18">
      <c r="I4855" s="4">
        <v>4840</v>
      </c>
      <c r="J4855" s="5">
        <v>16016.491239086423</v>
      </c>
      <c r="K4855" s="5">
        <v>14351.415257675473</v>
      </c>
      <c r="L4855" s="5">
        <v>15764.107424863063</v>
      </c>
      <c r="M4855" s="5">
        <v>14432.283063351901</v>
      </c>
      <c r="N4855" s="5">
        <v>27833.630848857778</v>
      </c>
      <c r="O4855" s="5">
        <v>14371.728352806511</v>
      </c>
      <c r="P4855" s="5">
        <v>10733.318076105543</v>
      </c>
      <c r="Q4855" s="5">
        <v>64585.328088516922</v>
      </c>
      <c r="R4855" s="5">
        <v>39727.513802035661</v>
      </c>
    </row>
    <row r="4856" spans="9:18">
      <c r="I4856" s="4">
        <v>4841</v>
      </c>
      <c r="J4856" s="5">
        <v>21888.821432026474</v>
      </c>
      <c r="K4856" s="5">
        <v>13288.692555879701</v>
      </c>
      <c r="L4856" s="5">
        <v>18634.523182776735</v>
      </c>
      <c r="M4856" s="5">
        <v>29834.240613550006</v>
      </c>
      <c r="N4856" s="5">
        <v>11952.903761138405</v>
      </c>
      <c r="O4856" s="5">
        <v>40304.23053285561</v>
      </c>
      <c r="P4856" s="5">
        <v>44646.134934589521</v>
      </c>
      <c r="Q4856" s="5">
        <v>8880.8074399558282</v>
      </c>
      <c r="R4856" s="5">
        <v>90296.353221228885</v>
      </c>
    </row>
    <row r="4857" spans="9:18">
      <c r="I4857" s="4">
        <v>4842</v>
      </c>
      <c r="J4857" s="5">
        <v>19467.17453557903</v>
      </c>
      <c r="K4857" s="5">
        <v>15129.619337591721</v>
      </c>
      <c r="L4857" s="5">
        <v>15126.980926457318</v>
      </c>
      <c r="M4857" s="5">
        <v>37411.178129764201</v>
      </c>
      <c r="N4857" s="5">
        <v>39406.658185292261</v>
      </c>
      <c r="O4857" s="5">
        <v>41800.463215706819</v>
      </c>
      <c r="P4857" s="5">
        <v>33715.790977629549</v>
      </c>
      <c r="Q4857" s="5">
        <v>3272.4685014937832</v>
      </c>
      <c r="R4857" s="5">
        <v>20236.767651156802</v>
      </c>
    </row>
    <row r="4858" spans="9:18">
      <c r="I4858" s="4">
        <v>4843</v>
      </c>
      <c r="J4858" s="5">
        <v>18650.249281571734</v>
      </c>
      <c r="K4858" s="5">
        <v>17003.901855709089</v>
      </c>
      <c r="L4858" s="5">
        <v>16777.996633299583</v>
      </c>
      <c r="M4858" s="5">
        <v>22326.253555179093</v>
      </c>
      <c r="N4858" s="5">
        <v>24769.339976495565</v>
      </c>
      <c r="O4858" s="5">
        <v>36759.655306288936</v>
      </c>
      <c r="P4858" s="5">
        <v>9965.8330787532959</v>
      </c>
      <c r="Q4858" s="5">
        <v>19541.409060825732</v>
      </c>
      <c r="R4858" s="5">
        <v>123773.40402252052</v>
      </c>
    </row>
    <row r="4859" spans="9:18">
      <c r="I4859" s="4">
        <v>4844</v>
      </c>
      <c r="J4859" s="5">
        <v>14076.209333698853</v>
      </c>
      <c r="K4859" s="5">
        <v>15768.312122029349</v>
      </c>
      <c r="L4859" s="5">
        <v>10752.183901283248</v>
      </c>
      <c r="M4859" s="5">
        <v>13414.385151739983</v>
      </c>
      <c r="N4859" s="5">
        <v>34295.124147811541</v>
      </c>
      <c r="O4859" s="5">
        <v>25802.481365323994</v>
      </c>
      <c r="P4859" s="5">
        <v>10180.109839011631</v>
      </c>
      <c r="Q4859" s="5">
        <v>14064.158297039334</v>
      </c>
      <c r="R4859" s="5">
        <v>51358.6267760993</v>
      </c>
    </row>
    <row r="4860" spans="9:18">
      <c r="I4860" s="4">
        <v>4845</v>
      </c>
      <c r="J4860" s="5">
        <v>14710.037865351254</v>
      </c>
      <c r="K4860" s="5">
        <v>8223.1266007477425</v>
      </c>
      <c r="L4860" s="5">
        <v>19359.475411188432</v>
      </c>
      <c r="M4860" s="5">
        <v>18879.640760542785</v>
      </c>
      <c r="N4860" s="5">
        <v>20583.564383988036</v>
      </c>
      <c r="O4860" s="5">
        <v>9320.7026593487881</v>
      </c>
      <c r="P4860" s="5">
        <v>27452.975716953504</v>
      </c>
      <c r="Q4860" s="5">
        <v>8832.660767995616</v>
      </c>
      <c r="R4860" s="5">
        <v>6360.7905155660001</v>
      </c>
    </row>
    <row r="4861" spans="9:18">
      <c r="I4861" s="4">
        <v>4846</v>
      </c>
      <c r="J4861" s="5">
        <v>12035.382213755307</v>
      </c>
      <c r="K4861" s="5">
        <v>34164.842952759042</v>
      </c>
      <c r="L4861" s="5">
        <v>14364.472927446199</v>
      </c>
      <c r="M4861" s="5">
        <v>18816.787977140237</v>
      </c>
      <c r="N4861" s="5">
        <v>32184.535272543482</v>
      </c>
      <c r="O4861" s="5">
        <v>21930.527973988665</v>
      </c>
      <c r="P4861" s="5">
        <v>34814.458119125498</v>
      </c>
      <c r="Q4861" s="5">
        <v>54060.5331097772</v>
      </c>
      <c r="R4861" s="5">
        <v>84289.422255274636</v>
      </c>
    </row>
    <row r="4862" spans="9:18">
      <c r="I4862" s="4">
        <v>4847</v>
      </c>
      <c r="J4862" s="5">
        <v>15081.728672246438</v>
      </c>
      <c r="K4862" s="5">
        <v>11558.357574452555</v>
      </c>
      <c r="L4862" s="5">
        <v>15359.132481533357</v>
      </c>
      <c r="M4862" s="5">
        <v>14432.283063351901</v>
      </c>
      <c r="N4862" s="5">
        <v>15658.063692994532</v>
      </c>
      <c r="O4862" s="5">
        <v>9869.5889207969612</v>
      </c>
      <c r="P4862" s="5">
        <v>29283.825979394511</v>
      </c>
      <c r="Q4862" s="5">
        <v>6386.5227360487288</v>
      </c>
      <c r="R4862" s="5">
        <v>12194.45251033065</v>
      </c>
    </row>
    <row r="4863" spans="9:18">
      <c r="I4863" s="4">
        <v>4848</v>
      </c>
      <c r="J4863" s="5">
        <v>11854.381651026555</v>
      </c>
      <c r="K4863" s="5">
        <v>22732.797143159998</v>
      </c>
      <c r="L4863" s="5">
        <v>27289.607394458035</v>
      </c>
      <c r="M4863" s="5">
        <v>19795.661011456152</v>
      </c>
      <c r="N4863" s="5">
        <v>34295.124147811541</v>
      </c>
      <c r="O4863" s="5">
        <v>40581.847217937895</v>
      </c>
      <c r="P4863" s="5">
        <v>38771.994792132391</v>
      </c>
      <c r="Q4863" s="5">
        <v>16803.875627203233</v>
      </c>
      <c r="R4863" s="5">
        <v>182942.88598316166</v>
      </c>
    </row>
    <row r="4864" spans="9:18">
      <c r="I4864" s="4">
        <v>4849</v>
      </c>
      <c r="J4864" s="5">
        <v>17679.321624063952</v>
      </c>
      <c r="K4864" s="5">
        <v>16674.541027260992</v>
      </c>
      <c r="L4864" s="5">
        <v>22319.409576580376</v>
      </c>
      <c r="M4864" s="5">
        <v>31460.745851561904</v>
      </c>
      <c r="N4864" s="5">
        <v>9563.1256545330361</v>
      </c>
      <c r="O4864" s="5">
        <v>9708.4497800977806</v>
      </c>
      <c r="P4864" s="5">
        <v>20403.656304140692</v>
      </c>
      <c r="Q4864" s="5">
        <v>21421.044775857536</v>
      </c>
      <c r="R4864" s="5">
        <v>81423.874800517297</v>
      </c>
    </row>
    <row r="4865" spans="9:18">
      <c r="I4865" s="4">
        <v>4850</v>
      </c>
      <c r="J4865" s="5">
        <v>11854.381651026555</v>
      </c>
      <c r="K4865" s="5">
        <v>32073.547537933715</v>
      </c>
      <c r="L4865" s="5">
        <v>27144.958215276103</v>
      </c>
      <c r="M4865" s="5">
        <v>13022.686998540772</v>
      </c>
      <c r="N4865" s="5">
        <v>23746.795665493762</v>
      </c>
      <c r="O4865" s="5">
        <v>10746.295275180995</v>
      </c>
      <c r="P4865" s="5">
        <v>21813.848941464526</v>
      </c>
      <c r="Q4865" s="5">
        <v>4631.7430487757983</v>
      </c>
      <c r="R4865" s="5">
        <v>39263.770877572199</v>
      </c>
    </row>
    <row r="4866" spans="9:18">
      <c r="I4866" s="4">
        <v>4851</v>
      </c>
      <c r="J4866" s="5">
        <v>16459.003095225507</v>
      </c>
      <c r="K4866" s="5">
        <v>16081.362509465702</v>
      </c>
      <c r="L4866" s="5">
        <v>15225.811035017256</v>
      </c>
      <c r="M4866" s="5">
        <v>21272.00214469912</v>
      </c>
      <c r="N4866" s="5">
        <v>24314.043643333731</v>
      </c>
      <c r="O4866" s="5">
        <v>59207.798737851255</v>
      </c>
      <c r="P4866" s="5">
        <v>12992.105410393709</v>
      </c>
      <c r="Q4866" s="5">
        <v>116445.46783345108</v>
      </c>
      <c r="R4866" s="5">
        <v>51141.799458534304</v>
      </c>
    </row>
    <row r="4867" spans="9:18">
      <c r="I4867" s="4">
        <v>4852</v>
      </c>
      <c r="J4867" s="5">
        <v>22370.105711697011</v>
      </c>
      <c r="K4867" s="5">
        <v>14587.813833513306</v>
      </c>
      <c r="L4867" s="5">
        <v>16071.260291253868</v>
      </c>
      <c r="M4867" s="5">
        <v>19433.64679949253</v>
      </c>
      <c r="N4867" s="5">
        <v>20558.672182394013</v>
      </c>
      <c r="O4867" s="5">
        <v>21930.527973988665</v>
      </c>
      <c r="P4867" s="5">
        <v>17737.38315098183</v>
      </c>
      <c r="Q4867" s="5">
        <v>30266.563414010914</v>
      </c>
      <c r="R4867" s="5">
        <v>2071.5141323269809</v>
      </c>
    </row>
    <row r="4868" spans="9:18">
      <c r="I4868" s="4">
        <v>4853</v>
      </c>
      <c r="J4868" s="5">
        <v>16088.430030489333</v>
      </c>
      <c r="K4868" s="5">
        <v>34164.842952759042</v>
      </c>
      <c r="L4868" s="5">
        <v>18810.091753970282</v>
      </c>
      <c r="M4868" s="5">
        <v>18177.175180585615</v>
      </c>
      <c r="N4868" s="5">
        <v>46248.895746171031</v>
      </c>
      <c r="O4868" s="5">
        <v>5444.7598502623823</v>
      </c>
      <c r="P4868" s="5">
        <v>21813.848941464526</v>
      </c>
      <c r="Q4868" s="5">
        <v>28567.61306643406</v>
      </c>
      <c r="R4868" s="5">
        <v>3989.7956692889929</v>
      </c>
    </row>
    <row r="4869" spans="9:18">
      <c r="I4869" s="4">
        <v>4854</v>
      </c>
      <c r="J4869" s="5">
        <v>26634.853073396614</v>
      </c>
      <c r="K4869" s="5">
        <v>21218.439146892688</v>
      </c>
      <c r="L4869" s="5">
        <v>13037.115556745504</v>
      </c>
      <c r="M4869" s="5">
        <v>18879.640760542785</v>
      </c>
      <c r="N4869" s="5">
        <v>8104.6265149430556</v>
      </c>
      <c r="O4869" s="5">
        <v>5444.7598502623823</v>
      </c>
      <c r="P4869" s="5">
        <v>17737.38315098183</v>
      </c>
      <c r="Q4869" s="5">
        <v>31019.493883163672</v>
      </c>
      <c r="R4869" s="5">
        <v>8046.7106309763258</v>
      </c>
    </row>
    <row r="4870" spans="9:18">
      <c r="I4870" s="4">
        <v>4855</v>
      </c>
      <c r="J4870" s="5">
        <v>15554.996700302558</v>
      </c>
      <c r="K4870" s="5">
        <v>15698.764831033119</v>
      </c>
      <c r="L4870" s="5">
        <v>19224.583269019437</v>
      </c>
      <c r="M4870" s="5">
        <v>31460.745851561904</v>
      </c>
      <c r="N4870" s="5">
        <v>17811.114014514766</v>
      </c>
      <c r="O4870" s="5">
        <v>20489.622805425737</v>
      </c>
      <c r="P4870" s="5">
        <v>27452.975716953504</v>
      </c>
      <c r="Q4870" s="5">
        <v>17493.456269945855</v>
      </c>
      <c r="R4870" s="5">
        <v>87776.138236389699</v>
      </c>
    </row>
    <row r="4871" spans="9:18">
      <c r="I4871" s="4">
        <v>4856</v>
      </c>
      <c r="J4871" s="5">
        <v>17679.321624063952</v>
      </c>
      <c r="K4871" s="5">
        <v>23543.914024953676</v>
      </c>
      <c r="L4871" s="5">
        <v>14811.370758813007</v>
      </c>
      <c r="M4871" s="5">
        <v>22815.60259636537</v>
      </c>
      <c r="N4871" s="5">
        <v>11251.634703629026</v>
      </c>
      <c r="O4871" s="5">
        <v>8024.6340027919978</v>
      </c>
      <c r="P4871" s="5">
        <v>33715.790977629549</v>
      </c>
      <c r="Q4871" s="5">
        <v>8502.450657922871</v>
      </c>
      <c r="R4871" s="5">
        <v>114016.93673542379</v>
      </c>
    </row>
    <row r="4872" spans="9:18">
      <c r="I4872" s="4">
        <v>4857</v>
      </c>
      <c r="J4872" s="5">
        <v>11036.461796239426</v>
      </c>
      <c r="K4872" s="5">
        <v>14497.035717129334</v>
      </c>
      <c r="L4872" s="5">
        <v>18475.258050488967</v>
      </c>
      <c r="M4872" s="5">
        <v>9623.0342442006167</v>
      </c>
      <c r="N4872" s="5">
        <v>17891.96347244953</v>
      </c>
      <c r="O4872" s="5">
        <v>10676.618215263648</v>
      </c>
      <c r="P4872" s="5">
        <v>18963.234565965948</v>
      </c>
      <c r="Q4872" s="5">
        <v>20987.925664394581</v>
      </c>
      <c r="R4872" s="5">
        <v>65420.116221752483</v>
      </c>
    </row>
    <row r="4873" spans="9:18">
      <c r="I4873" s="4">
        <v>4858</v>
      </c>
      <c r="J4873" s="5">
        <v>16710.807721801892</v>
      </c>
      <c r="K4873" s="5">
        <v>15782.544184844044</v>
      </c>
      <c r="L4873" s="5">
        <v>16106.634875163341</v>
      </c>
      <c r="M4873" s="5">
        <v>13414.385151739983</v>
      </c>
      <c r="N4873" s="5">
        <v>23746.795665493762</v>
      </c>
      <c r="O4873" s="5">
        <v>6199.3195463515376</v>
      </c>
      <c r="P4873" s="5">
        <v>63015.124693769802</v>
      </c>
      <c r="Q4873" s="5">
        <v>10151.908492905288</v>
      </c>
      <c r="R4873" s="5">
        <v>41418.225609677866</v>
      </c>
    </row>
    <row r="4874" spans="9:18">
      <c r="I4874" s="4">
        <v>4859</v>
      </c>
      <c r="J4874" s="5">
        <v>21150.169973104224</v>
      </c>
      <c r="K4874" s="5">
        <v>35705.595198125673</v>
      </c>
      <c r="L4874" s="5">
        <v>14344.859750762502</v>
      </c>
      <c r="M4874" s="5">
        <v>16500.222621933419</v>
      </c>
      <c r="N4874" s="5">
        <v>11251.634703629026</v>
      </c>
      <c r="O4874" s="5">
        <v>66253.993323243907</v>
      </c>
      <c r="P4874" s="5">
        <v>35569.894390728325</v>
      </c>
      <c r="Q4874" s="5">
        <v>148345.62878828164</v>
      </c>
      <c r="R4874" s="5">
        <v>24722.972470599001</v>
      </c>
    </row>
    <row r="4875" spans="9:18">
      <c r="I4875" s="4">
        <v>4860</v>
      </c>
      <c r="J4875" s="5">
        <v>14749.343145806102</v>
      </c>
      <c r="K4875" s="5">
        <v>35705.595198125673</v>
      </c>
      <c r="L4875" s="5">
        <v>18810.091753970282</v>
      </c>
      <c r="M4875" s="5">
        <v>23067.94260629595</v>
      </c>
      <c r="N4875" s="5">
        <v>21931.347680292267</v>
      </c>
      <c r="O4875" s="5">
        <v>4231.3144655921506</v>
      </c>
      <c r="P4875" s="5">
        <v>12639.596794453437</v>
      </c>
      <c r="Q4875" s="5">
        <v>116445.46783345108</v>
      </c>
      <c r="R4875" s="5">
        <v>302760.11878714536</v>
      </c>
    </row>
    <row r="4876" spans="9:18">
      <c r="I4876" s="4">
        <v>4861</v>
      </c>
      <c r="J4876" s="5">
        <v>17005.744061105343</v>
      </c>
      <c r="K4876" s="5">
        <v>15698.764831033119</v>
      </c>
      <c r="L4876" s="5">
        <v>16017.890956041876</v>
      </c>
      <c r="M4876" s="5">
        <v>20041.623430301417</v>
      </c>
      <c r="N4876" s="5">
        <v>51261.622558090799</v>
      </c>
      <c r="O4876" s="5">
        <v>10270.120415297655</v>
      </c>
      <c r="P4876" s="5">
        <v>21039.927746191301</v>
      </c>
      <c r="Q4876" s="5">
        <v>92068.726035424203</v>
      </c>
      <c r="R4876" s="5">
        <v>41056.152565483346</v>
      </c>
    </row>
    <row r="4877" spans="9:18">
      <c r="I4877" s="4">
        <v>4862</v>
      </c>
      <c r="J4877" s="5">
        <v>31053.540961463306</v>
      </c>
      <c r="K4877" s="5">
        <v>15391.837334808681</v>
      </c>
      <c r="L4877" s="5">
        <v>15922.087958863045</v>
      </c>
      <c r="M4877" s="5">
        <v>19795.661011456152</v>
      </c>
      <c r="N4877" s="5">
        <v>21617.945168312468</v>
      </c>
      <c r="O4877" s="5">
        <v>13840.304699955392</v>
      </c>
      <c r="P4877" s="5">
        <v>29283.825979394511</v>
      </c>
      <c r="Q4877" s="5">
        <v>8880.8074399558282</v>
      </c>
      <c r="R4877" s="5">
        <v>8046.7106309763258</v>
      </c>
    </row>
    <row r="4878" spans="9:18">
      <c r="I4878" s="4">
        <v>4863</v>
      </c>
      <c r="J4878" s="5">
        <v>20002.201347927807</v>
      </c>
      <c r="K4878" s="5">
        <v>16873.752266014431</v>
      </c>
      <c r="L4878" s="5">
        <v>23760.785349782636</v>
      </c>
      <c r="M4878" s="5">
        <v>12426.949970383979</v>
      </c>
      <c r="N4878" s="5">
        <v>25549.748582175915</v>
      </c>
      <c r="O4878" s="5">
        <v>5444.7598502623823</v>
      </c>
      <c r="P4878" s="5">
        <v>17996.895987204196</v>
      </c>
      <c r="Q4878" s="5">
        <v>59964.86015574776</v>
      </c>
      <c r="R4878" s="5">
        <v>51141.799458534304</v>
      </c>
    </row>
    <row r="4879" spans="9:18">
      <c r="I4879" s="4">
        <v>4864</v>
      </c>
      <c r="J4879" s="5">
        <v>16733.020222212988</v>
      </c>
      <c r="K4879" s="5">
        <v>26110.948843472826</v>
      </c>
      <c r="L4879" s="5">
        <v>17920.486090689363</v>
      </c>
      <c r="M4879" s="5">
        <v>10142.860128720422</v>
      </c>
      <c r="N4879" s="5">
        <v>20718.434293991453</v>
      </c>
      <c r="O4879" s="5">
        <v>11282.178219986479</v>
      </c>
      <c r="P4879" s="5">
        <v>10733.318076105543</v>
      </c>
      <c r="Q4879" s="5">
        <v>17153.530968450712</v>
      </c>
      <c r="R4879" s="5">
        <v>30571.564004538617</v>
      </c>
    </row>
    <row r="4880" spans="9:18">
      <c r="I4880" s="4">
        <v>4865</v>
      </c>
      <c r="J4880" s="5">
        <v>15554.996700302558</v>
      </c>
      <c r="K4880" s="5">
        <v>32294.121255311245</v>
      </c>
      <c r="L4880" s="5">
        <v>13867.07093008449</v>
      </c>
      <c r="M4880" s="5">
        <v>14432.283063351901</v>
      </c>
      <c r="N4880" s="5">
        <v>26565.664379767408</v>
      </c>
      <c r="O4880" s="5">
        <v>13966.178986479143</v>
      </c>
      <c r="P4880" s="5">
        <v>22601.57564624758</v>
      </c>
      <c r="Q4880" s="5">
        <v>3909.239690544402</v>
      </c>
      <c r="R4880" s="5">
        <v>39263.770877572199</v>
      </c>
    </row>
    <row r="4881" spans="9:18">
      <c r="I4881" s="4">
        <v>4866</v>
      </c>
      <c r="J4881" s="5">
        <v>21717.214093683677</v>
      </c>
      <c r="K4881" s="5">
        <v>14854.898507619706</v>
      </c>
      <c r="L4881" s="5">
        <v>16071.260291253868</v>
      </c>
      <c r="M4881" s="5">
        <v>23908.621352410395</v>
      </c>
      <c r="N4881" s="5">
        <v>27833.630848857778</v>
      </c>
      <c r="O4881" s="5">
        <v>67717.30633712461</v>
      </c>
      <c r="P4881" s="5">
        <v>26126.807131356076</v>
      </c>
      <c r="Q4881" s="5">
        <v>42044.890065817184</v>
      </c>
      <c r="R4881" s="5">
        <v>50287.76786557267</v>
      </c>
    </row>
    <row r="4882" spans="9:18">
      <c r="I4882" s="4">
        <v>4867</v>
      </c>
      <c r="J4882" s="5">
        <v>13841.207384998772</v>
      </c>
      <c r="K4882" s="5">
        <v>14136.873097602549</v>
      </c>
      <c r="L4882" s="5">
        <v>21428.663623484812</v>
      </c>
      <c r="M4882" s="5">
        <v>13414.385151739983</v>
      </c>
      <c r="N4882" s="5">
        <v>22010.718648995869</v>
      </c>
      <c r="O4882" s="5">
        <v>19492.655596593511</v>
      </c>
      <c r="P4882" s="5">
        <v>5735.6883097179207</v>
      </c>
      <c r="Q4882" s="5">
        <v>9652.8114206999071</v>
      </c>
      <c r="R4882" s="5">
        <v>17304.847214362417</v>
      </c>
    </row>
    <row r="4883" spans="9:18">
      <c r="I4883" s="4">
        <v>4868</v>
      </c>
      <c r="J4883" s="5">
        <v>13663.281817546009</v>
      </c>
      <c r="K4883" s="5">
        <v>11149.572204897504</v>
      </c>
      <c r="L4883" s="5">
        <v>15664.99858445921</v>
      </c>
      <c r="M4883" s="5">
        <v>16842.379179328669</v>
      </c>
      <c r="N4883" s="5">
        <v>11952.903761138405</v>
      </c>
      <c r="O4883" s="5">
        <v>53504.725169095313</v>
      </c>
      <c r="P4883" s="5">
        <v>27708.613526855763</v>
      </c>
      <c r="Q4883" s="5">
        <v>4924.9171270300558</v>
      </c>
      <c r="R4883" s="5">
        <v>27349.63499959607</v>
      </c>
    </row>
    <row r="4884" spans="9:18">
      <c r="I4884" s="4">
        <v>4869</v>
      </c>
      <c r="J4884" s="5">
        <v>19467.17453557903</v>
      </c>
      <c r="K4884" s="5">
        <v>13331.01856102917</v>
      </c>
      <c r="L4884" s="5">
        <v>15225.811035017256</v>
      </c>
      <c r="M4884" s="5">
        <v>16001.653036457456</v>
      </c>
      <c r="N4884" s="5">
        <v>20583.564383988036</v>
      </c>
      <c r="O4884" s="5">
        <v>49114.195066822271</v>
      </c>
      <c r="P4884" s="5">
        <v>55152.110177667731</v>
      </c>
      <c r="Q4884" s="5">
        <v>37802.358878968138</v>
      </c>
      <c r="R4884" s="5">
        <v>24831.679362998926</v>
      </c>
    </row>
    <row r="4885" spans="9:18">
      <c r="I4885" s="4">
        <v>4870</v>
      </c>
      <c r="J4885" s="5">
        <v>14420.293087375476</v>
      </c>
      <c r="K4885" s="5">
        <v>16273.14570113692</v>
      </c>
      <c r="L4885" s="5">
        <v>19224.583269019437</v>
      </c>
      <c r="M4885" s="5">
        <v>23449.501569180404</v>
      </c>
      <c r="N4885" s="5">
        <v>9563.1256545330361</v>
      </c>
      <c r="O4885" s="5">
        <v>67717.30633712461</v>
      </c>
      <c r="P4885" s="5">
        <v>77603.711720266961</v>
      </c>
      <c r="Q4885" s="5">
        <v>7457.1844090365566</v>
      </c>
      <c r="R4885" s="5">
        <v>6681.1887184356683</v>
      </c>
    </row>
    <row r="4886" spans="9:18">
      <c r="I4886" s="4">
        <v>4871</v>
      </c>
      <c r="J4886" s="5">
        <v>20002.201347927807</v>
      </c>
      <c r="K4886" s="5">
        <v>13288.692555879701</v>
      </c>
      <c r="L4886" s="5">
        <v>17128.574519497746</v>
      </c>
      <c r="M4886" s="5">
        <v>33862.836621974391</v>
      </c>
      <c r="N4886" s="5">
        <v>41563.89847100406</v>
      </c>
      <c r="O4886" s="5">
        <v>94068.324736096256</v>
      </c>
      <c r="P4886" s="5">
        <v>10966.822219855034</v>
      </c>
      <c r="Q4886" s="5">
        <v>48756.323642664109</v>
      </c>
      <c r="R4886" s="5">
        <v>2071.5141323269809</v>
      </c>
    </row>
    <row r="4887" spans="9:18">
      <c r="I4887" s="4">
        <v>4872</v>
      </c>
      <c r="J4887" s="5">
        <v>12056.41843703942</v>
      </c>
      <c r="K4887" s="5">
        <v>29672.680843304515</v>
      </c>
      <c r="L4887" s="5">
        <v>19224.583269019437</v>
      </c>
      <c r="M4887" s="5">
        <v>23449.501569180404</v>
      </c>
      <c r="N4887" s="5">
        <v>63974.903847153939</v>
      </c>
      <c r="O4887" s="5">
        <v>10270.120415297655</v>
      </c>
      <c r="P4887" s="5">
        <v>20391.123772341358</v>
      </c>
      <c r="Q4887" s="5">
        <v>31974.553851773013</v>
      </c>
      <c r="R4887" s="5">
        <v>14079.827908007112</v>
      </c>
    </row>
    <row r="4888" spans="9:18">
      <c r="I4888" s="4">
        <v>4873</v>
      </c>
      <c r="J4888" s="5">
        <v>11843.28062342474</v>
      </c>
      <c r="K4888" s="5">
        <v>34058.671324159091</v>
      </c>
      <c r="L4888" s="5">
        <v>25389.332759288587</v>
      </c>
      <c r="M4888" s="5">
        <v>37411.178129764201</v>
      </c>
      <c r="N4888" s="5">
        <v>24314.043643333731</v>
      </c>
      <c r="O4888" s="5">
        <v>16462.170789592048</v>
      </c>
      <c r="P4888" s="5">
        <v>33500.490132682797</v>
      </c>
      <c r="Q4888" s="5">
        <v>56069.347629295014</v>
      </c>
      <c r="R4888" s="5">
        <v>24831.679362998926</v>
      </c>
    </row>
    <row r="4889" spans="9:18">
      <c r="I4889" s="4">
        <v>4874</v>
      </c>
      <c r="J4889" s="5">
        <v>14960.076233580705</v>
      </c>
      <c r="K4889" s="5">
        <v>14351.415257675473</v>
      </c>
      <c r="L4889" s="5">
        <v>14175.160754078657</v>
      </c>
      <c r="M4889" s="5">
        <v>13065.820809359835</v>
      </c>
      <c r="N4889" s="5">
        <v>63974.903847153939</v>
      </c>
      <c r="O4889" s="5">
        <v>16524.769946939996</v>
      </c>
      <c r="P4889" s="5">
        <v>55119.366528283317</v>
      </c>
      <c r="Q4889" s="5">
        <v>48866.209623168346</v>
      </c>
      <c r="R4889" s="5">
        <v>122304.95880137496</v>
      </c>
    </row>
    <row r="4890" spans="9:18">
      <c r="I4890" s="4">
        <v>4875</v>
      </c>
      <c r="J4890" s="5">
        <v>15130.594750069789</v>
      </c>
      <c r="K4890" s="5">
        <v>11403.533194020869</v>
      </c>
      <c r="L4890" s="5">
        <v>16106.634875163341</v>
      </c>
      <c r="M4890" s="5">
        <v>19042.78605337895</v>
      </c>
      <c r="N4890" s="5">
        <v>24020.875410266352</v>
      </c>
      <c r="O4890" s="5">
        <v>35865.625349531729</v>
      </c>
      <c r="P4890" s="5">
        <v>10532.667493814919</v>
      </c>
      <c r="Q4890" s="5">
        <v>48866.209623168346</v>
      </c>
      <c r="R4890" s="5">
        <v>23583.884732956092</v>
      </c>
    </row>
    <row r="4891" spans="9:18">
      <c r="I4891" s="4">
        <v>4876</v>
      </c>
      <c r="J4891" s="5">
        <v>15417.870921574262</v>
      </c>
      <c r="K4891" s="5">
        <v>15391.837334808681</v>
      </c>
      <c r="L4891" s="5">
        <v>16472.138192556791</v>
      </c>
      <c r="M4891" s="5">
        <v>12934.591863415189</v>
      </c>
      <c r="N4891" s="5">
        <v>11952.903761138405</v>
      </c>
      <c r="O4891" s="5">
        <v>53028.643350899503</v>
      </c>
      <c r="P4891" s="5">
        <v>83536.241167211992</v>
      </c>
      <c r="Q4891" s="5">
        <v>44911.749632594299</v>
      </c>
      <c r="R4891" s="5">
        <v>7394.6358885760465</v>
      </c>
    </row>
    <row r="4892" spans="9:18">
      <c r="I4892" s="4">
        <v>4877</v>
      </c>
      <c r="J4892" s="5">
        <v>14671.176405938595</v>
      </c>
      <c r="K4892" s="5">
        <v>16605.655749562578</v>
      </c>
      <c r="L4892" s="5">
        <v>17683.765335572589</v>
      </c>
      <c r="M4892" s="5">
        <v>16842.379179328669</v>
      </c>
      <c r="N4892" s="5">
        <v>24020.875410266352</v>
      </c>
      <c r="O4892" s="5">
        <v>40581.847217937895</v>
      </c>
      <c r="P4892" s="5">
        <v>17737.38315098183</v>
      </c>
      <c r="Q4892" s="5">
        <v>28776.080424849053</v>
      </c>
      <c r="R4892" s="5">
        <v>12194.45251033065</v>
      </c>
    </row>
    <row r="4893" spans="9:18">
      <c r="I4893" s="4">
        <v>4878</v>
      </c>
      <c r="J4893" s="5">
        <v>19121.054099180623</v>
      </c>
      <c r="K4893" s="5">
        <v>11558.357574452555</v>
      </c>
      <c r="L4893" s="5">
        <v>22162.138529251199</v>
      </c>
      <c r="M4893" s="5">
        <v>11529.920007560097</v>
      </c>
      <c r="N4893" s="5">
        <v>63974.903847153939</v>
      </c>
      <c r="O4893" s="5">
        <v>5909.5347260996277</v>
      </c>
      <c r="P4893" s="5">
        <v>8069.5385577067918</v>
      </c>
      <c r="Q4893" s="5">
        <v>54060.5331097772</v>
      </c>
      <c r="R4893" s="5">
        <v>35232.418639121184</v>
      </c>
    </row>
    <row r="4894" spans="9:18">
      <c r="I4894" s="4">
        <v>4879</v>
      </c>
      <c r="J4894" s="5">
        <v>16305.770155972396</v>
      </c>
      <c r="K4894" s="5">
        <v>10931.803935361211</v>
      </c>
      <c r="L4894" s="5">
        <v>19189.275558866306</v>
      </c>
      <c r="M4894" s="5">
        <v>19151.339770278159</v>
      </c>
      <c r="N4894" s="5">
        <v>28426.778914975595</v>
      </c>
      <c r="O4894" s="5">
        <v>14371.728352806511</v>
      </c>
      <c r="P4894" s="5">
        <v>16650.229067545235</v>
      </c>
      <c r="Q4894" s="5">
        <v>79566.621912742485</v>
      </c>
      <c r="R4894" s="5">
        <v>216919.53009911609</v>
      </c>
    </row>
    <row r="4895" spans="9:18">
      <c r="I4895" s="4">
        <v>4880</v>
      </c>
      <c r="J4895" s="5">
        <v>17679.321624063952</v>
      </c>
      <c r="K4895" s="5">
        <v>16273.14570113692</v>
      </c>
      <c r="L4895" s="5">
        <v>16955.349467865559</v>
      </c>
      <c r="M4895" s="5">
        <v>19151.339770278159</v>
      </c>
      <c r="N4895" s="5">
        <v>20718.434293991453</v>
      </c>
      <c r="O4895" s="5">
        <v>15124.35050053727</v>
      </c>
      <c r="P4895" s="5">
        <v>32155.527541400057</v>
      </c>
      <c r="Q4895" s="5">
        <v>18097.768262249352</v>
      </c>
      <c r="R4895" s="5">
        <v>123773.40402252052</v>
      </c>
    </row>
    <row r="4896" spans="9:18">
      <c r="I4896" s="4">
        <v>4881</v>
      </c>
      <c r="J4896" s="5">
        <v>13841.207384998772</v>
      </c>
      <c r="K4896" s="5">
        <v>31910.762633549082</v>
      </c>
      <c r="L4896" s="5">
        <v>16017.890956041876</v>
      </c>
      <c r="M4896" s="5">
        <v>31460.745851561904</v>
      </c>
      <c r="N4896" s="5">
        <v>9209.4418830788036</v>
      </c>
      <c r="O4896" s="5">
        <v>5444.7598502623823</v>
      </c>
      <c r="P4896" s="5">
        <v>33500.490132682797</v>
      </c>
      <c r="Q4896" s="5">
        <v>96632.959478514502</v>
      </c>
      <c r="R4896" s="5">
        <v>7394.6358885760465</v>
      </c>
    </row>
    <row r="4897" spans="9:18">
      <c r="I4897" s="4">
        <v>4882</v>
      </c>
      <c r="J4897" s="5">
        <v>18650.249281571734</v>
      </c>
      <c r="K4897" s="5">
        <v>34164.842952759042</v>
      </c>
      <c r="L4897" s="5">
        <v>24256.352541181568</v>
      </c>
      <c r="M4897" s="5">
        <v>9623.0342442006167</v>
      </c>
      <c r="N4897" s="5">
        <v>24314.043643333731</v>
      </c>
      <c r="O4897" s="5">
        <v>24422.445067017139</v>
      </c>
      <c r="P4897" s="5">
        <v>21813.848941464526</v>
      </c>
      <c r="Q4897" s="5">
        <v>8832.660767995616</v>
      </c>
      <c r="R4897" s="5">
        <v>14079.827908007112</v>
      </c>
    </row>
    <row r="4898" spans="9:18">
      <c r="I4898" s="4">
        <v>4883</v>
      </c>
      <c r="J4898" s="5">
        <v>18650.249281571734</v>
      </c>
      <c r="K4898" s="5">
        <v>9739.7813029644258</v>
      </c>
      <c r="L4898" s="5">
        <v>14264.23790876064</v>
      </c>
      <c r="M4898" s="5">
        <v>17116.951435661951</v>
      </c>
      <c r="N4898" s="5">
        <v>46248.895746171031</v>
      </c>
      <c r="O4898" s="5">
        <v>33720.545907536376</v>
      </c>
      <c r="P4898" s="5">
        <v>14316.965520592317</v>
      </c>
      <c r="Q4898" s="5">
        <v>59134.059519022907</v>
      </c>
      <c r="R4898" s="5">
        <v>41418.225609677866</v>
      </c>
    </row>
    <row r="4899" spans="9:18">
      <c r="I4899" s="4">
        <v>4884</v>
      </c>
      <c r="J4899" s="5">
        <v>13391.049101507895</v>
      </c>
      <c r="K4899" s="5">
        <v>18218.584572172625</v>
      </c>
      <c r="L4899" s="5">
        <v>17693.864646288712</v>
      </c>
      <c r="M4899" s="5">
        <v>23449.501569180404</v>
      </c>
      <c r="N4899" s="5">
        <v>19125.360074567652</v>
      </c>
      <c r="O4899" s="5">
        <v>27195.510785031525</v>
      </c>
      <c r="P4899" s="5">
        <v>34814.458119125498</v>
      </c>
      <c r="Q4899" s="5">
        <v>3272.4685014937832</v>
      </c>
      <c r="R4899" s="5">
        <v>7879.038918914337</v>
      </c>
    </row>
    <row r="4900" spans="9:18">
      <c r="I4900" s="4">
        <v>4885</v>
      </c>
      <c r="J4900" s="5">
        <v>12056.41843703942</v>
      </c>
      <c r="K4900" s="5">
        <v>13719.930466819731</v>
      </c>
      <c r="L4900" s="5">
        <v>16577.562442697115</v>
      </c>
      <c r="M4900" s="5">
        <v>19890.009981657669</v>
      </c>
      <c r="N4900" s="5">
        <v>57711.498171893618</v>
      </c>
      <c r="O4900" s="5">
        <v>6199.3195463515376</v>
      </c>
      <c r="P4900" s="5">
        <v>9826.8369575407578</v>
      </c>
      <c r="Q4900" s="5">
        <v>17153.530968450712</v>
      </c>
      <c r="R4900" s="5">
        <v>20303.08745527079</v>
      </c>
    </row>
    <row r="4901" spans="9:18">
      <c r="I4901" s="4">
        <v>4886</v>
      </c>
      <c r="J4901" s="5">
        <v>8580.4413740966302</v>
      </c>
      <c r="K4901" s="5">
        <v>35705.595198125673</v>
      </c>
      <c r="L4901" s="5">
        <v>34748.877779456467</v>
      </c>
      <c r="M4901" s="5">
        <v>31460.745851561904</v>
      </c>
      <c r="N4901" s="5">
        <v>20718.434293991453</v>
      </c>
      <c r="O4901" s="5">
        <v>10676.618215263648</v>
      </c>
      <c r="P4901" s="5">
        <v>33500.490132682797</v>
      </c>
      <c r="Q4901" s="5">
        <v>15623.622662102793</v>
      </c>
      <c r="R4901" s="5">
        <v>76851.431017396084</v>
      </c>
    </row>
    <row r="4902" spans="9:18">
      <c r="I4902" s="4">
        <v>4887</v>
      </c>
      <c r="J4902" s="5">
        <v>16145.071869702888</v>
      </c>
      <c r="K4902" s="5">
        <v>16674.541027260992</v>
      </c>
      <c r="L4902" s="5">
        <v>17716.90539191998</v>
      </c>
      <c r="M4902" s="5">
        <v>26477.996319655329</v>
      </c>
      <c r="N4902" s="5">
        <v>17811.114014514766</v>
      </c>
      <c r="O4902" s="5">
        <v>12110.196126281628</v>
      </c>
      <c r="P4902" s="5">
        <v>5836.7810663002319</v>
      </c>
      <c r="Q4902" s="5">
        <v>37802.358878968138</v>
      </c>
      <c r="R4902" s="5">
        <v>51141.799458534304</v>
      </c>
    </row>
    <row r="4903" spans="9:18">
      <c r="I4903" s="4">
        <v>4888</v>
      </c>
      <c r="J4903" s="5">
        <v>15417.870921574262</v>
      </c>
      <c r="K4903" s="5">
        <v>61827.107730316675</v>
      </c>
      <c r="L4903" s="5">
        <v>16071.478531535273</v>
      </c>
      <c r="M4903" s="5">
        <v>20185.026038758231</v>
      </c>
      <c r="N4903" s="5">
        <v>32184.535272543482</v>
      </c>
      <c r="O4903" s="5">
        <v>10270.120415297655</v>
      </c>
      <c r="P4903" s="5">
        <v>8662.4232458952465</v>
      </c>
      <c r="Q4903" s="5">
        <v>7349.2234634219121</v>
      </c>
      <c r="R4903" s="5">
        <v>5865.9802599669383</v>
      </c>
    </row>
    <row r="4904" spans="9:18">
      <c r="I4904" s="4">
        <v>4889</v>
      </c>
      <c r="J4904" s="5">
        <v>15648.665245032147</v>
      </c>
      <c r="K4904" s="5">
        <v>8223.1266007477425</v>
      </c>
      <c r="L4904" s="5">
        <v>16577.562442697115</v>
      </c>
      <c r="M4904" s="5">
        <v>41403.687663920646</v>
      </c>
      <c r="N4904" s="5">
        <v>26565.664379767408</v>
      </c>
      <c r="O4904" s="5">
        <v>6199.3195463515376</v>
      </c>
      <c r="P4904" s="5">
        <v>63015.124693769802</v>
      </c>
      <c r="Q4904" s="5">
        <v>43417.41805414496</v>
      </c>
      <c r="R4904" s="5">
        <v>14051.647494499957</v>
      </c>
    </row>
    <row r="4905" spans="9:18">
      <c r="I4905" s="4">
        <v>4890</v>
      </c>
      <c r="J4905" s="5">
        <v>12056.41843703942</v>
      </c>
      <c r="K4905" s="5">
        <v>16132.555399908759</v>
      </c>
      <c r="L4905" s="5">
        <v>14175.160754078657</v>
      </c>
      <c r="M4905" s="5">
        <v>20185.026038758231</v>
      </c>
      <c r="N4905" s="5">
        <v>22511.351424689696</v>
      </c>
      <c r="O4905" s="5">
        <v>21930.527973988665</v>
      </c>
      <c r="P4905" s="5">
        <v>14327.191387816954</v>
      </c>
      <c r="Q4905" s="5">
        <v>59134.059519022907</v>
      </c>
      <c r="R4905" s="5">
        <v>51141.799458534304</v>
      </c>
    </row>
    <row r="4906" spans="9:18">
      <c r="I4906" s="4">
        <v>4891</v>
      </c>
      <c r="J4906" s="5">
        <v>21888.821432026474</v>
      </c>
      <c r="K4906" s="5">
        <v>7753.2116148734594</v>
      </c>
      <c r="L4906" s="5">
        <v>13023.361770761438</v>
      </c>
      <c r="M4906" s="5">
        <v>24981.974172352908</v>
      </c>
      <c r="N4906" s="5">
        <v>19225.139878706803</v>
      </c>
      <c r="O4906" s="5">
        <v>27503.656957929088</v>
      </c>
      <c r="P4906" s="5">
        <v>13452.921824087563</v>
      </c>
      <c r="Q4906" s="5">
        <v>27789.973552634947</v>
      </c>
      <c r="R4906" s="5">
        <v>86510.608303273053</v>
      </c>
    </row>
    <row r="4907" spans="9:18">
      <c r="I4907" s="4">
        <v>4892</v>
      </c>
      <c r="J4907" s="5">
        <v>15081.728672246438</v>
      </c>
      <c r="K4907" s="5">
        <v>11149.572204897504</v>
      </c>
      <c r="L4907" s="5">
        <v>22412.045018675239</v>
      </c>
      <c r="M4907" s="5">
        <v>29058.117767351498</v>
      </c>
      <c r="N4907" s="5">
        <v>29468.83360104046</v>
      </c>
      <c r="O4907" s="5">
        <v>8121.6248378263163</v>
      </c>
      <c r="P4907" s="5">
        <v>10966.822219855034</v>
      </c>
      <c r="Q4907" s="5">
        <v>47365.380972950254</v>
      </c>
      <c r="R4907" s="5">
        <v>20303.08745527079</v>
      </c>
    </row>
    <row r="4908" spans="9:18">
      <c r="I4908" s="4">
        <v>4893</v>
      </c>
      <c r="J4908" s="5">
        <v>28169.050633834027</v>
      </c>
      <c r="K4908" s="5">
        <v>24728.095385476983</v>
      </c>
      <c r="L4908" s="5">
        <v>16293.265064857471</v>
      </c>
      <c r="M4908" s="5">
        <v>32751.734100446065</v>
      </c>
      <c r="N4908" s="5">
        <v>11635.644856128632</v>
      </c>
      <c r="O4908" s="5">
        <v>31172.963108652857</v>
      </c>
      <c r="P4908" s="5">
        <v>36724.352187786957</v>
      </c>
      <c r="Q4908" s="5">
        <v>8474.2603471579441</v>
      </c>
      <c r="R4908" s="5">
        <v>18349.337771428582</v>
      </c>
    </row>
    <row r="4909" spans="9:18">
      <c r="I4909" s="4">
        <v>4894</v>
      </c>
      <c r="J4909" s="5">
        <v>14076.209333698853</v>
      </c>
      <c r="K4909" s="5">
        <v>11206.053243692098</v>
      </c>
      <c r="L4909" s="5">
        <v>16014.071850041886</v>
      </c>
      <c r="M4909" s="5">
        <v>11529.920007560097</v>
      </c>
      <c r="N4909" s="5">
        <v>15804.474686449519</v>
      </c>
      <c r="O4909" s="5">
        <v>66253.993323243907</v>
      </c>
      <c r="P4909" s="5">
        <v>20391.123772341358</v>
      </c>
      <c r="Q4909" s="5">
        <v>59964.86015574776</v>
      </c>
      <c r="R4909" s="5">
        <v>16039.216896723072</v>
      </c>
    </row>
    <row r="4910" spans="9:18">
      <c r="I4910" s="4">
        <v>4895</v>
      </c>
      <c r="J4910" s="5">
        <v>13391.049101507895</v>
      </c>
      <c r="K4910" s="5">
        <v>16674.541027260992</v>
      </c>
      <c r="L4910" s="5">
        <v>18810.091753970282</v>
      </c>
      <c r="M4910" s="5">
        <v>14660.631931099009</v>
      </c>
      <c r="N4910" s="5">
        <v>15804.474686449519</v>
      </c>
      <c r="O4910" s="5">
        <v>19492.655596593511</v>
      </c>
      <c r="P4910" s="5">
        <v>9047.5556949992188</v>
      </c>
      <c r="Q4910" s="5">
        <v>47365.380972950254</v>
      </c>
      <c r="R4910" s="5">
        <v>62674.060343500474</v>
      </c>
    </row>
    <row r="4911" spans="9:18">
      <c r="I4911" s="4">
        <v>4896</v>
      </c>
      <c r="J4911" s="5">
        <v>11843.28062342474</v>
      </c>
      <c r="K4911" s="5">
        <v>21218.439146892688</v>
      </c>
      <c r="L4911" s="5">
        <v>23561.450544884348</v>
      </c>
      <c r="M4911" s="5">
        <v>31472.019071027709</v>
      </c>
      <c r="N4911" s="5">
        <v>14921.795973817481</v>
      </c>
      <c r="O4911" s="5">
        <v>13519.384207850644</v>
      </c>
      <c r="P4911" s="5">
        <v>21813.848941464526</v>
      </c>
      <c r="Q4911" s="5">
        <v>48866.209623168346</v>
      </c>
      <c r="R4911" s="5">
        <v>18720.450716365784</v>
      </c>
    </row>
    <row r="4912" spans="9:18">
      <c r="I4912" s="4">
        <v>4897</v>
      </c>
      <c r="J4912" s="5">
        <v>16710.807721801892</v>
      </c>
      <c r="K4912" s="5">
        <v>21958.925144875713</v>
      </c>
      <c r="L4912" s="5">
        <v>14815.394001212817</v>
      </c>
      <c r="M4912" s="5">
        <v>7334.8610818348589</v>
      </c>
      <c r="N4912" s="5">
        <v>39672.376281023731</v>
      </c>
      <c r="O4912" s="5">
        <v>27084.483614751469</v>
      </c>
      <c r="P4912" s="5">
        <v>27373.102585108634</v>
      </c>
      <c r="Q4912" s="5">
        <v>48866.209623168346</v>
      </c>
      <c r="R4912" s="5">
        <v>35232.418639121184</v>
      </c>
    </row>
    <row r="4913" spans="9:18">
      <c r="I4913" s="4">
        <v>4898</v>
      </c>
      <c r="J4913" s="5">
        <v>15064.079707240266</v>
      </c>
      <c r="K4913" s="5">
        <v>24728.095385476983</v>
      </c>
      <c r="L4913" s="5">
        <v>14316.474075738101</v>
      </c>
      <c r="M4913" s="5">
        <v>13414.385151739983</v>
      </c>
      <c r="N4913" s="5">
        <v>19125.360074567652</v>
      </c>
      <c r="O4913" s="5">
        <v>27195.510785031525</v>
      </c>
      <c r="P4913" s="5">
        <v>36724.352187786957</v>
      </c>
      <c r="Q4913" s="5">
        <v>59134.059519022907</v>
      </c>
      <c r="R4913" s="5">
        <v>46004.399892616471</v>
      </c>
    </row>
    <row r="4914" spans="9:18">
      <c r="I4914" s="4">
        <v>4899</v>
      </c>
      <c r="J4914" s="5">
        <v>16416.142496463777</v>
      </c>
      <c r="K4914" s="5">
        <v>15782.544184844044</v>
      </c>
      <c r="L4914" s="5">
        <v>15746.942257105531</v>
      </c>
      <c r="M4914" s="5">
        <v>14660.631931099009</v>
      </c>
      <c r="N4914" s="5">
        <v>11251.634703629026</v>
      </c>
      <c r="O4914" s="5">
        <v>31172.963108652857</v>
      </c>
      <c r="P4914" s="5">
        <v>9965.8330787532959</v>
      </c>
      <c r="Q4914" s="5">
        <v>59134.059519022907</v>
      </c>
      <c r="R4914" s="5">
        <v>91403.228438796665</v>
      </c>
    </row>
    <row r="4915" spans="9:18">
      <c r="I4915" s="4">
        <v>4900</v>
      </c>
      <c r="J4915" s="5">
        <v>16305.770155972396</v>
      </c>
      <c r="K4915" s="5">
        <v>15129.619337591721</v>
      </c>
      <c r="L4915" s="5">
        <v>15359.132481533357</v>
      </c>
      <c r="M4915" s="5">
        <v>20229.919588372999</v>
      </c>
      <c r="N4915" s="5">
        <v>27833.630848857778</v>
      </c>
      <c r="O4915" s="5">
        <v>13117.417685535194</v>
      </c>
      <c r="P4915" s="5">
        <v>3831.1492650071077</v>
      </c>
      <c r="Q4915" s="5">
        <v>52421.574537857021</v>
      </c>
      <c r="R4915" s="5">
        <v>14079.827908007112</v>
      </c>
    </row>
    <row r="4916" spans="9:18">
      <c r="I4916" s="4">
        <v>4901</v>
      </c>
      <c r="J4916" s="5">
        <v>14017.326487344162</v>
      </c>
      <c r="K4916" s="5">
        <v>30552.499930043898</v>
      </c>
      <c r="L4916" s="5">
        <v>22319.409576580376</v>
      </c>
      <c r="M4916" s="5">
        <v>18043.539897080744</v>
      </c>
      <c r="N4916" s="5">
        <v>11751.639947035985</v>
      </c>
      <c r="O4916" s="5">
        <v>30656.031716467984</v>
      </c>
      <c r="P4916" s="5">
        <v>21933.779100635442</v>
      </c>
      <c r="Q4916" s="5">
        <v>73941.636731325911</v>
      </c>
      <c r="R4916" s="5">
        <v>96845.299789249824</v>
      </c>
    </row>
    <row r="4917" spans="9:18">
      <c r="I4917" s="4">
        <v>4902</v>
      </c>
      <c r="J4917" s="5">
        <v>16166.107684907736</v>
      </c>
      <c r="K4917" s="5">
        <v>95171.967522309933</v>
      </c>
      <c r="L4917" s="5">
        <v>15060.431658965737</v>
      </c>
      <c r="M4917" s="5">
        <v>36301.422888051464</v>
      </c>
      <c r="N4917" s="5">
        <v>59876.136849941562</v>
      </c>
      <c r="O4917" s="5">
        <v>16505.600261180331</v>
      </c>
      <c r="P4917" s="5">
        <v>28537.545734403488</v>
      </c>
      <c r="Q4917" s="5">
        <v>3909.239690544402</v>
      </c>
      <c r="R4917" s="5">
        <v>3989.7956692889929</v>
      </c>
    </row>
    <row r="4918" spans="9:18">
      <c r="I4918" s="4">
        <v>4903</v>
      </c>
      <c r="J4918" s="5">
        <v>12701.339251949787</v>
      </c>
      <c r="K4918" s="5">
        <v>11149.572204897504</v>
      </c>
      <c r="L4918" s="5">
        <v>16293.265064857471</v>
      </c>
      <c r="M4918" s="5">
        <v>23908.621352410395</v>
      </c>
      <c r="N4918" s="5">
        <v>11751.639947035985</v>
      </c>
      <c r="O4918" s="5">
        <v>67717.30633712461</v>
      </c>
      <c r="P4918" s="5">
        <v>95486.196907583406</v>
      </c>
      <c r="Q4918" s="5">
        <v>56069.347629295014</v>
      </c>
      <c r="R4918" s="5">
        <v>81423.874800517297</v>
      </c>
    </row>
    <row r="4919" spans="9:18">
      <c r="I4919" s="4">
        <v>4904</v>
      </c>
      <c r="J4919" s="5">
        <v>16788.081681455456</v>
      </c>
      <c r="K4919" s="5">
        <v>16273.14570113692</v>
      </c>
      <c r="L4919" s="5">
        <v>16071.478531535273</v>
      </c>
      <c r="M4919" s="5">
        <v>11529.920007560097</v>
      </c>
      <c r="N4919" s="5">
        <v>23283.854578052265</v>
      </c>
      <c r="O4919" s="5">
        <v>35286.662852302201</v>
      </c>
      <c r="P4919" s="5">
        <v>12790.85158217316</v>
      </c>
      <c r="Q4919" s="5">
        <v>22145.301831504508</v>
      </c>
      <c r="R4919" s="5">
        <v>24831.679362998926</v>
      </c>
    </row>
    <row r="4920" spans="9:18">
      <c r="I4920" s="4">
        <v>4905</v>
      </c>
      <c r="J4920" s="5">
        <v>45301.532027110363</v>
      </c>
      <c r="K4920" s="5">
        <v>23543.914024953676</v>
      </c>
      <c r="L4920" s="5">
        <v>19224.583269019437</v>
      </c>
      <c r="M4920" s="5">
        <v>29041.83725675238</v>
      </c>
      <c r="N4920" s="5">
        <v>45581.602064432409</v>
      </c>
      <c r="O4920" s="5">
        <v>13117.417685535194</v>
      </c>
      <c r="P4920" s="5">
        <v>34814.458119125498</v>
      </c>
      <c r="Q4920" s="5">
        <v>37101.531383212743</v>
      </c>
      <c r="R4920" s="5">
        <v>302760.11878714536</v>
      </c>
    </row>
    <row r="4921" spans="9:18">
      <c r="I4921" s="4">
        <v>4906</v>
      </c>
      <c r="J4921" s="5">
        <v>15081.728672246438</v>
      </c>
      <c r="K4921" s="5">
        <v>12423.491400404893</v>
      </c>
      <c r="L4921" s="5">
        <v>14042.41908879921</v>
      </c>
      <c r="M4921" s="5">
        <v>15346.383801976139</v>
      </c>
      <c r="N4921" s="5">
        <v>15251.140047572881</v>
      </c>
      <c r="O4921" s="5">
        <v>41800.463215706819</v>
      </c>
      <c r="P4921" s="5">
        <v>17643.087208586294</v>
      </c>
      <c r="Q4921" s="5">
        <v>30495.121067047665</v>
      </c>
      <c r="R4921" s="5">
        <v>54594.567438884274</v>
      </c>
    </row>
    <row r="4922" spans="9:18">
      <c r="I4922" s="4">
        <v>4907</v>
      </c>
      <c r="J4922" s="5">
        <v>16710.807721801892</v>
      </c>
      <c r="K4922" s="5">
        <v>23327.217259521742</v>
      </c>
      <c r="L4922" s="5">
        <v>15487.970507365942</v>
      </c>
      <c r="M4922" s="5">
        <v>12987.517521908694</v>
      </c>
      <c r="N4922" s="5">
        <v>25424.029865101274</v>
      </c>
      <c r="O4922" s="5">
        <v>15936.062371781712</v>
      </c>
      <c r="P4922" s="5">
        <v>54292.749740228588</v>
      </c>
      <c r="Q4922" s="5">
        <v>27789.973552634947</v>
      </c>
      <c r="R4922" s="5">
        <v>3311.4906988006405</v>
      </c>
    </row>
    <row r="4923" spans="9:18">
      <c r="I4923" s="4">
        <v>4908</v>
      </c>
      <c r="J4923" s="5">
        <v>15623.733864199699</v>
      </c>
      <c r="K4923" s="5">
        <v>15051.330276415061</v>
      </c>
      <c r="L4923" s="5">
        <v>16106.634875163341</v>
      </c>
      <c r="M4923" s="5">
        <v>19151.339770278159</v>
      </c>
      <c r="N4923" s="5">
        <v>18410.937863650517</v>
      </c>
      <c r="O4923" s="5">
        <v>16505.600261180331</v>
      </c>
      <c r="P4923" s="5">
        <v>39054.462981000084</v>
      </c>
      <c r="Q4923" s="5">
        <v>8502.450657922871</v>
      </c>
      <c r="R4923" s="5">
        <v>46004.399892616471</v>
      </c>
    </row>
    <row r="4924" spans="9:18">
      <c r="I4924" s="4">
        <v>4909</v>
      </c>
      <c r="J4924" s="5">
        <v>15081.728672246438</v>
      </c>
      <c r="K4924" s="5">
        <v>16873.752266014431</v>
      </c>
      <c r="L4924" s="5">
        <v>17311.244744664215</v>
      </c>
      <c r="M4924" s="5">
        <v>14432.283063351901</v>
      </c>
      <c r="N4924" s="5">
        <v>27833.630848857778</v>
      </c>
      <c r="O4924" s="5">
        <v>62082.6862081785</v>
      </c>
      <c r="P4924" s="5">
        <v>8069.5385577067918</v>
      </c>
      <c r="Q4924" s="5">
        <v>11928.872068442162</v>
      </c>
      <c r="R4924" s="5">
        <v>2180.6148629084787</v>
      </c>
    </row>
    <row r="4925" spans="9:18">
      <c r="I4925" s="4">
        <v>4910</v>
      </c>
      <c r="J4925" s="5">
        <v>15873.12561080002</v>
      </c>
      <c r="K4925" s="5">
        <v>17128.860847126922</v>
      </c>
      <c r="L4925" s="5">
        <v>14691.846656953887</v>
      </c>
      <c r="M4925" s="5">
        <v>23449.501569180404</v>
      </c>
      <c r="N4925" s="5">
        <v>41563.89847100406</v>
      </c>
      <c r="O4925" s="5">
        <v>16524.769946939996</v>
      </c>
      <c r="P4925" s="5">
        <v>95486.196907583406</v>
      </c>
      <c r="Q4925" s="5">
        <v>12451.066014448154</v>
      </c>
      <c r="R4925" s="5">
        <v>6681.1887184356683</v>
      </c>
    </row>
    <row r="4926" spans="9:18">
      <c r="I4926" s="4">
        <v>4911</v>
      </c>
      <c r="J4926" s="5">
        <v>28214.771032351968</v>
      </c>
      <c r="K4926" s="5">
        <v>16605.655749562578</v>
      </c>
      <c r="L4926" s="5">
        <v>14691.846656953887</v>
      </c>
      <c r="M4926" s="5">
        <v>21913.431401527439</v>
      </c>
      <c r="N4926" s="5">
        <v>39406.658185292261</v>
      </c>
      <c r="O4926" s="5">
        <v>42492.261063288854</v>
      </c>
      <c r="P4926" s="5">
        <v>32167.874670939738</v>
      </c>
      <c r="Q4926" s="5">
        <v>37101.531383212743</v>
      </c>
      <c r="R4926" s="5">
        <v>14706.681111065362</v>
      </c>
    </row>
    <row r="4927" spans="9:18">
      <c r="I4927" s="4">
        <v>4912</v>
      </c>
      <c r="J4927" s="5">
        <v>31053.540961463306</v>
      </c>
      <c r="K4927" s="5">
        <v>14351.415257675473</v>
      </c>
      <c r="L4927" s="5">
        <v>17683.765335572589</v>
      </c>
      <c r="M4927" s="5">
        <v>13022.686998540772</v>
      </c>
      <c r="N4927" s="5">
        <v>37309.151967087455</v>
      </c>
      <c r="O4927" s="5">
        <v>5444.7598502623823</v>
      </c>
      <c r="P4927" s="5">
        <v>54292.749740228588</v>
      </c>
      <c r="Q4927" s="5">
        <v>13099.063525342741</v>
      </c>
      <c r="R4927" s="5">
        <v>33863.04333215439</v>
      </c>
    </row>
    <row r="4928" spans="9:18">
      <c r="I4928" s="4">
        <v>4913</v>
      </c>
      <c r="J4928" s="5">
        <v>18650.249281571734</v>
      </c>
      <c r="K4928" s="5">
        <v>15428.770955406064</v>
      </c>
      <c r="L4928" s="5">
        <v>18634.523182776735</v>
      </c>
      <c r="M4928" s="5">
        <v>23913.435663027711</v>
      </c>
      <c r="N4928" s="5">
        <v>32184.535272543482</v>
      </c>
      <c r="O4928" s="5">
        <v>13550.031670770122</v>
      </c>
      <c r="P4928" s="5">
        <v>14773.185437294762</v>
      </c>
      <c r="Q4928" s="5">
        <v>7457.1844090365566</v>
      </c>
      <c r="R4928" s="5">
        <v>8130.5639219412278</v>
      </c>
    </row>
    <row r="4929" spans="9:18">
      <c r="I4929" s="4">
        <v>4914</v>
      </c>
      <c r="J4929" s="5">
        <v>16459.003095225507</v>
      </c>
      <c r="K4929" s="5">
        <v>12777.667398488715</v>
      </c>
      <c r="L4929" s="5">
        <v>27144.958215276103</v>
      </c>
      <c r="M4929" s="5">
        <v>10142.860128720422</v>
      </c>
      <c r="N4929" s="5">
        <v>9563.1256545330361</v>
      </c>
      <c r="O4929" s="5">
        <v>26268.613803794757</v>
      </c>
      <c r="P4929" s="5">
        <v>8662.4232458952465</v>
      </c>
      <c r="Q4929" s="5">
        <v>22895.455950885695</v>
      </c>
      <c r="R4929" s="5">
        <v>50287.76786557267</v>
      </c>
    </row>
    <row r="4930" spans="9:18">
      <c r="I4930" s="4">
        <v>4915</v>
      </c>
      <c r="J4930" s="5">
        <v>16788.081681455456</v>
      </c>
      <c r="K4930" s="5">
        <v>43843.85059185313</v>
      </c>
      <c r="L4930" s="5">
        <v>14649.721476864312</v>
      </c>
      <c r="M4930" s="5">
        <v>31460.745851561904</v>
      </c>
      <c r="N4930" s="5">
        <v>40377.252444397986</v>
      </c>
      <c r="O4930" s="5">
        <v>12110.196126281628</v>
      </c>
      <c r="P4930" s="5">
        <v>95486.196907583406</v>
      </c>
      <c r="Q4930" s="5">
        <v>37277.391668005912</v>
      </c>
      <c r="R4930" s="5">
        <v>51141.799458534304</v>
      </c>
    </row>
    <row r="4931" spans="9:18">
      <c r="I4931" s="4">
        <v>4916</v>
      </c>
      <c r="J4931" s="5">
        <v>17005.744061105343</v>
      </c>
      <c r="K4931" s="5">
        <v>22732.797143159998</v>
      </c>
      <c r="L4931" s="5">
        <v>17128.574519497746</v>
      </c>
      <c r="M4931" s="5">
        <v>13065.820809359835</v>
      </c>
      <c r="N4931" s="5">
        <v>20558.672182394013</v>
      </c>
      <c r="O4931" s="5">
        <v>62082.6862081785</v>
      </c>
      <c r="P4931" s="5">
        <v>14773.185437294762</v>
      </c>
      <c r="Q4931" s="5">
        <v>37802.358878968138</v>
      </c>
      <c r="R4931" s="5">
        <v>89167.415757270224</v>
      </c>
    </row>
    <row r="4932" spans="9:18">
      <c r="I4932" s="4">
        <v>4917</v>
      </c>
      <c r="J4932" s="5">
        <v>16088.430030489333</v>
      </c>
      <c r="K4932" s="5">
        <v>21958.925144875713</v>
      </c>
      <c r="L4932" s="5">
        <v>22162.138529251199</v>
      </c>
      <c r="M4932" s="5">
        <v>29041.83725675238</v>
      </c>
      <c r="N4932" s="5">
        <v>11751.639947035985</v>
      </c>
      <c r="O4932" s="5">
        <v>41653.890350944224</v>
      </c>
      <c r="P4932" s="5">
        <v>20403.656304140692</v>
      </c>
      <c r="Q4932" s="5">
        <v>30266.563414010914</v>
      </c>
      <c r="R4932" s="5">
        <v>5865.9802599669383</v>
      </c>
    </row>
    <row r="4933" spans="9:18">
      <c r="I4933" s="4">
        <v>4918</v>
      </c>
      <c r="J4933" s="5">
        <v>22812.564910649318</v>
      </c>
      <c r="K4933" s="5">
        <v>20887.307279900142</v>
      </c>
      <c r="L4933" s="5">
        <v>18215.751370765771</v>
      </c>
      <c r="M4933" s="5">
        <v>18043.539897080744</v>
      </c>
      <c r="N4933" s="5">
        <v>17891.96347244953</v>
      </c>
      <c r="O4933" s="5">
        <v>40304.23053285561</v>
      </c>
      <c r="P4933" s="5">
        <v>106091.28270624072</v>
      </c>
      <c r="Q4933" s="5">
        <v>37802.358878968138</v>
      </c>
      <c r="R4933" s="5">
        <v>51358.6267760993</v>
      </c>
    </row>
    <row r="4934" spans="9:18">
      <c r="I4934" s="4">
        <v>4919</v>
      </c>
      <c r="J4934" s="5">
        <v>9405.362381917912</v>
      </c>
      <c r="K4934" s="5">
        <v>17495.743706488822</v>
      </c>
      <c r="L4934" s="5">
        <v>15664.99858445921</v>
      </c>
      <c r="M4934" s="5">
        <v>19097.39635881727</v>
      </c>
      <c r="N4934" s="5">
        <v>41563.89847100406</v>
      </c>
      <c r="O4934" s="5">
        <v>8121.6248378263163</v>
      </c>
      <c r="P4934" s="5">
        <v>41657.50350099193</v>
      </c>
      <c r="Q4934" s="5">
        <v>54060.5331097772</v>
      </c>
      <c r="R4934" s="5">
        <v>261393.32711858812</v>
      </c>
    </row>
    <row r="4935" spans="9:18">
      <c r="I4935" s="4">
        <v>4920</v>
      </c>
      <c r="J4935" s="5">
        <v>16788.081681455456</v>
      </c>
      <c r="K4935" s="5">
        <v>14095.75230105142</v>
      </c>
      <c r="L4935" s="5">
        <v>17578.712723867691</v>
      </c>
      <c r="M4935" s="5">
        <v>12934.591863415189</v>
      </c>
      <c r="N4935" s="5">
        <v>23043.345403059295</v>
      </c>
      <c r="O4935" s="5">
        <v>5909.5347260996277</v>
      </c>
      <c r="P4935" s="5">
        <v>14316.965520592317</v>
      </c>
      <c r="Q4935" s="5">
        <v>59134.059519022907</v>
      </c>
      <c r="R4935" s="5">
        <v>8130.5639219412278</v>
      </c>
    </row>
    <row r="4936" spans="9:18">
      <c r="I4936" s="4">
        <v>4921</v>
      </c>
      <c r="J4936" s="5">
        <v>12701.339251949787</v>
      </c>
      <c r="K4936" s="5">
        <v>16952.949313901812</v>
      </c>
      <c r="L4936" s="5">
        <v>19078.910217042379</v>
      </c>
      <c r="M4936" s="5">
        <v>23515.935489506261</v>
      </c>
      <c r="N4936" s="5">
        <v>21933.097106966918</v>
      </c>
      <c r="O4936" s="5">
        <v>25644.588869829797</v>
      </c>
      <c r="P4936" s="5">
        <v>14316.965520592317</v>
      </c>
      <c r="Q4936" s="5">
        <v>21421.044775857536</v>
      </c>
      <c r="R4936" s="5">
        <v>20236.767651156802</v>
      </c>
    </row>
    <row r="4937" spans="9:18">
      <c r="I4937" s="4">
        <v>4922</v>
      </c>
      <c r="J4937" s="5">
        <v>9368.8270679249108</v>
      </c>
      <c r="K4937" s="5">
        <v>23934.551191616061</v>
      </c>
      <c r="L4937" s="5">
        <v>17920.486090689363</v>
      </c>
      <c r="M4937" s="5">
        <v>29834.240613550006</v>
      </c>
      <c r="N4937" s="5">
        <v>21933.097106966918</v>
      </c>
      <c r="O4937" s="5">
        <v>15124.35050053727</v>
      </c>
      <c r="P4937" s="5">
        <v>8662.4232458952465</v>
      </c>
      <c r="Q4937" s="5">
        <v>44911.749632594299</v>
      </c>
      <c r="R4937" s="5">
        <v>6681.1887184356683</v>
      </c>
    </row>
    <row r="4938" spans="9:18">
      <c r="I4938" s="4">
        <v>4923</v>
      </c>
      <c r="J4938" s="5">
        <v>19121.054099180623</v>
      </c>
      <c r="K4938" s="5">
        <v>11857.447519815871</v>
      </c>
      <c r="L4938" s="5">
        <v>21428.663623484812</v>
      </c>
      <c r="M4938" s="5">
        <v>31460.745851561904</v>
      </c>
      <c r="N4938" s="5">
        <v>25549.748582175915</v>
      </c>
      <c r="O4938" s="5">
        <v>28431.436490368542</v>
      </c>
      <c r="P4938" s="5">
        <v>33500.490132682797</v>
      </c>
      <c r="Q4938" s="5">
        <v>18097.768262249352</v>
      </c>
      <c r="R4938" s="5">
        <v>8720.6503563381029</v>
      </c>
    </row>
    <row r="4939" spans="9:18">
      <c r="I4939" s="4">
        <v>4924</v>
      </c>
      <c r="J4939" s="5">
        <v>14344.692898101612</v>
      </c>
      <c r="K4939" s="5">
        <v>14095.75230105142</v>
      </c>
      <c r="L4939" s="5">
        <v>20698.842353987733</v>
      </c>
      <c r="M4939" s="5">
        <v>12619.198742021435</v>
      </c>
      <c r="N4939" s="5">
        <v>20718.434293991453</v>
      </c>
      <c r="O4939" s="5">
        <v>94068.324736096256</v>
      </c>
      <c r="P4939" s="5">
        <v>17974.179326980211</v>
      </c>
      <c r="Q4939" s="5">
        <v>31902.904306425251</v>
      </c>
      <c r="R4939" s="5">
        <v>90296.353221228885</v>
      </c>
    </row>
    <row r="4940" spans="9:18">
      <c r="I4940" s="4">
        <v>4925</v>
      </c>
      <c r="J4940" s="5">
        <v>13918.242013140338</v>
      </c>
      <c r="K4940" s="5">
        <v>13652.224205833634</v>
      </c>
      <c r="L4940" s="5">
        <v>15651.346103181355</v>
      </c>
      <c r="M4940" s="5">
        <v>13139.022167648376</v>
      </c>
      <c r="N4940" s="5">
        <v>11952.903761138405</v>
      </c>
      <c r="O4940" s="5">
        <v>19492.655596593511</v>
      </c>
      <c r="P4940" s="5">
        <v>12992.105410393709</v>
      </c>
      <c r="Q4940" s="5">
        <v>8474.2603471579441</v>
      </c>
      <c r="R4940" s="5">
        <v>38898.713625068609</v>
      </c>
    </row>
    <row r="4941" spans="9:18">
      <c r="I4941" s="4">
        <v>4926</v>
      </c>
      <c r="J4941" s="5">
        <v>13447.638004246244</v>
      </c>
      <c r="K4941" s="5">
        <v>11403.533194020869</v>
      </c>
      <c r="L4941" s="5">
        <v>15746.942257105531</v>
      </c>
      <c r="M4941" s="5">
        <v>13616.35938654862</v>
      </c>
      <c r="N4941" s="5">
        <v>23746.795665493762</v>
      </c>
      <c r="O4941" s="5">
        <v>27068.054847826614</v>
      </c>
      <c r="P4941" s="5">
        <v>38771.994792132391</v>
      </c>
      <c r="Q4941" s="5">
        <v>92068.726035424203</v>
      </c>
      <c r="R4941" s="5">
        <v>2071.5141323269809</v>
      </c>
    </row>
    <row r="4942" spans="9:18">
      <c r="I4942" s="4">
        <v>4927</v>
      </c>
      <c r="J4942" s="5">
        <v>20768.286261788198</v>
      </c>
      <c r="K4942" s="5">
        <v>17495.743706488822</v>
      </c>
      <c r="L4942" s="5">
        <v>13867.07093008449</v>
      </c>
      <c r="M4942" s="5">
        <v>31472.019071027709</v>
      </c>
      <c r="N4942" s="5">
        <v>28426.778914975595</v>
      </c>
      <c r="O4942" s="5">
        <v>8024.6340027919978</v>
      </c>
      <c r="P4942" s="5">
        <v>27708.613526855763</v>
      </c>
      <c r="Q4942" s="5">
        <v>48756.323642664109</v>
      </c>
      <c r="R4942" s="5">
        <v>81423.874800517297</v>
      </c>
    </row>
    <row r="4943" spans="9:18">
      <c r="I4943" s="4">
        <v>4928</v>
      </c>
      <c r="J4943" s="5">
        <v>49463.324094345015</v>
      </c>
      <c r="K4943" s="5">
        <v>15051.330276415061</v>
      </c>
      <c r="L4943" s="5">
        <v>13417.453622029931</v>
      </c>
      <c r="M4943" s="5">
        <v>22326.253555179093</v>
      </c>
      <c r="N4943" s="5">
        <v>13745.376566850549</v>
      </c>
      <c r="O4943" s="5">
        <v>27508.313315384185</v>
      </c>
      <c r="P4943" s="5">
        <v>27820.721938889761</v>
      </c>
      <c r="Q4943" s="5">
        <v>35525.432376048877</v>
      </c>
      <c r="R4943" s="5">
        <v>41056.152565483346</v>
      </c>
    </row>
    <row r="4944" spans="9:18">
      <c r="I4944" s="4">
        <v>4929</v>
      </c>
      <c r="J4944" s="5">
        <v>15873.12561080002</v>
      </c>
      <c r="K4944" s="5">
        <v>14497.035717129334</v>
      </c>
      <c r="L4944" s="5">
        <v>29265.217478369766</v>
      </c>
      <c r="M4944" s="5">
        <v>11860.862376247747</v>
      </c>
      <c r="N4944" s="5">
        <v>57711.498171893618</v>
      </c>
      <c r="O4944" s="5">
        <v>27062.73412298776</v>
      </c>
      <c r="P4944" s="5">
        <v>36724.352187786957</v>
      </c>
      <c r="Q4944" s="5">
        <v>116445.46783345108</v>
      </c>
      <c r="R4944" s="5">
        <v>65420.116221752483</v>
      </c>
    </row>
    <row r="4945" spans="9:18">
      <c r="I4945" s="4">
        <v>4930</v>
      </c>
      <c r="J4945" s="5">
        <v>16145.071869702888</v>
      </c>
      <c r="K4945" s="5">
        <v>8124.7965732661823</v>
      </c>
      <c r="L4945" s="5">
        <v>19078.910217042379</v>
      </c>
      <c r="M4945" s="5">
        <v>20229.919588372999</v>
      </c>
      <c r="N4945" s="5">
        <v>11684.605182472778</v>
      </c>
      <c r="O4945" s="5">
        <v>13519.384207850644</v>
      </c>
      <c r="P4945" s="5">
        <v>55119.366528283317</v>
      </c>
      <c r="Q4945" s="5">
        <v>59964.86015574776</v>
      </c>
      <c r="R4945" s="5">
        <v>72561.496699005787</v>
      </c>
    </row>
    <row r="4946" spans="9:18">
      <c r="I4946" s="4">
        <v>4931</v>
      </c>
      <c r="J4946" s="5">
        <v>14671.176405938595</v>
      </c>
      <c r="K4946" s="5">
        <v>6949.5708823216592</v>
      </c>
      <c r="L4946" s="5">
        <v>18634.523182776735</v>
      </c>
      <c r="M4946" s="5">
        <v>20185.026038758231</v>
      </c>
      <c r="N4946" s="5">
        <v>34295.124147811541</v>
      </c>
      <c r="O4946" s="5">
        <v>5909.5347260996277</v>
      </c>
      <c r="P4946" s="5">
        <v>44816.412248582856</v>
      </c>
      <c r="Q4946" s="5">
        <v>44911.749632594299</v>
      </c>
      <c r="R4946" s="5">
        <v>29295.938844292672</v>
      </c>
    </row>
    <row r="4947" spans="9:18">
      <c r="I4947" s="4">
        <v>4932</v>
      </c>
      <c r="J4947" s="5">
        <v>21888.821432026474</v>
      </c>
      <c r="K4947" s="5">
        <v>13652.224205833634</v>
      </c>
      <c r="L4947" s="5">
        <v>17716.90539191998</v>
      </c>
      <c r="M4947" s="5">
        <v>18043.539897080744</v>
      </c>
      <c r="N4947" s="5">
        <v>51261.622558090799</v>
      </c>
      <c r="O4947" s="5">
        <v>35865.625349531729</v>
      </c>
      <c r="P4947" s="5">
        <v>83536.241167211992</v>
      </c>
      <c r="Q4947" s="5">
        <v>9796.0979856104404</v>
      </c>
      <c r="R4947" s="5">
        <v>14079.827908007112</v>
      </c>
    </row>
    <row r="4948" spans="9:18">
      <c r="I4948" s="4">
        <v>4933</v>
      </c>
      <c r="J4948" s="5">
        <v>13663.281817546009</v>
      </c>
      <c r="K4948" s="5">
        <v>53937.689698015136</v>
      </c>
      <c r="L4948" s="5">
        <v>14344.859750762502</v>
      </c>
      <c r="M4948" s="5">
        <v>33862.836621974391</v>
      </c>
      <c r="N4948" s="5">
        <v>41563.89847100406</v>
      </c>
      <c r="O4948" s="5">
        <v>20721.57544042755</v>
      </c>
      <c r="P4948" s="5">
        <v>38024.168395914428</v>
      </c>
      <c r="Q4948" s="5">
        <v>2356.8990887111336</v>
      </c>
      <c r="R4948" s="5">
        <v>38898.713625068609</v>
      </c>
    </row>
    <row r="4949" spans="9:18">
      <c r="I4949" s="4">
        <v>4934</v>
      </c>
      <c r="J4949" s="5">
        <v>26634.853073396614</v>
      </c>
      <c r="K4949" s="5">
        <v>13520.836427679104</v>
      </c>
      <c r="L4949" s="5">
        <v>19078.910217042379</v>
      </c>
      <c r="M4949" s="5">
        <v>23454.775510296178</v>
      </c>
      <c r="N4949" s="5">
        <v>9209.4418830788036</v>
      </c>
      <c r="O4949" s="5">
        <v>27062.73412298776</v>
      </c>
      <c r="P4949" s="5">
        <v>21813.848941464526</v>
      </c>
      <c r="Q4949" s="5">
        <v>31855.809428519857</v>
      </c>
      <c r="R4949" s="5">
        <v>38898.713625068609</v>
      </c>
    </row>
    <row r="4950" spans="9:18">
      <c r="I4950" s="4">
        <v>4935</v>
      </c>
      <c r="J4950" s="5">
        <v>22370.105711697011</v>
      </c>
      <c r="K4950" s="5">
        <v>15347.101709242541</v>
      </c>
      <c r="L4950" s="5">
        <v>18379.634651549037</v>
      </c>
      <c r="M4950" s="5">
        <v>24981.974172352908</v>
      </c>
      <c r="N4950" s="5">
        <v>26565.664379767408</v>
      </c>
      <c r="O4950" s="5">
        <v>30876.675913171162</v>
      </c>
      <c r="P4950" s="5">
        <v>77603.711720266961</v>
      </c>
      <c r="Q4950" s="5">
        <v>64585.328088516922</v>
      </c>
      <c r="R4950" s="5">
        <v>29295.938844292672</v>
      </c>
    </row>
    <row r="4951" spans="9:18">
      <c r="I4951" s="4">
        <v>4936</v>
      </c>
      <c r="J4951" s="5">
        <v>21888.821432026474</v>
      </c>
      <c r="K4951" s="5">
        <v>7753.2116148734594</v>
      </c>
      <c r="L4951" s="5">
        <v>15300.182042823812</v>
      </c>
      <c r="M4951" s="5">
        <v>20550.782384061673</v>
      </c>
      <c r="N4951" s="5">
        <v>20292.069765667391</v>
      </c>
      <c r="O4951" s="5">
        <v>53028.643350899503</v>
      </c>
      <c r="P4951" s="5">
        <v>27820.721938889761</v>
      </c>
      <c r="Q4951" s="5">
        <v>9796.0979856104404</v>
      </c>
      <c r="R4951" s="5">
        <v>14051.647494499957</v>
      </c>
    </row>
    <row r="4952" spans="9:18">
      <c r="I4952" s="4">
        <v>4937</v>
      </c>
      <c r="J4952" s="5">
        <v>15417.870921574262</v>
      </c>
      <c r="K4952" s="5">
        <v>23934.551191616061</v>
      </c>
      <c r="L4952" s="5">
        <v>15664.99858445921</v>
      </c>
      <c r="M4952" s="5">
        <v>14432.283063351901</v>
      </c>
      <c r="N4952" s="5">
        <v>23998.040874392525</v>
      </c>
      <c r="O4952" s="5">
        <v>42492.261063288854</v>
      </c>
      <c r="P4952" s="5">
        <v>33500.490132682797</v>
      </c>
      <c r="Q4952" s="5">
        <v>28567.61306643406</v>
      </c>
      <c r="R4952" s="5">
        <v>7784.2246210242874</v>
      </c>
    </row>
    <row r="4953" spans="9:18">
      <c r="I4953" s="4">
        <v>4938</v>
      </c>
      <c r="J4953" s="5">
        <v>16016.491239086423</v>
      </c>
      <c r="K4953" s="5">
        <v>17003.901855709089</v>
      </c>
      <c r="L4953" s="5">
        <v>17128.574519497746</v>
      </c>
      <c r="M4953" s="5">
        <v>16500.222621933419</v>
      </c>
      <c r="N4953" s="5">
        <v>9563.1256545330361</v>
      </c>
      <c r="O4953" s="5">
        <v>14371.728352806511</v>
      </c>
      <c r="P4953" s="5">
        <v>38024.168395914428</v>
      </c>
      <c r="Q4953" s="5">
        <v>35525.432376048877</v>
      </c>
      <c r="R4953" s="5">
        <v>14079.827908007112</v>
      </c>
    </row>
    <row r="4954" spans="9:18">
      <c r="I4954" s="4">
        <v>4939</v>
      </c>
      <c r="J4954" s="5">
        <v>22370.105711697011</v>
      </c>
      <c r="K4954" s="5">
        <v>14021.934268028277</v>
      </c>
      <c r="L4954" s="5">
        <v>20698.842353987733</v>
      </c>
      <c r="M4954" s="5">
        <v>32497.510405113037</v>
      </c>
      <c r="N4954" s="5">
        <v>27833.630848857778</v>
      </c>
      <c r="O4954" s="5">
        <v>20721.57544042755</v>
      </c>
      <c r="P4954" s="5">
        <v>9965.8330787532959</v>
      </c>
      <c r="Q4954" s="5">
        <v>29432.473148002948</v>
      </c>
      <c r="R4954" s="5">
        <v>76851.431017396084</v>
      </c>
    </row>
    <row r="4955" spans="9:18">
      <c r="I4955" s="4">
        <v>4940</v>
      </c>
      <c r="J4955" s="5">
        <v>13447.638004246244</v>
      </c>
      <c r="K4955" s="5">
        <v>34058.671324159091</v>
      </c>
      <c r="L4955" s="5">
        <v>16451.333928028147</v>
      </c>
      <c r="M4955" s="5">
        <v>23908.621352410395</v>
      </c>
      <c r="N4955" s="5">
        <v>36962.805083900916</v>
      </c>
      <c r="O4955" s="5">
        <v>35286.662852302201</v>
      </c>
      <c r="P4955" s="5">
        <v>8662.4232458952465</v>
      </c>
      <c r="Q4955" s="5">
        <v>15623.622662102793</v>
      </c>
      <c r="R4955" s="5">
        <v>6360.7905155660001</v>
      </c>
    </row>
    <row r="4956" spans="9:18">
      <c r="I4956" s="4">
        <v>4941</v>
      </c>
      <c r="J4956" s="5">
        <v>73074.062486361407</v>
      </c>
      <c r="K4956" s="5">
        <v>14095.75230105142</v>
      </c>
      <c r="L4956" s="5">
        <v>15832.5469007027</v>
      </c>
      <c r="M4956" s="5">
        <v>18177.175180585615</v>
      </c>
      <c r="N4956" s="5">
        <v>9209.4418830788036</v>
      </c>
      <c r="O4956" s="5">
        <v>41800.463215706819</v>
      </c>
      <c r="P4956" s="5">
        <v>95486.196907583406</v>
      </c>
      <c r="Q4956" s="5">
        <v>22483.395143121877</v>
      </c>
      <c r="R4956" s="5">
        <v>3989.7956692889929</v>
      </c>
    </row>
    <row r="4957" spans="9:18">
      <c r="I4957" s="4">
        <v>4942</v>
      </c>
      <c r="J4957" s="5">
        <v>16788.081681455456</v>
      </c>
      <c r="K4957" s="5">
        <v>12026.500118162745</v>
      </c>
      <c r="L4957" s="5">
        <v>18810.091753970282</v>
      </c>
      <c r="M4957" s="5">
        <v>31554.722481137964</v>
      </c>
      <c r="N4957" s="5">
        <v>28426.778914975595</v>
      </c>
      <c r="O4957" s="5">
        <v>11282.178219986479</v>
      </c>
      <c r="P4957" s="5">
        <v>24349.301972630979</v>
      </c>
      <c r="Q4957" s="5">
        <v>54060.5331097772</v>
      </c>
      <c r="R4957" s="5">
        <v>30571.564004538617</v>
      </c>
    </row>
    <row r="4958" spans="9:18">
      <c r="I4958" s="4">
        <v>4943</v>
      </c>
      <c r="J4958" s="5">
        <v>14538.277247583976</v>
      </c>
      <c r="K4958" s="5">
        <v>16674.541027260992</v>
      </c>
      <c r="L4958" s="5">
        <v>14146.191653372813</v>
      </c>
      <c r="M4958" s="5">
        <v>29058.117767351498</v>
      </c>
      <c r="N4958" s="5">
        <v>11604.12831603515</v>
      </c>
      <c r="O4958" s="5">
        <v>51330.340277512776</v>
      </c>
      <c r="P4958" s="5">
        <v>17974.179326980211</v>
      </c>
      <c r="Q4958" s="5">
        <v>31974.553851773013</v>
      </c>
      <c r="R4958" s="5">
        <v>40368.364083205248</v>
      </c>
    </row>
    <row r="4959" spans="9:18">
      <c r="I4959" s="4">
        <v>4944</v>
      </c>
      <c r="J4959" s="5">
        <v>13918.242013140338</v>
      </c>
      <c r="K4959" s="5">
        <v>20887.307279900142</v>
      </c>
      <c r="L4959" s="5">
        <v>11827.803406885578</v>
      </c>
      <c r="M4959" s="5">
        <v>18043.539897080744</v>
      </c>
      <c r="N4959" s="5">
        <v>23998.040874392525</v>
      </c>
      <c r="O4959" s="5">
        <v>20930.098352661731</v>
      </c>
      <c r="P4959" s="5">
        <v>23769.190223735484</v>
      </c>
      <c r="Q4959" s="5">
        <v>8474.2603471579441</v>
      </c>
      <c r="R4959" s="5">
        <v>55012.315589742022</v>
      </c>
    </row>
    <row r="4960" spans="9:18">
      <c r="I4960" s="4">
        <v>4945</v>
      </c>
      <c r="J4960" s="5">
        <v>13391.049101507895</v>
      </c>
      <c r="K4960" s="5">
        <v>18821.113178054162</v>
      </c>
      <c r="L4960" s="5">
        <v>15225.811035017256</v>
      </c>
      <c r="M4960" s="5">
        <v>16510.442870615672</v>
      </c>
      <c r="N4960" s="5">
        <v>19225.139878706803</v>
      </c>
      <c r="O4960" s="5">
        <v>26268.613803794757</v>
      </c>
      <c r="P4960" s="5">
        <v>34814.458119125498</v>
      </c>
      <c r="Q4960" s="5">
        <v>43417.41805414496</v>
      </c>
      <c r="R4960" s="5">
        <v>7784.2246210242874</v>
      </c>
    </row>
    <row r="4961" spans="9:18">
      <c r="I4961" s="4">
        <v>4946</v>
      </c>
      <c r="J4961" s="5">
        <v>21717.214093683677</v>
      </c>
      <c r="K4961" s="5">
        <v>13559.080695844099</v>
      </c>
      <c r="L4961" s="5">
        <v>16777.996633299583</v>
      </c>
      <c r="M4961" s="5">
        <v>36301.422888051464</v>
      </c>
      <c r="N4961" s="5">
        <v>23583.581287126868</v>
      </c>
      <c r="O4961" s="5">
        <v>40304.23053285561</v>
      </c>
      <c r="P4961" s="5">
        <v>3930.0915591834291</v>
      </c>
      <c r="Q4961" s="5">
        <v>148345.62878828164</v>
      </c>
      <c r="R4961" s="5">
        <v>12130.167062525341</v>
      </c>
    </row>
    <row r="4962" spans="9:18">
      <c r="I4962" s="4">
        <v>4947</v>
      </c>
      <c r="J4962" s="5">
        <v>28214.771032351968</v>
      </c>
      <c r="K4962" s="5">
        <v>13652.224205833634</v>
      </c>
      <c r="L4962" s="5">
        <v>16106.634875163341</v>
      </c>
      <c r="M4962" s="5">
        <v>15202.972920708273</v>
      </c>
      <c r="N4962" s="5">
        <v>11604.12831603515</v>
      </c>
      <c r="O4962" s="5">
        <v>27084.483614751469</v>
      </c>
      <c r="P4962" s="5">
        <v>3017.2887813579896</v>
      </c>
      <c r="Q4962" s="5">
        <v>30495.121067047665</v>
      </c>
      <c r="R4962" s="5">
        <v>7784.2246210242874</v>
      </c>
    </row>
    <row r="4963" spans="9:18">
      <c r="I4963" s="4">
        <v>4948</v>
      </c>
      <c r="J4963" s="5">
        <v>49463.324094345015</v>
      </c>
      <c r="K4963" s="5">
        <v>6949.5708823216592</v>
      </c>
      <c r="L4963" s="5">
        <v>16014.071850041886</v>
      </c>
      <c r="M4963" s="5">
        <v>7334.8610818348589</v>
      </c>
      <c r="N4963" s="5">
        <v>26152.705108198839</v>
      </c>
      <c r="O4963" s="5">
        <v>10738.305003664611</v>
      </c>
      <c r="P4963" s="5">
        <v>9811.9720599964548</v>
      </c>
      <c r="Q4963" s="5">
        <v>4924.9171270300558</v>
      </c>
      <c r="R4963" s="5">
        <v>7394.6358885760465</v>
      </c>
    </row>
    <row r="4964" spans="9:18">
      <c r="I4964" s="4">
        <v>4949</v>
      </c>
      <c r="J4964" s="5">
        <v>15064.079707240266</v>
      </c>
      <c r="K4964" s="5">
        <v>13719.930466819731</v>
      </c>
      <c r="L4964" s="5">
        <v>16014.071850041886</v>
      </c>
      <c r="M4964" s="5">
        <v>9623.0342442006167</v>
      </c>
      <c r="N4964" s="5">
        <v>23043.345403059295</v>
      </c>
      <c r="O4964" s="5">
        <v>16826.763259351828</v>
      </c>
      <c r="P4964" s="5">
        <v>44816.412248582856</v>
      </c>
      <c r="Q4964" s="5">
        <v>71213.172792303565</v>
      </c>
      <c r="R4964" s="5">
        <v>3311.4906988006405</v>
      </c>
    </row>
    <row r="4965" spans="9:18">
      <c r="I4965" s="4">
        <v>4950</v>
      </c>
      <c r="J4965" s="5">
        <v>13663.281817546009</v>
      </c>
      <c r="K4965" s="5">
        <v>14136.873097602549</v>
      </c>
      <c r="L4965" s="5">
        <v>15923.549351835489</v>
      </c>
      <c r="M4965" s="5">
        <v>14432.283063351901</v>
      </c>
      <c r="N4965" s="5">
        <v>40377.252444397986</v>
      </c>
      <c r="O4965" s="5">
        <v>94068.324736096256</v>
      </c>
      <c r="P4965" s="5">
        <v>66904.018529955298</v>
      </c>
      <c r="Q4965" s="5">
        <v>13099.063525342741</v>
      </c>
      <c r="R4965" s="5">
        <v>55012.315589742022</v>
      </c>
    </row>
    <row r="4966" spans="9:18">
      <c r="I4966" s="4">
        <v>4951</v>
      </c>
      <c r="J4966" s="5">
        <v>14538.277247583976</v>
      </c>
      <c r="K4966" s="5">
        <v>12026.500118162745</v>
      </c>
      <c r="L4966" s="5">
        <v>17128.574519497746</v>
      </c>
      <c r="M4966" s="5">
        <v>41403.687663920646</v>
      </c>
      <c r="N4966" s="5">
        <v>12523.573732460784</v>
      </c>
      <c r="O4966" s="5">
        <v>35865.625349531729</v>
      </c>
      <c r="P4966" s="5">
        <v>14327.191387816954</v>
      </c>
      <c r="Q4966" s="5">
        <v>30266.563414010914</v>
      </c>
      <c r="R4966" s="5">
        <v>46004.399892616471</v>
      </c>
    </row>
    <row r="4967" spans="9:18">
      <c r="I4967" s="4">
        <v>4952</v>
      </c>
      <c r="J4967" s="5">
        <v>14741.240040396578</v>
      </c>
      <c r="K4967" s="5">
        <v>17495.743706488822</v>
      </c>
      <c r="L4967" s="5">
        <v>22018.381599979773</v>
      </c>
      <c r="M4967" s="5">
        <v>37411.178129764201</v>
      </c>
      <c r="N4967" s="5">
        <v>59876.136849941562</v>
      </c>
      <c r="O4967" s="5">
        <v>15936.062371781712</v>
      </c>
      <c r="P4967" s="5">
        <v>9482.0186426688688</v>
      </c>
      <c r="Q4967" s="5">
        <v>53055.59182561023</v>
      </c>
      <c r="R4967" s="5">
        <v>7784.2246210242874</v>
      </c>
    </row>
    <row r="4968" spans="9:18">
      <c r="I4968" s="4">
        <v>4953</v>
      </c>
      <c r="J4968" s="5">
        <v>15554.996700302558</v>
      </c>
      <c r="K4968" s="5">
        <v>13520.836427679104</v>
      </c>
      <c r="L4968" s="5">
        <v>15161.007794371622</v>
      </c>
      <c r="M4968" s="5">
        <v>12934.591863415189</v>
      </c>
      <c r="N4968" s="5">
        <v>27841.916587595573</v>
      </c>
      <c r="O4968" s="5">
        <v>30656.031716467984</v>
      </c>
      <c r="P4968" s="5">
        <v>55152.110177667731</v>
      </c>
      <c r="Q4968" s="5">
        <v>6386.5227360487288</v>
      </c>
      <c r="R4968" s="5">
        <v>24831.679362998926</v>
      </c>
    </row>
    <row r="4969" spans="9:18">
      <c r="I4969" s="4">
        <v>4954</v>
      </c>
      <c r="J4969" s="5">
        <v>22812.564910649318</v>
      </c>
      <c r="K4969" s="5">
        <v>16605.655749562578</v>
      </c>
      <c r="L4969" s="5">
        <v>17716.90539191998</v>
      </c>
      <c r="M4969" s="5">
        <v>16001.653036457456</v>
      </c>
      <c r="N4969" s="5">
        <v>42744.618431291936</v>
      </c>
      <c r="O4969" s="5">
        <v>26268.613803794757</v>
      </c>
      <c r="P4969" s="5">
        <v>23769.190223735484</v>
      </c>
      <c r="Q4969" s="5">
        <v>59134.059519022907</v>
      </c>
      <c r="R4969" s="5">
        <v>8130.5639219412278</v>
      </c>
    </row>
    <row r="4970" spans="9:18">
      <c r="I4970" s="4">
        <v>4955</v>
      </c>
      <c r="J4970" s="5">
        <v>43272.831879770602</v>
      </c>
      <c r="K4970" s="5">
        <v>15428.770955406064</v>
      </c>
      <c r="L4970" s="5">
        <v>13037.115556745504</v>
      </c>
      <c r="M4970" s="5">
        <v>21833.004790208965</v>
      </c>
      <c r="N4970" s="5">
        <v>4770.4216775830728</v>
      </c>
      <c r="O4970" s="5">
        <v>25802.481365323994</v>
      </c>
      <c r="P4970" s="5">
        <v>27452.975716953504</v>
      </c>
      <c r="Q4970" s="5">
        <v>7349.2234634219121</v>
      </c>
      <c r="R4970" s="5">
        <v>51358.6267760993</v>
      </c>
    </row>
    <row r="4971" spans="9:18">
      <c r="I4971" s="4">
        <v>4956</v>
      </c>
      <c r="J4971" s="5">
        <v>14594.990625703947</v>
      </c>
      <c r="K4971" s="5">
        <v>15782.544184844044</v>
      </c>
      <c r="L4971" s="5">
        <v>18602.881797624486</v>
      </c>
      <c r="M4971" s="5">
        <v>19151.339770278159</v>
      </c>
      <c r="N4971" s="5">
        <v>26115.05281128412</v>
      </c>
      <c r="O4971" s="5">
        <v>5909.5347260996277</v>
      </c>
      <c r="P4971" s="5">
        <v>63015.124693769802</v>
      </c>
      <c r="Q4971" s="5">
        <v>14064.158297039334</v>
      </c>
      <c r="R4971" s="5">
        <v>18720.450716365784</v>
      </c>
    </row>
    <row r="4972" spans="9:18">
      <c r="I4972" s="4">
        <v>4957</v>
      </c>
      <c r="J4972" s="5">
        <v>12888.204629170894</v>
      </c>
      <c r="K4972" s="5">
        <v>16674.541027260992</v>
      </c>
      <c r="L4972" s="5">
        <v>15225.811035017256</v>
      </c>
      <c r="M4972" s="5">
        <v>22326.253555179093</v>
      </c>
      <c r="N4972" s="5">
        <v>11251.634703629026</v>
      </c>
      <c r="O4972" s="5">
        <v>11282.178219986479</v>
      </c>
      <c r="P4972" s="5">
        <v>16072.735485912413</v>
      </c>
      <c r="Q4972" s="5">
        <v>64585.328088516922</v>
      </c>
      <c r="R4972" s="5">
        <v>7879.038918914337</v>
      </c>
    </row>
    <row r="4973" spans="9:18">
      <c r="I4973" s="4">
        <v>4958</v>
      </c>
      <c r="J4973" s="5">
        <v>16016.491239086423</v>
      </c>
      <c r="K4973" s="5">
        <v>14136.873097602549</v>
      </c>
      <c r="L4973" s="5">
        <v>13037.115556745504</v>
      </c>
      <c r="M4973" s="5">
        <v>16881.579299055</v>
      </c>
      <c r="N4973" s="5">
        <v>15804.474686449519</v>
      </c>
      <c r="O4973" s="5">
        <v>26268.613803794757</v>
      </c>
      <c r="P4973" s="5">
        <v>49519.098753410741</v>
      </c>
      <c r="Q4973" s="5">
        <v>22483.395143121877</v>
      </c>
      <c r="R4973" s="5">
        <v>35232.418639121184</v>
      </c>
    </row>
    <row r="4974" spans="9:18">
      <c r="I4974" s="4">
        <v>4959</v>
      </c>
      <c r="J4974" s="5">
        <v>11843.28062342474</v>
      </c>
      <c r="K4974" s="5">
        <v>15631.937142257386</v>
      </c>
      <c r="L4974" s="5">
        <v>16071.260291253868</v>
      </c>
      <c r="M4974" s="5">
        <v>19042.78605337895</v>
      </c>
      <c r="N4974" s="5">
        <v>19225.139878706803</v>
      </c>
      <c r="O4974" s="5">
        <v>77417.02098927302</v>
      </c>
      <c r="P4974" s="5">
        <v>74840.036182179319</v>
      </c>
      <c r="Q4974" s="5">
        <v>8832.660767995616</v>
      </c>
      <c r="R4974" s="5">
        <v>86510.608303273053</v>
      </c>
    </row>
    <row r="4975" spans="9:18">
      <c r="I4975" s="4">
        <v>4960</v>
      </c>
      <c r="J4975" s="5">
        <v>16459.003095225507</v>
      </c>
      <c r="K4975" s="5">
        <v>14878.52734402675</v>
      </c>
      <c r="L4975" s="5">
        <v>25389.332759288587</v>
      </c>
      <c r="M4975" s="5">
        <v>21272.00214469912</v>
      </c>
      <c r="N4975" s="5">
        <v>15804.474686449519</v>
      </c>
      <c r="O4975" s="5">
        <v>41653.890350944224</v>
      </c>
      <c r="P4975" s="5">
        <v>17737.38315098183</v>
      </c>
      <c r="Q4975" s="5">
        <v>13865.641566869812</v>
      </c>
      <c r="R4975" s="5">
        <v>33863.04333215439</v>
      </c>
    </row>
    <row r="4976" spans="9:18">
      <c r="I4976" s="4">
        <v>4961</v>
      </c>
      <c r="J4976" s="5">
        <v>12888.204629170894</v>
      </c>
      <c r="K4976" s="5">
        <v>14497.035717129334</v>
      </c>
      <c r="L4976" s="5">
        <v>17578.712723867691</v>
      </c>
      <c r="M4976" s="5">
        <v>16881.579299055</v>
      </c>
      <c r="N4976" s="5">
        <v>6130.3882288404347</v>
      </c>
      <c r="O4976" s="5">
        <v>30656.031716467984</v>
      </c>
      <c r="P4976" s="5">
        <v>9811.9720599964548</v>
      </c>
      <c r="Q4976" s="5">
        <v>27789.973552634947</v>
      </c>
      <c r="R4976" s="5">
        <v>3311.4906988006405</v>
      </c>
    </row>
    <row r="4977" spans="9:18">
      <c r="I4977" s="4">
        <v>4962</v>
      </c>
      <c r="J4977" s="5">
        <v>13663.281817546009</v>
      </c>
      <c r="K4977" s="5">
        <v>13559.080695844099</v>
      </c>
      <c r="L4977" s="5">
        <v>16472.138192556791</v>
      </c>
      <c r="M4977" s="5">
        <v>17542.15972125496</v>
      </c>
      <c r="N4977" s="5">
        <v>24853.247795632611</v>
      </c>
      <c r="O4977" s="5">
        <v>5444.7598502623823</v>
      </c>
      <c r="P4977" s="5">
        <v>9826.8369575407578</v>
      </c>
      <c r="Q4977" s="5">
        <v>37073.980790337926</v>
      </c>
      <c r="R4977" s="5">
        <v>24722.972470599001</v>
      </c>
    </row>
    <row r="4978" spans="9:18">
      <c r="I4978" s="4">
        <v>4963</v>
      </c>
      <c r="J4978" s="5">
        <v>14420.293087375476</v>
      </c>
      <c r="K4978" s="5">
        <v>14351.415257675473</v>
      </c>
      <c r="L4978" s="5">
        <v>14364.472927446199</v>
      </c>
      <c r="M4978" s="5">
        <v>21833.004790208965</v>
      </c>
      <c r="N4978" s="5">
        <v>37309.151967087455</v>
      </c>
      <c r="O4978" s="5">
        <v>13613.378495715853</v>
      </c>
      <c r="P4978" s="5">
        <v>41657.50350099193</v>
      </c>
      <c r="Q4978" s="5">
        <v>9138.5169630896526</v>
      </c>
      <c r="R4978" s="5">
        <v>14079.827908007112</v>
      </c>
    </row>
    <row r="4979" spans="9:18">
      <c r="I4979" s="4">
        <v>4964</v>
      </c>
      <c r="J4979" s="5">
        <v>11854.381651026555</v>
      </c>
      <c r="K4979" s="5">
        <v>53937.689698015136</v>
      </c>
      <c r="L4979" s="5">
        <v>18602.881797624486</v>
      </c>
      <c r="M4979" s="5">
        <v>15202.972920708273</v>
      </c>
      <c r="N4979" s="5">
        <v>12592.300437162297</v>
      </c>
      <c r="O4979" s="5">
        <v>40942.522561879181</v>
      </c>
      <c r="P4979" s="5">
        <v>5836.7810663002319</v>
      </c>
      <c r="Q4979" s="5">
        <v>31019.493883163672</v>
      </c>
      <c r="R4979" s="5">
        <v>7394.6358885760465</v>
      </c>
    </row>
    <row r="4980" spans="9:18">
      <c r="I4980" s="4">
        <v>4965</v>
      </c>
      <c r="J4980" s="5">
        <v>14594.990625703947</v>
      </c>
      <c r="K4980" s="5">
        <v>14579.232378315752</v>
      </c>
      <c r="L4980" s="5">
        <v>15922.087958863045</v>
      </c>
      <c r="M4980" s="5">
        <v>6367.5407465007311</v>
      </c>
      <c r="N4980" s="5">
        <v>46248.895746171031</v>
      </c>
      <c r="O4980" s="5">
        <v>9956.4031238965053</v>
      </c>
      <c r="P4980" s="5">
        <v>27820.721938889761</v>
      </c>
      <c r="Q4980" s="5">
        <v>4924.9171270300558</v>
      </c>
      <c r="R4980" s="5">
        <v>23583.884732956092</v>
      </c>
    </row>
    <row r="4981" spans="9:18">
      <c r="I4981" s="4">
        <v>4966</v>
      </c>
      <c r="J4981" s="5">
        <v>13841.207384998772</v>
      </c>
      <c r="K4981" s="5">
        <v>12777.667398488715</v>
      </c>
      <c r="L4981" s="5">
        <v>16451.333928028147</v>
      </c>
      <c r="M4981" s="5">
        <v>23454.775510296178</v>
      </c>
      <c r="N4981" s="5">
        <v>21617.945168312468</v>
      </c>
      <c r="O4981" s="5">
        <v>5444.7598502623823</v>
      </c>
      <c r="P4981" s="5">
        <v>27708.613526855763</v>
      </c>
      <c r="Q4981" s="5">
        <v>9652.8114206999071</v>
      </c>
      <c r="R4981" s="5">
        <v>302760.11878714536</v>
      </c>
    </row>
    <row r="4982" spans="9:18">
      <c r="I4982" s="4">
        <v>4967</v>
      </c>
      <c r="J4982" s="5">
        <v>12452.764985867625</v>
      </c>
      <c r="K4982" s="5">
        <v>37822.375317881044</v>
      </c>
      <c r="L4982" s="5">
        <v>23760.785349782636</v>
      </c>
      <c r="M4982" s="5">
        <v>14660.631931099009</v>
      </c>
      <c r="N4982" s="5">
        <v>12523.573732460784</v>
      </c>
      <c r="O4982" s="5">
        <v>53028.643350899503</v>
      </c>
      <c r="P4982" s="5">
        <v>12790.85158217316</v>
      </c>
      <c r="Q4982" s="5">
        <v>27789.973552634947</v>
      </c>
      <c r="R4982" s="5">
        <v>17687.533637716911</v>
      </c>
    </row>
    <row r="4983" spans="9:18">
      <c r="I4983" s="4">
        <v>4968</v>
      </c>
      <c r="J4983" s="5">
        <v>13663.281817546009</v>
      </c>
      <c r="K4983" s="5">
        <v>95171.967522309933</v>
      </c>
      <c r="L4983" s="5">
        <v>21954.536591034263</v>
      </c>
      <c r="M4983" s="5">
        <v>18879.640760542785</v>
      </c>
      <c r="N4983" s="5">
        <v>19225.139878706803</v>
      </c>
      <c r="O4983" s="5">
        <v>27068.054847826614</v>
      </c>
      <c r="P4983" s="5">
        <v>17996.895987204196</v>
      </c>
      <c r="Q4983" s="5">
        <v>68168.482468129529</v>
      </c>
      <c r="R4983" s="5">
        <v>3311.4906988006405</v>
      </c>
    </row>
    <row r="4984" spans="9:18">
      <c r="I4984" s="4">
        <v>4969</v>
      </c>
      <c r="J4984" s="5">
        <v>49463.324094345015</v>
      </c>
      <c r="K4984" s="5">
        <v>16873.752266014431</v>
      </c>
      <c r="L4984" s="5">
        <v>14811.370758813007</v>
      </c>
      <c r="M4984" s="5">
        <v>42282.977640783138</v>
      </c>
      <c r="N4984" s="5">
        <v>23998.040874392525</v>
      </c>
      <c r="O4984" s="5">
        <v>27062.73412298776</v>
      </c>
      <c r="P4984" s="5">
        <v>20403.656304140692</v>
      </c>
      <c r="Q4984" s="5">
        <v>79566.621912742485</v>
      </c>
      <c r="R4984" s="5">
        <v>14706.681111065362</v>
      </c>
    </row>
    <row r="4985" spans="9:18">
      <c r="I4985" s="4">
        <v>4970</v>
      </c>
      <c r="J4985" s="5">
        <v>28590.354879265724</v>
      </c>
      <c r="K4985" s="5">
        <v>16081.362509465702</v>
      </c>
      <c r="L4985" s="5">
        <v>16106.634875163341</v>
      </c>
      <c r="M4985" s="5">
        <v>14217.48832834715</v>
      </c>
      <c r="N4985" s="5">
        <v>12523.573732460784</v>
      </c>
      <c r="O4985" s="5">
        <v>10738.305003664611</v>
      </c>
      <c r="P4985" s="5">
        <v>54100.778483493887</v>
      </c>
      <c r="Q4985" s="5">
        <v>9454.5906023793759</v>
      </c>
      <c r="R4985" s="5">
        <v>7201.7586694681067</v>
      </c>
    </row>
    <row r="4986" spans="9:18">
      <c r="I4986" s="4">
        <v>4971</v>
      </c>
      <c r="J4986" s="5">
        <v>22188.291830993156</v>
      </c>
      <c r="K4986" s="5">
        <v>15487.124352801369</v>
      </c>
      <c r="L4986" s="5">
        <v>13417.453622029931</v>
      </c>
      <c r="M4986" s="5">
        <v>12735.841453044006</v>
      </c>
      <c r="N4986" s="5">
        <v>14335.478134989447</v>
      </c>
      <c r="O4986" s="5">
        <v>11282.178219986479</v>
      </c>
      <c r="P4986" s="5">
        <v>77603.711720266961</v>
      </c>
      <c r="Q4986" s="5">
        <v>12253.299944531094</v>
      </c>
      <c r="R4986" s="5">
        <v>3433.6677391851467</v>
      </c>
    </row>
    <row r="4987" spans="9:18">
      <c r="I4987" s="4">
        <v>4972</v>
      </c>
      <c r="J4987" s="5">
        <v>21888.821432026474</v>
      </c>
      <c r="K4987" s="5">
        <v>23543.914024953676</v>
      </c>
      <c r="L4987" s="5">
        <v>16071.260291253868</v>
      </c>
      <c r="M4987" s="5">
        <v>18691.941789825862</v>
      </c>
      <c r="N4987" s="5">
        <v>13909.728487455486</v>
      </c>
      <c r="O4987" s="5">
        <v>35286.662852302201</v>
      </c>
      <c r="P4987" s="5">
        <v>46514.467673254068</v>
      </c>
      <c r="Q4987" s="5">
        <v>13214.632802255031</v>
      </c>
      <c r="R4987" s="5">
        <v>10885.018205103002</v>
      </c>
    </row>
    <row r="4988" spans="9:18">
      <c r="I4988" s="4">
        <v>4973</v>
      </c>
      <c r="J4988" s="5">
        <v>13918.242013140338</v>
      </c>
      <c r="K4988" s="5">
        <v>21218.439146892688</v>
      </c>
      <c r="L4988" s="5">
        <v>14796.875457021113</v>
      </c>
      <c r="M4988" s="5">
        <v>11860.862376247747</v>
      </c>
      <c r="N4988" s="5">
        <v>27841.916587595573</v>
      </c>
      <c r="O4988" s="5">
        <v>53028.643350899503</v>
      </c>
      <c r="P4988" s="5">
        <v>9811.9720599964548</v>
      </c>
      <c r="Q4988" s="5">
        <v>9454.5906023793759</v>
      </c>
      <c r="R4988" s="5">
        <v>2180.6148629084787</v>
      </c>
    </row>
    <row r="4989" spans="9:18">
      <c r="I4989" s="4">
        <v>4974</v>
      </c>
      <c r="J4989" s="5">
        <v>15064.079707240266</v>
      </c>
      <c r="K4989" s="5">
        <v>14095.75230105142</v>
      </c>
      <c r="L4989" s="5">
        <v>22412.045018675239</v>
      </c>
      <c r="M4989" s="5">
        <v>17542.15972125496</v>
      </c>
      <c r="N4989" s="5">
        <v>57711.498171893618</v>
      </c>
      <c r="O4989" s="5">
        <v>41653.890350944224</v>
      </c>
      <c r="P4989" s="5">
        <v>28537.545734403488</v>
      </c>
      <c r="Q4989" s="5">
        <v>48866.209623168346</v>
      </c>
      <c r="R4989" s="5">
        <v>27349.63499959607</v>
      </c>
    </row>
    <row r="4990" spans="9:18">
      <c r="I4990" s="4">
        <v>4975</v>
      </c>
      <c r="J4990" s="5">
        <v>16511.332839561353</v>
      </c>
      <c r="K4990" s="5">
        <v>14587.813833513306</v>
      </c>
      <c r="L4990" s="5">
        <v>21725.131459372977</v>
      </c>
      <c r="M4990" s="5">
        <v>23449.501569180404</v>
      </c>
      <c r="N4990" s="5">
        <v>9209.4418830788036</v>
      </c>
      <c r="O4990" s="5">
        <v>53028.643350899503</v>
      </c>
      <c r="P4990" s="5">
        <v>8662.4232458952465</v>
      </c>
      <c r="Q4990" s="5">
        <v>37277.391668005912</v>
      </c>
      <c r="R4990" s="5">
        <v>31715.273557891396</v>
      </c>
    </row>
    <row r="4991" spans="9:18">
      <c r="I4991" s="4">
        <v>4976</v>
      </c>
      <c r="J4991" s="5">
        <v>12056.41843703942</v>
      </c>
      <c r="K4991" s="5">
        <v>16273.14570113692</v>
      </c>
      <c r="L4991" s="5">
        <v>21725.131459372977</v>
      </c>
      <c r="M4991" s="5">
        <v>12934.591863415189</v>
      </c>
      <c r="N4991" s="5">
        <v>22868.569282757788</v>
      </c>
      <c r="O4991" s="5">
        <v>40942.522561879181</v>
      </c>
      <c r="P4991" s="5">
        <v>24349.301972630979</v>
      </c>
      <c r="Q4991" s="5">
        <v>3272.4685014937832</v>
      </c>
      <c r="R4991" s="5">
        <v>65420.116221752483</v>
      </c>
    </row>
    <row r="4992" spans="9:18">
      <c r="I4992" s="4">
        <v>4977</v>
      </c>
      <c r="J4992" s="5">
        <v>14960.076233580705</v>
      </c>
      <c r="K4992" s="5">
        <v>18218.584572172625</v>
      </c>
      <c r="L4992" s="5">
        <v>13358.459356674217</v>
      </c>
      <c r="M4992" s="5">
        <v>10111.451009425113</v>
      </c>
      <c r="N4992" s="5">
        <v>21933.097106966918</v>
      </c>
      <c r="O4992" s="5">
        <v>13613.378495715853</v>
      </c>
      <c r="P4992" s="5">
        <v>38024.168395914428</v>
      </c>
      <c r="Q4992" s="5">
        <v>30266.563414010914</v>
      </c>
      <c r="R4992" s="5">
        <v>72561.496699005787</v>
      </c>
    </row>
    <row r="4993" spans="9:18">
      <c r="I4993" s="4">
        <v>4978</v>
      </c>
      <c r="J4993" s="5">
        <v>16016.491239086423</v>
      </c>
      <c r="K4993" s="5">
        <v>16674.541027260992</v>
      </c>
      <c r="L4993" s="5">
        <v>17920.486090689363</v>
      </c>
      <c r="M4993" s="5">
        <v>20041.623430301417</v>
      </c>
      <c r="N4993" s="5">
        <v>6130.3882288404347</v>
      </c>
      <c r="O4993" s="5">
        <v>59207.798737851255</v>
      </c>
      <c r="P4993" s="5">
        <v>14316.965520592317</v>
      </c>
      <c r="Q4993" s="5">
        <v>48756.323642664109</v>
      </c>
      <c r="R4993" s="5">
        <v>122304.95880137496</v>
      </c>
    </row>
    <row r="4994" spans="9:18">
      <c r="I4994" s="4">
        <v>4979</v>
      </c>
      <c r="J4994" s="5">
        <v>14344.692898101612</v>
      </c>
      <c r="K4994" s="5">
        <v>56656.842992470461</v>
      </c>
      <c r="L4994" s="5">
        <v>23561.450544884348</v>
      </c>
      <c r="M4994" s="5">
        <v>6367.5407465007311</v>
      </c>
      <c r="N4994" s="5">
        <v>13745.376566850549</v>
      </c>
      <c r="O4994" s="5">
        <v>55264.438774006347</v>
      </c>
      <c r="P4994" s="5">
        <v>18963.234565965948</v>
      </c>
      <c r="Q4994" s="5">
        <v>59134.059519022907</v>
      </c>
      <c r="R4994" s="5">
        <v>10885.018205103002</v>
      </c>
    </row>
    <row r="4995" spans="9:18">
      <c r="I4995" s="4">
        <v>4980</v>
      </c>
      <c r="J4995" s="5">
        <v>15130.594750069789</v>
      </c>
      <c r="K4995" s="5">
        <v>20887.307279900142</v>
      </c>
      <c r="L4995" s="5">
        <v>16451.333928028147</v>
      </c>
      <c r="M4995" s="5">
        <v>20229.919588372999</v>
      </c>
      <c r="N4995" s="5">
        <v>22511.351424689696</v>
      </c>
      <c r="O4995" s="5">
        <v>27195.510785031525</v>
      </c>
      <c r="P4995" s="5">
        <v>21933.779100635442</v>
      </c>
      <c r="Q4995" s="5">
        <v>43417.41805414496</v>
      </c>
      <c r="R4995" s="5">
        <v>23583.884732956092</v>
      </c>
    </row>
    <row r="4996" spans="9:18">
      <c r="I4996" s="4">
        <v>4981</v>
      </c>
      <c r="J4996" s="5">
        <v>17005.744061105343</v>
      </c>
      <c r="K4996" s="5">
        <v>15782.544184844044</v>
      </c>
      <c r="L4996" s="5">
        <v>17128.574519497746</v>
      </c>
      <c r="M4996" s="5">
        <v>13139.022167648376</v>
      </c>
      <c r="N4996" s="5">
        <v>14240.123545764454</v>
      </c>
      <c r="O4996" s="5">
        <v>20930.098352661731</v>
      </c>
      <c r="P4996" s="5">
        <v>3017.2887813579896</v>
      </c>
      <c r="Q4996" s="5">
        <v>37101.531383212743</v>
      </c>
      <c r="R4996" s="5">
        <v>44707.053087992797</v>
      </c>
    </row>
    <row r="4997" spans="9:18">
      <c r="I4997" s="4">
        <v>4982</v>
      </c>
      <c r="J4997" s="5">
        <v>16710.807721801892</v>
      </c>
      <c r="K4997" s="5">
        <v>14351.415257675473</v>
      </c>
      <c r="L4997" s="5">
        <v>15487.970507365942</v>
      </c>
      <c r="M4997" s="5">
        <v>9623.0342442006167</v>
      </c>
      <c r="N4997" s="5">
        <v>19225.139878706803</v>
      </c>
      <c r="O4997" s="5">
        <v>42492.261063288854</v>
      </c>
      <c r="P4997" s="5">
        <v>54100.778483493887</v>
      </c>
      <c r="Q4997" s="5">
        <v>9138.5169630896526</v>
      </c>
      <c r="R4997" s="5">
        <v>114016.93673542379</v>
      </c>
    </row>
    <row r="4998" spans="9:18">
      <c r="I4998" s="4">
        <v>4983</v>
      </c>
      <c r="J4998" s="5">
        <v>13045.114546182727</v>
      </c>
      <c r="K4998" s="5">
        <v>14587.813833513306</v>
      </c>
      <c r="L4998" s="5">
        <v>14691.846656953887</v>
      </c>
      <c r="M4998" s="5">
        <v>41698.977215629871</v>
      </c>
      <c r="N4998" s="5">
        <v>8104.6265149430556</v>
      </c>
      <c r="O4998" s="5">
        <v>5444.7598502623823</v>
      </c>
      <c r="P4998" s="5">
        <v>34814.458119125498</v>
      </c>
      <c r="Q4998" s="5">
        <v>28567.61306643406</v>
      </c>
      <c r="R4998" s="5">
        <v>72561.496699005787</v>
      </c>
    </row>
    <row r="4999" spans="9:18">
      <c r="I4999" s="4">
        <v>4984</v>
      </c>
      <c r="J4999" s="5">
        <v>14594.990625703947</v>
      </c>
      <c r="K4999" s="5">
        <v>23934.551191616061</v>
      </c>
      <c r="L4999" s="5">
        <v>17693.864646288712</v>
      </c>
      <c r="M4999" s="5">
        <v>21072.983263501868</v>
      </c>
      <c r="N4999" s="5">
        <v>22511.351424689696</v>
      </c>
      <c r="O4999" s="5">
        <v>24258.192244316608</v>
      </c>
      <c r="P4999" s="5">
        <v>14773.185437294762</v>
      </c>
      <c r="Q4999" s="5">
        <v>27018.509959127641</v>
      </c>
      <c r="R4999" s="5">
        <v>38898.713625068609</v>
      </c>
    </row>
    <row r="5000" spans="9:18">
      <c r="I5000" s="4">
        <v>4985</v>
      </c>
      <c r="J5000" s="5">
        <v>20002.201347927807</v>
      </c>
      <c r="K5000" s="5">
        <v>16934.093371663999</v>
      </c>
      <c r="L5000" s="5">
        <v>24256.352541181568</v>
      </c>
      <c r="M5000" s="5">
        <v>16881.579299055</v>
      </c>
      <c r="N5000" s="5">
        <v>63974.903847153939</v>
      </c>
      <c r="O5000" s="5">
        <v>21930.527973988665</v>
      </c>
      <c r="P5000" s="5">
        <v>41657.50350099193</v>
      </c>
      <c r="Q5000" s="5">
        <v>9454.5906023793759</v>
      </c>
      <c r="R5000" s="5">
        <v>55012.315589742022</v>
      </c>
    </row>
    <row r="5001" spans="9:18">
      <c r="I5001" s="4">
        <v>4986</v>
      </c>
      <c r="J5001" s="5">
        <v>45301.532027110363</v>
      </c>
      <c r="K5001" s="5">
        <v>8124.7965732661823</v>
      </c>
      <c r="L5001" s="5">
        <v>21428.663623484812</v>
      </c>
      <c r="M5001" s="5">
        <v>13011.820191946215</v>
      </c>
      <c r="N5001" s="5">
        <v>15130.853682762778</v>
      </c>
      <c r="O5001" s="5">
        <v>19492.655596593511</v>
      </c>
      <c r="P5001" s="5">
        <v>8662.4232458952465</v>
      </c>
      <c r="Q5001" s="5">
        <v>37497.234505125656</v>
      </c>
      <c r="R5001" s="5">
        <v>181970.23111012415</v>
      </c>
    </row>
    <row r="5002" spans="9:18">
      <c r="I5002" s="4">
        <v>4987</v>
      </c>
      <c r="J5002" s="5">
        <v>14750.660273177687</v>
      </c>
      <c r="K5002" s="5">
        <v>11507.182177474708</v>
      </c>
      <c r="L5002" s="5">
        <v>14691.846656953887</v>
      </c>
      <c r="M5002" s="5">
        <v>11860.862376247747</v>
      </c>
      <c r="N5002" s="5">
        <v>24769.339976495565</v>
      </c>
      <c r="O5002" s="5">
        <v>8121.6248378263163</v>
      </c>
      <c r="P5002" s="5">
        <v>38771.994792132391</v>
      </c>
      <c r="Q5002" s="5">
        <v>6386.5227360487288</v>
      </c>
      <c r="R5002" s="5">
        <v>182942.88598316166</v>
      </c>
    </row>
    <row r="5003" spans="9:18">
      <c r="I5003" s="4">
        <v>4988</v>
      </c>
      <c r="J5003" s="5">
        <v>16710.807721801892</v>
      </c>
      <c r="K5003" s="5">
        <v>14854.898507619706</v>
      </c>
      <c r="L5003" s="5">
        <v>22018.381599979773</v>
      </c>
      <c r="M5003" s="5">
        <v>41403.687663920646</v>
      </c>
      <c r="N5003" s="5">
        <v>11952.903761138405</v>
      </c>
      <c r="O5003" s="5">
        <v>10676.618215263648</v>
      </c>
      <c r="P5003" s="5">
        <v>77603.711720266961</v>
      </c>
      <c r="Q5003" s="5">
        <v>100789.83462564547</v>
      </c>
      <c r="R5003" s="5">
        <v>18720.450716365784</v>
      </c>
    </row>
    <row r="5004" spans="9:18">
      <c r="I5004" s="4">
        <v>4989</v>
      </c>
      <c r="J5004" s="5">
        <v>21888.821432026474</v>
      </c>
      <c r="K5004" s="5">
        <v>16199.334613834633</v>
      </c>
      <c r="L5004" s="5">
        <v>19359.475411188432</v>
      </c>
      <c r="M5004" s="5">
        <v>15202.972920708273</v>
      </c>
      <c r="N5004" s="5">
        <v>45581.602064432409</v>
      </c>
      <c r="O5004" s="5">
        <v>42492.261063288854</v>
      </c>
      <c r="P5004" s="5">
        <v>54292.749740228588</v>
      </c>
      <c r="Q5004" s="5">
        <v>31902.904306425251</v>
      </c>
      <c r="R5004" s="5">
        <v>14079.827908007112</v>
      </c>
    </row>
    <row r="5005" spans="9:18">
      <c r="I5005" s="4">
        <v>4990</v>
      </c>
      <c r="J5005" s="5">
        <v>23517.429992060665</v>
      </c>
      <c r="K5005" s="5">
        <v>17128.860847126922</v>
      </c>
      <c r="L5005" s="5">
        <v>17716.90539191998</v>
      </c>
      <c r="M5005" s="5">
        <v>23913.435663027711</v>
      </c>
      <c r="N5005" s="5">
        <v>22735.120948269971</v>
      </c>
      <c r="O5005" s="5">
        <v>20827.029306810669</v>
      </c>
      <c r="P5005" s="5">
        <v>18963.234565965948</v>
      </c>
      <c r="Q5005" s="5">
        <v>3909.239690544402</v>
      </c>
      <c r="R5005" s="5">
        <v>7784.2246210242874</v>
      </c>
    </row>
    <row r="5006" spans="9:18">
      <c r="I5006" s="4">
        <v>4991</v>
      </c>
      <c r="J5006" s="5">
        <v>14017.326487344162</v>
      </c>
      <c r="K5006" s="5">
        <v>95171.967522309933</v>
      </c>
      <c r="L5006" s="5">
        <v>17578.712723867691</v>
      </c>
      <c r="M5006" s="5">
        <v>12987.517521908694</v>
      </c>
      <c r="N5006" s="5">
        <v>63974.903847153939</v>
      </c>
      <c r="O5006" s="5">
        <v>40581.847217937895</v>
      </c>
      <c r="P5006" s="5">
        <v>9811.9720599964548</v>
      </c>
      <c r="Q5006" s="5">
        <v>52421.574537857021</v>
      </c>
      <c r="R5006" s="5">
        <v>72561.496699005787</v>
      </c>
    </row>
    <row r="5007" spans="9:18">
      <c r="I5007" s="4">
        <v>4992</v>
      </c>
      <c r="J5007" s="5">
        <v>14076.209333698853</v>
      </c>
      <c r="K5007" s="5">
        <v>15782.544184844044</v>
      </c>
      <c r="L5007" s="5">
        <v>21954.536591034263</v>
      </c>
      <c r="M5007" s="5">
        <v>19795.661011456152</v>
      </c>
      <c r="N5007" s="5">
        <v>42744.618431291936</v>
      </c>
      <c r="O5007" s="5">
        <v>27195.510785031525</v>
      </c>
      <c r="P5007" s="5">
        <v>26126.807131356076</v>
      </c>
      <c r="Q5007" s="5">
        <v>31855.809428519857</v>
      </c>
      <c r="R5007" s="5">
        <v>59414.886464347241</v>
      </c>
    </row>
    <row r="5008" spans="9:18">
      <c r="I5008" s="4">
        <v>4993</v>
      </c>
      <c r="J5008" s="5">
        <v>14538.277247583976</v>
      </c>
      <c r="K5008" s="5">
        <v>18086.448513145526</v>
      </c>
      <c r="L5008" s="5">
        <v>15060.431658965737</v>
      </c>
      <c r="M5008" s="5">
        <v>22815.60259636537</v>
      </c>
      <c r="N5008" s="5">
        <v>21617.945168312468</v>
      </c>
      <c r="O5008" s="5">
        <v>62082.6862081785</v>
      </c>
      <c r="P5008" s="5">
        <v>21039.927746191301</v>
      </c>
      <c r="Q5008" s="5">
        <v>31974.553851773013</v>
      </c>
      <c r="R5008" s="5">
        <v>93933.045103013996</v>
      </c>
    </row>
    <row r="5009" spans="9:18">
      <c r="I5009" s="4">
        <v>4994</v>
      </c>
      <c r="J5009" s="5">
        <v>16733.020222212988</v>
      </c>
      <c r="K5009" s="5">
        <v>16952.949313901812</v>
      </c>
      <c r="L5009" s="5">
        <v>17128.574519497746</v>
      </c>
      <c r="M5009" s="5">
        <v>31554.722481137964</v>
      </c>
      <c r="N5009" s="5">
        <v>17214.078970533748</v>
      </c>
      <c r="O5009" s="5">
        <v>27508.313315384185</v>
      </c>
      <c r="P5009" s="5">
        <v>10733.318076105543</v>
      </c>
      <c r="Q5009" s="5">
        <v>59134.059519022907</v>
      </c>
      <c r="R5009" s="5">
        <v>2071.5141323269809</v>
      </c>
    </row>
    <row r="5010" spans="9:18">
      <c r="I5010" s="4">
        <v>4995</v>
      </c>
      <c r="J5010" s="5">
        <v>9368.8270679249108</v>
      </c>
      <c r="K5010" s="5">
        <v>15428.770955406064</v>
      </c>
      <c r="L5010" s="5">
        <v>25007.552172398639</v>
      </c>
      <c r="M5010" s="5">
        <v>11680.747299075838</v>
      </c>
      <c r="N5010" s="5">
        <v>9989.086510768735</v>
      </c>
      <c r="O5010" s="5">
        <v>35286.662852302201</v>
      </c>
      <c r="P5010" s="5">
        <v>8069.5385577067918</v>
      </c>
      <c r="Q5010" s="5">
        <v>9652.8114206999071</v>
      </c>
      <c r="R5010" s="5">
        <v>59414.886464347241</v>
      </c>
    </row>
    <row r="5011" spans="9:18">
      <c r="I5011" s="4">
        <v>4996</v>
      </c>
      <c r="J5011" s="5">
        <v>73074.062486361407</v>
      </c>
      <c r="K5011" s="5">
        <v>15631.937142257386</v>
      </c>
      <c r="L5011" s="5">
        <v>27144.958215276103</v>
      </c>
      <c r="M5011" s="5">
        <v>31554.722481137964</v>
      </c>
      <c r="N5011" s="5">
        <v>23998.040874392525</v>
      </c>
      <c r="O5011" s="5">
        <v>10270.120415297655</v>
      </c>
      <c r="P5011" s="5">
        <v>12639.596794453437</v>
      </c>
      <c r="Q5011" s="5">
        <v>3272.4685014937832</v>
      </c>
      <c r="R5011" s="5">
        <v>93933.045103013996</v>
      </c>
    </row>
    <row r="5012" spans="9:18">
      <c r="I5012" s="4">
        <v>4997</v>
      </c>
      <c r="J5012" s="5">
        <v>13663.281817546009</v>
      </c>
      <c r="K5012" s="5">
        <v>13719.930466819731</v>
      </c>
      <c r="L5012" s="5">
        <v>14796.875457021113</v>
      </c>
      <c r="M5012" s="5">
        <v>31554.722481137964</v>
      </c>
      <c r="N5012" s="5">
        <v>15786.177386596903</v>
      </c>
      <c r="O5012" s="5">
        <v>10270.120415297655</v>
      </c>
      <c r="P5012" s="5">
        <v>38771.994792132391</v>
      </c>
      <c r="Q5012" s="5">
        <v>18097.768262249352</v>
      </c>
      <c r="R5012" s="5">
        <v>87776.138236389699</v>
      </c>
    </row>
    <row r="5013" spans="9:18">
      <c r="I5013" s="4">
        <v>4998</v>
      </c>
      <c r="J5013" s="5">
        <v>19048.674633640545</v>
      </c>
      <c r="K5013" s="5">
        <v>23327.217259521742</v>
      </c>
      <c r="L5013" s="5">
        <v>16106.634875163341</v>
      </c>
      <c r="M5013" s="5">
        <v>17542.15972125496</v>
      </c>
      <c r="N5013" s="5">
        <v>36962.805083900916</v>
      </c>
      <c r="O5013" s="5">
        <v>24369.28567093279</v>
      </c>
      <c r="P5013" s="5">
        <v>21933.779100635442</v>
      </c>
      <c r="Q5013" s="5">
        <v>20883.852062640355</v>
      </c>
      <c r="R5013" s="5">
        <v>3311.4906988006405</v>
      </c>
    </row>
    <row r="5014" spans="9:18">
      <c r="I5014" s="4">
        <v>4999</v>
      </c>
      <c r="J5014" s="5">
        <v>13391.049101507895</v>
      </c>
      <c r="K5014" s="5">
        <v>16952.949313901812</v>
      </c>
      <c r="L5014" s="5">
        <v>14610.165745300763</v>
      </c>
      <c r="M5014" s="5">
        <v>19097.39635881727</v>
      </c>
      <c r="N5014" s="5">
        <v>21933.097106966918</v>
      </c>
      <c r="O5014" s="5">
        <v>51330.340277512776</v>
      </c>
      <c r="P5014" s="5">
        <v>13793.886507202402</v>
      </c>
      <c r="Q5014" s="5">
        <v>16591.881190929333</v>
      </c>
      <c r="R5014" s="5">
        <v>89167.415757270224</v>
      </c>
    </row>
    <row r="5015" spans="9:18">
      <c r="I5015" s="4">
        <v>5000</v>
      </c>
      <c r="J5015" s="5">
        <v>21717.214093683677</v>
      </c>
      <c r="K5015" s="5">
        <v>8124.7965732661823</v>
      </c>
      <c r="L5015" s="5">
        <v>15060.431658965737</v>
      </c>
      <c r="M5015" s="5">
        <v>18177.175180585615</v>
      </c>
      <c r="N5015" s="5">
        <v>8555.1229659096207</v>
      </c>
      <c r="O5015" s="5">
        <v>26565.882515615398</v>
      </c>
      <c r="P5015" s="5">
        <v>54100.778483493887</v>
      </c>
      <c r="Q5015" s="5">
        <v>48756.323642664109</v>
      </c>
      <c r="R5015" s="5">
        <v>18720.450716365784</v>
      </c>
    </row>
    <row r="1048576" spans="16384:16384">
      <c r="XFD1048576" s="16" t="s">
        <v>45</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3</xdr:col>
                    <xdr:colOff>25400</xdr:colOff>
                    <xdr:row>4</xdr:row>
                    <xdr:rowOff>0</xdr:rowOff>
                  </from>
                  <to>
                    <xdr:col>4</xdr:col>
                    <xdr:colOff>12700</xdr:colOff>
                    <xdr:row>4</xdr:row>
                    <xdr:rowOff>190500</xdr:rowOff>
                  </to>
                </anchor>
              </controlPr>
            </control>
          </mc:Choice>
        </mc:AlternateContent>
        <mc:AlternateContent xmlns:mc="http://schemas.openxmlformats.org/markup-compatibility/2006">
          <mc:Choice Requires="x14">
            <control shapeId="3074" r:id="rId5" name="Drop Down 2">
              <controlPr defaultSize="0" autoLine="0" autoPict="0">
                <anchor moveWithCells="1">
                  <from>
                    <xdr:col>3</xdr:col>
                    <xdr:colOff>0</xdr:colOff>
                    <xdr:row>6</xdr:row>
                    <xdr:rowOff>0</xdr:rowOff>
                  </from>
                  <to>
                    <xdr:col>4</xdr:col>
                    <xdr:colOff>12700</xdr:colOff>
                    <xdr:row>6</xdr:row>
                    <xdr:rowOff>190500</xdr:rowOff>
                  </to>
                </anchor>
              </controlPr>
            </control>
          </mc:Choice>
        </mc:AlternateContent>
        <mc:AlternateContent xmlns:mc="http://schemas.openxmlformats.org/markup-compatibility/2006">
          <mc:Choice Requires="x14">
            <control shapeId="3075" r:id="rId6" name="Spinner 3">
              <controlPr defaultSize="0" autoPict="0">
                <anchor moveWithCells="1" sizeWithCells="1">
                  <from>
                    <xdr:col>4</xdr:col>
                    <xdr:colOff>12700</xdr:colOff>
                    <xdr:row>20</xdr:row>
                    <xdr:rowOff>12700</xdr:rowOff>
                  </from>
                  <to>
                    <xdr:col>4</xdr:col>
                    <xdr:colOff>431800</xdr:colOff>
                    <xdr:row>20</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XFD1048576"/>
  <sheetViews>
    <sheetView workbookViewId="0">
      <selection activeCell="F30" sqref="F30"/>
    </sheetView>
  </sheetViews>
  <sheetFormatPr baseColWidth="10" defaultColWidth="8.83203125" defaultRowHeight="15"/>
  <cols>
    <col min="1" max="1" width="14.83203125" customWidth="1"/>
    <col min="2" max="2" width="16.5" customWidth="1"/>
    <col min="3" max="3" width="12" bestFit="1" customWidth="1"/>
    <col min="4" max="4" width="12.83203125" bestFit="1" customWidth="1"/>
  </cols>
  <sheetData>
    <row r="1" spans="1:2">
      <c r="A1" s="10" t="s">
        <v>47</v>
      </c>
    </row>
    <row r="2" spans="1:2">
      <c r="A2" s="9" t="s">
        <v>13</v>
      </c>
      <c r="B2" s="9" t="s">
        <v>12</v>
      </c>
    </row>
    <row r="3" spans="1:2">
      <c r="A3">
        <v>0</v>
      </c>
      <c r="B3">
        <v>100</v>
      </c>
    </row>
    <row r="4" spans="1:2">
      <c r="A4">
        <v>1000</v>
      </c>
      <c r="B4">
        <v>1200</v>
      </c>
    </row>
    <row r="5" spans="1:2">
      <c r="A5">
        <v>2000</v>
      </c>
      <c r="B5">
        <v>2400</v>
      </c>
    </row>
    <row r="6" spans="1:2">
      <c r="A6">
        <v>3000</v>
      </c>
      <c r="B6">
        <v>3600</v>
      </c>
    </row>
    <row r="7" spans="1:2">
      <c r="A7">
        <v>4000</v>
      </c>
    </row>
    <row r="8" spans="1:2">
      <c r="A8">
        <v>5000</v>
      </c>
    </row>
    <row r="10" spans="1:2">
      <c r="A10" s="10" t="s">
        <v>48</v>
      </c>
    </row>
    <row r="11" spans="1:2">
      <c r="A11" s="9" t="s">
        <v>13</v>
      </c>
      <c r="B11" s="9" t="s">
        <v>12</v>
      </c>
    </row>
    <row r="12" spans="1:2">
      <c r="A12" s="8">
        <v>2</v>
      </c>
      <c r="B12" s="8">
        <v>2</v>
      </c>
    </row>
    <row r="32" spans="3:4">
      <c r="C32" s="9" t="s">
        <v>13</v>
      </c>
      <c r="D32" s="9" t="s">
        <v>12</v>
      </c>
    </row>
    <row r="33" spans="2:4">
      <c r="B33">
        <v>1</v>
      </c>
      <c r="C33">
        <v>0</v>
      </c>
      <c r="D33">
        <v>100</v>
      </c>
    </row>
    <row r="34" spans="2:4">
      <c r="B34">
        <v>2</v>
      </c>
      <c r="C34">
        <v>1000</v>
      </c>
      <c r="D34">
        <v>1200</v>
      </c>
    </row>
    <row r="35" spans="2:4">
      <c r="B35">
        <v>3</v>
      </c>
      <c r="C35">
        <v>2000</v>
      </c>
      <c r="D35">
        <v>2400</v>
      </c>
    </row>
    <row r="36" spans="2:4">
      <c r="B36">
        <v>4</v>
      </c>
      <c r="C36">
        <v>3000</v>
      </c>
      <c r="D36">
        <v>3600</v>
      </c>
    </row>
    <row r="37" spans="2:4">
      <c r="B37">
        <v>5</v>
      </c>
      <c r="C37">
        <v>4000</v>
      </c>
    </row>
    <row r="38" spans="2:4">
      <c r="B38">
        <v>6</v>
      </c>
      <c r="C38">
        <v>5000</v>
      </c>
    </row>
    <row r="44" spans="2:4">
      <c r="C44">
        <f>VLOOKUP(A12,B33:C38,2,FALSE)</f>
        <v>1000</v>
      </c>
      <c r="D44">
        <f>VLOOKUP(B12,B33:D38,3,FALSE)</f>
        <v>1200</v>
      </c>
    </row>
    <row r="1048576" spans="16384:16384">
      <c r="XFD1048576" s="16"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23"/>
  <sheetViews>
    <sheetView topLeftCell="A5" zoomScale="116" zoomScaleNormal="85" workbookViewId="0">
      <selection activeCell="J22" sqref="J22:S22"/>
    </sheetView>
  </sheetViews>
  <sheetFormatPr baseColWidth="10" defaultColWidth="8.83203125" defaultRowHeight="15"/>
  <cols>
    <col min="1" max="1" width="12.5" customWidth="1"/>
    <col min="2" max="2" width="16.5" customWidth="1"/>
    <col min="3" max="10" width="10.5" customWidth="1"/>
  </cols>
  <sheetData>
    <row r="1" spans="1:19">
      <c r="A1" t="s">
        <v>9</v>
      </c>
      <c r="B1">
        <v>1</v>
      </c>
      <c r="C1">
        <v>2</v>
      </c>
      <c r="D1">
        <v>3</v>
      </c>
      <c r="E1">
        <v>4</v>
      </c>
      <c r="F1">
        <v>5</v>
      </c>
      <c r="G1">
        <v>6</v>
      </c>
      <c r="H1">
        <v>7</v>
      </c>
      <c r="I1">
        <v>8</v>
      </c>
      <c r="J1">
        <v>9</v>
      </c>
    </row>
    <row r="2" spans="1:19">
      <c r="A2" t="s">
        <v>14</v>
      </c>
      <c r="B2" s="7">
        <f>AVERAGE('Model and simulation'!J16:J5015)</f>
        <v>18993.911313676545</v>
      </c>
      <c r="C2" s="7">
        <f>AVERAGE('Model and simulation'!K16:K5015)</f>
        <v>20480.39287200051</v>
      </c>
      <c r="D2" s="7">
        <f>AVERAGE('Model and simulation'!L16:L5015)</f>
        <v>17580.486650377254</v>
      </c>
      <c r="E2" s="7">
        <f>AVERAGE('Model and simulation'!M16:M5015)</f>
        <v>20266.504471032546</v>
      </c>
      <c r="F2" s="7">
        <f>AVERAGE('Model and simulation'!N16:N5015)</f>
        <v>23465.897565247611</v>
      </c>
      <c r="G2" s="7">
        <f>AVERAGE('Model and simulation'!O16:O5015)</f>
        <v>28092.039171523102</v>
      </c>
      <c r="H2" s="7">
        <f>AVERAGE('Model and simulation'!P16:P5015)</f>
        <v>29280.891063339735</v>
      </c>
      <c r="I2" s="7">
        <f>AVERAGE('Model and simulation'!Q16:Q5015)</f>
        <v>33942.247587647209</v>
      </c>
      <c r="J2" s="7">
        <f>AVERAGE('Model and simulation'!R16:R5015)</f>
        <v>47895.27262734429</v>
      </c>
      <c r="L2" s="23"/>
      <c r="M2" s="23"/>
      <c r="N2" s="23"/>
      <c r="O2" s="23"/>
      <c r="P2" s="23"/>
      <c r="Q2" s="23"/>
      <c r="R2" s="23"/>
      <c r="S2" s="23"/>
    </row>
    <row r="3" spans="1:19">
      <c r="A3" t="s">
        <v>15</v>
      </c>
      <c r="B3" s="7">
        <f>_xlfn.STDEV.S('Model and simulation'!J16:J5015)</f>
        <v>9879.1355829487675</v>
      </c>
      <c r="C3" s="7">
        <f>_xlfn.STDEV.S('Model and simulation'!K16:K5015)</f>
        <v>13682.275193575699</v>
      </c>
      <c r="D3" s="7">
        <f>_xlfn.STDEV.S('Model and simulation'!L16:L5015)</f>
        <v>4122.0262920508912</v>
      </c>
      <c r="E3" s="7">
        <f>_xlfn.STDEV.S('Model and simulation'!M16:M5015)</f>
        <v>7822.8996180509757</v>
      </c>
      <c r="F3" s="7">
        <f>_xlfn.STDEV.S('Model and simulation'!N16:N5015)</f>
        <v>12445.047709540808</v>
      </c>
      <c r="G3" s="7">
        <f>_xlfn.STDEV.S('Model and simulation'!O16:O5015)</f>
        <v>19311.632156726457</v>
      </c>
      <c r="H3" s="7">
        <f>_xlfn.STDEV.S('Model and simulation'!P16:P5015)</f>
        <v>21187.200103733856</v>
      </c>
      <c r="I3" s="7">
        <f>_xlfn.STDEV.S('Model and simulation'!Q16:Q5015)</f>
        <v>28468.443842677229</v>
      </c>
      <c r="J3" s="7">
        <f>_xlfn.STDEV.S('Model and simulation'!R16:R5015)</f>
        <v>56470.108293359277</v>
      </c>
      <c r="L3" s="23"/>
      <c r="M3" s="23"/>
      <c r="N3" s="23"/>
      <c r="O3" s="23"/>
      <c r="P3" s="23"/>
      <c r="Q3" s="23"/>
      <c r="R3" s="23"/>
      <c r="S3" s="23"/>
    </row>
    <row r="4" spans="1:19">
      <c r="L4" s="23"/>
      <c r="M4" s="23"/>
      <c r="N4" s="23"/>
      <c r="O4" s="23"/>
      <c r="P4" s="23"/>
      <c r="Q4" s="23"/>
      <c r="R4" s="23"/>
      <c r="S4" s="23"/>
    </row>
    <row r="5" spans="1:19">
      <c r="A5" t="s">
        <v>16</v>
      </c>
      <c r="L5" s="23"/>
      <c r="M5" s="23"/>
      <c r="N5" s="23"/>
      <c r="O5" s="23"/>
      <c r="P5" s="23"/>
      <c r="Q5" s="23"/>
      <c r="R5" s="23"/>
      <c r="S5" s="23"/>
    </row>
    <row r="6" spans="1:19">
      <c r="A6">
        <v>0.01</v>
      </c>
      <c r="B6" s="7">
        <f>_xlfn.PERCENTILE.INC('Model and simulation'!J$16:J$5015,'Simulation results'!$A$6)</f>
        <v>7855.2948890116513</v>
      </c>
      <c r="C6" s="7">
        <f>_xlfn.PERCENTILE.INC('Model and simulation'!K$16:K$5015,'Simulation results'!$A$6)</f>
        <v>6949.5708823216592</v>
      </c>
      <c r="D6" s="7">
        <f>_xlfn.PERCENTILE.INC('Model and simulation'!L$16:L$5015,'Simulation results'!$A$6)</f>
        <v>10896.494237357269</v>
      </c>
      <c r="E6" s="7">
        <f>_xlfn.PERCENTILE.INC('Model and simulation'!M$16:M$5015,'Simulation results'!$A$6)</f>
        <v>6367.5407465007311</v>
      </c>
      <c r="F6" s="7">
        <f>_xlfn.PERCENTILE.INC('Model and simulation'!N$16:N$5015,'Simulation results'!$A$6)</f>
        <v>4770.4216775830728</v>
      </c>
      <c r="G6" s="7">
        <f>_xlfn.PERCENTILE.INC('Model and simulation'!O$16:O$5015,'Simulation results'!$A$6)</f>
        <v>3171.3006415671193</v>
      </c>
      <c r="H6" s="7">
        <f>_xlfn.PERCENTILE.INC('Model and simulation'!P$16:P$5015,'Simulation results'!$A$6)</f>
        <v>3017.2887813579896</v>
      </c>
      <c r="I6" s="7">
        <f>_xlfn.PERCENTILE.INC('Model and simulation'!Q$16:Q$5015,'Simulation results'!$A$6)</f>
        <v>3272.4685014937832</v>
      </c>
      <c r="J6" s="7">
        <f>_xlfn.PERCENTILE.INC('Model and simulation'!R$16:R$5015,'Simulation results'!$A$6)</f>
        <v>1535.701520095213</v>
      </c>
      <c r="L6" s="23"/>
      <c r="M6" s="23"/>
      <c r="N6" s="23"/>
      <c r="O6" s="23"/>
      <c r="P6" s="23"/>
      <c r="Q6" s="23"/>
      <c r="R6" s="23"/>
      <c r="S6" s="23"/>
    </row>
    <row r="7" spans="1:19">
      <c r="A7">
        <v>0.05</v>
      </c>
      <c r="B7" s="7">
        <f>_xlfn.PERCENTILE.INC('Model and simulation'!J$16:J$5015,'Simulation results'!$A$7)</f>
        <v>10954.906825523378</v>
      </c>
      <c r="C7" s="7">
        <f>_xlfn.PERCENTILE.INC('Model and simulation'!K$16:K$5015,'Simulation results'!$A$7)</f>
        <v>9739.7813029644258</v>
      </c>
      <c r="D7" s="7">
        <f>_xlfn.PERCENTILE.INC('Model and simulation'!L$16:L$5015,'Simulation results'!$A$7)</f>
        <v>13037.115556745504</v>
      </c>
      <c r="E7" s="7">
        <f>_xlfn.PERCENTILE.INC('Model and simulation'!M$16:M$5015,'Simulation results'!$A$7)</f>
        <v>10111.451009425113</v>
      </c>
      <c r="F7" s="7">
        <f>_xlfn.PERCENTILE.INC('Model and simulation'!N$16:N$5015,'Simulation results'!$A$7)</f>
        <v>9209.4418830788036</v>
      </c>
      <c r="G7" s="7">
        <f>_xlfn.PERCENTILE.INC('Model and simulation'!O$16:O$5015,'Simulation results'!$A$7)</f>
        <v>6199.3195463515376</v>
      </c>
      <c r="H7" s="7">
        <f>_xlfn.PERCENTILE.INC('Model and simulation'!P$16:P$5015,'Simulation results'!$A$7)</f>
        <v>5836.7810663002319</v>
      </c>
      <c r="I7" s="7">
        <f>_xlfn.PERCENTILE.INC('Model and simulation'!Q$16:Q$5015,'Simulation results'!$A$7)</f>
        <v>6386.5227360487288</v>
      </c>
      <c r="J7" s="7">
        <f>_xlfn.PERCENTILE.INC('Model and simulation'!R$16:R$5015,'Simulation results'!$A$7)</f>
        <v>3433.6677391851467</v>
      </c>
      <c r="L7" s="23"/>
      <c r="M7" s="23"/>
      <c r="N7" s="23"/>
      <c r="O7" s="23"/>
      <c r="P7" s="23"/>
      <c r="Q7" s="23"/>
      <c r="R7" s="23"/>
      <c r="S7" s="23"/>
    </row>
    <row r="8" spans="1:19">
      <c r="A8">
        <v>0.25</v>
      </c>
      <c r="B8" s="7">
        <f>_xlfn.PERCENTILE.INC('Model and simulation'!J$16:J$5015,'Simulation results'!$A$8)</f>
        <v>14017.326487344162</v>
      </c>
      <c r="C8" s="7">
        <f>_xlfn.PERCENTILE.INC('Model and simulation'!K$16:K$5015,'Simulation results'!$A$8)</f>
        <v>14017.262946034314</v>
      </c>
      <c r="D8" s="7">
        <f>_xlfn.PERCENTILE.INC('Model and simulation'!L$16:L$5015,'Simulation results'!$A$8)</f>
        <v>15060.431658965737</v>
      </c>
      <c r="E8" s="7">
        <f>_xlfn.PERCENTILE.INC('Model and simulation'!M$16:M$5015,'Simulation results'!$A$8)</f>
        <v>14217.48832834715</v>
      </c>
      <c r="F8" s="7">
        <f>_xlfn.PERCENTILE.INC('Model and simulation'!N$16:N$5015,'Simulation results'!$A$8)</f>
        <v>14335.478134989447</v>
      </c>
      <c r="G8" s="7">
        <f>_xlfn.PERCENTILE.INC('Model and simulation'!O$16:O$5015,'Simulation results'!$A$8)</f>
        <v>13613.378495715853</v>
      </c>
      <c r="H8" s="7">
        <f>_xlfn.PERCENTILE.INC('Model and simulation'!P$16:P$5015,'Simulation results'!$A$8)</f>
        <v>12992.105410393709</v>
      </c>
      <c r="I8" s="7">
        <f>_xlfn.PERCENTILE.INC('Model and simulation'!Q$16:Q$5015,'Simulation results'!$A$8)</f>
        <v>13099.063525342741</v>
      </c>
      <c r="J8" s="7">
        <f>_xlfn.PERCENTILE.INC('Model and simulation'!R$16:R$5015,'Simulation results'!$A$8)</f>
        <v>12116.34255245842</v>
      </c>
      <c r="L8" s="23"/>
      <c r="M8" s="23"/>
      <c r="N8" s="23"/>
      <c r="O8" s="23"/>
      <c r="P8" s="23"/>
      <c r="Q8" s="23"/>
      <c r="R8" s="23"/>
      <c r="S8" s="23"/>
    </row>
    <row r="9" spans="1:19">
      <c r="A9">
        <v>0.5</v>
      </c>
      <c r="B9" s="7">
        <f>_xlfn.PERCENTILE.INC('Model and simulation'!J$16:J$5015,'Simulation results'!$A$9)</f>
        <v>15873.12561080002</v>
      </c>
      <c r="C9" s="7">
        <f>_xlfn.PERCENTILE.INC('Model and simulation'!K$16:K$5015,'Simulation results'!$A$9)</f>
        <v>16081.362509465702</v>
      </c>
      <c r="D9" s="7">
        <f>_xlfn.PERCENTILE.INC('Model and simulation'!L$16:L$5015,'Simulation results'!$A$9)</f>
        <v>16451.333928028147</v>
      </c>
      <c r="E9" s="7">
        <f>_xlfn.PERCENTILE.INC('Model and simulation'!M$16:M$5015,'Simulation results'!$A$9)</f>
        <v>19151.339770278159</v>
      </c>
      <c r="F9" s="7">
        <f>_xlfn.PERCENTILE.INC('Model and simulation'!N$16:N$5015,'Simulation results'!$A$9)</f>
        <v>21909.120225822895</v>
      </c>
      <c r="G9" s="7">
        <f>_xlfn.PERCENTILE.INC('Model and simulation'!O$16:O$5015,'Simulation results'!$A$9)</f>
        <v>24369.28567093279</v>
      </c>
      <c r="H9" s="7">
        <f>_xlfn.PERCENTILE.INC('Model and simulation'!P$16:P$5015,'Simulation results'!$A$9)</f>
        <v>24349.301972630979</v>
      </c>
      <c r="I9" s="7">
        <f>_xlfn.PERCENTILE.INC('Model and simulation'!Q$16:Q$5015,'Simulation results'!$A$9)</f>
        <v>27789.973552634947</v>
      </c>
      <c r="J9" s="7">
        <f>_xlfn.PERCENTILE.INC('Model and simulation'!R$16:R$5015,'Simulation results'!$A$9)</f>
        <v>29295.938844292672</v>
      </c>
      <c r="L9" s="23"/>
      <c r="M9" s="23"/>
      <c r="N9" s="23"/>
      <c r="O9" s="23"/>
      <c r="P9" s="23"/>
      <c r="Q9" s="23"/>
      <c r="R9" s="23"/>
      <c r="S9" s="23"/>
    </row>
    <row r="10" spans="1:19">
      <c r="A10">
        <v>0.75</v>
      </c>
      <c r="B10" s="7">
        <f>_xlfn.PERCENTILE.INC('Model and simulation'!J$16:J$5015,'Simulation results'!$A$10)</f>
        <v>20768.286261788198</v>
      </c>
      <c r="C10" s="7">
        <f>_xlfn.PERCENTILE.INC('Model and simulation'!K$16:K$5015,'Simulation results'!$A$10)</f>
        <v>21958.925144875713</v>
      </c>
      <c r="D10" s="7">
        <f>_xlfn.PERCENTILE.INC('Model and simulation'!L$16:L$5015,'Simulation results'!$A$10)</f>
        <v>18810.091753970282</v>
      </c>
      <c r="E10" s="7">
        <f>_xlfn.PERCENTILE.INC('Model and simulation'!M$16:M$5015,'Simulation results'!$A$10)</f>
        <v>23454.775510296178</v>
      </c>
      <c r="F10" s="7">
        <f>_xlfn.PERCENTILE.INC('Model and simulation'!N$16:N$5015,'Simulation results'!$A$10)</f>
        <v>26565.664379767408</v>
      </c>
      <c r="G10" s="7">
        <f>_xlfn.PERCENTILE.INC('Model and simulation'!O$16:O$5015,'Simulation results'!$A$10)</f>
        <v>35865.625349531729</v>
      </c>
      <c r="H10" s="7">
        <f>_xlfn.PERCENTILE.INC('Model and simulation'!P$16:P$5015,'Simulation results'!$A$10)</f>
        <v>38771.994792132391</v>
      </c>
      <c r="I10" s="7">
        <f>_xlfn.PERCENTILE.INC('Model and simulation'!Q$16:Q$5015,'Simulation results'!$A$10)</f>
        <v>47365.380972950254</v>
      </c>
      <c r="J10" s="7">
        <f>_xlfn.PERCENTILE.INC('Model and simulation'!R$16:R$5015,'Simulation results'!$A$10)</f>
        <v>59414.886464347241</v>
      </c>
      <c r="L10" s="23"/>
      <c r="M10" s="23"/>
      <c r="N10" s="23"/>
      <c r="O10" s="23"/>
      <c r="P10" s="23"/>
      <c r="Q10" s="23"/>
      <c r="R10" s="23"/>
      <c r="S10" s="23"/>
    </row>
    <row r="11" spans="1:19">
      <c r="A11">
        <v>0.95</v>
      </c>
      <c r="B11" s="7">
        <f>_xlfn.PERCENTILE.INC('Model and simulation'!J$16:J$5015,'Simulation results'!$A$11)</f>
        <v>34933.039312618188</v>
      </c>
      <c r="C11" s="7">
        <f>_xlfn.PERCENTILE.INC('Model and simulation'!K$16:K$5015,'Simulation results'!$A$11)</f>
        <v>53937.689698015136</v>
      </c>
      <c r="D11" s="7">
        <f>_xlfn.PERCENTILE.INC('Model and simulation'!L$16:L$5015,'Simulation results'!$A$11)</f>
        <v>25389.332759288587</v>
      </c>
      <c r="E11" s="7">
        <f>_xlfn.PERCENTILE.INC('Model and simulation'!M$16:M$5015,'Simulation results'!$A$11)</f>
        <v>36301.422888051464</v>
      </c>
      <c r="F11" s="7">
        <f>_xlfn.PERCENTILE.INC('Model and simulation'!N$16:N$5015,'Simulation results'!$A$11)</f>
        <v>48565.498233359976</v>
      </c>
      <c r="G11" s="7">
        <f>_xlfn.PERCENTILE.INC('Model and simulation'!O$16:O$5015,'Simulation results'!$A$11)</f>
        <v>67717.30633712461</v>
      </c>
      <c r="H11" s="7">
        <f>_xlfn.PERCENTILE.INC('Model and simulation'!P$16:P$5015,'Simulation results'!$A$11)</f>
        <v>74840.036182179319</v>
      </c>
      <c r="I11" s="7">
        <f>_xlfn.PERCENTILE.INC('Model and simulation'!Q$16:Q$5015,'Simulation results'!$A$11)</f>
        <v>96632.959478514502</v>
      </c>
      <c r="J11" s="7">
        <f>_xlfn.PERCENTILE.INC('Model and simulation'!R$16:R$5015,'Simulation results'!$A$11)</f>
        <v>181970.23111012415</v>
      </c>
      <c r="L11" s="23"/>
      <c r="M11" s="23"/>
      <c r="N11" s="23"/>
      <c r="O11" s="23"/>
      <c r="P11" s="23"/>
      <c r="Q11" s="23"/>
      <c r="R11" s="23"/>
      <c r="S11" s="23"/>
    </row>
    <row r="12" spans="1:19">
      <c r="A12">
        <v>0.99</v>
      </c>
      <c r="B12" s="7">
        <f>_xlfn.PERCENTILE.INC('Model and simulation'!J$16:J$5015,'Simulation results'!$A$12)</f>
        <v>73074.062486361407</v>
      </c>
      <c r="C12" s="7">
        <f>_xlfn.PERCENTILE.INC('Model and simulation'!K$16:K$5015,'Simulation results'!$A$12)</f>
        <v>95171.967522309933</v>
      </c>
      <c r="D12" s="7">
        <f>_xlfn.PERCENTILE.INC('Model and simulation'!L$16:L$5015,'Simulation results'!$A$12)</f>
        <v>34748.877779456467</v>
      </c>
      <c r="E12" s="7">
        <f>_xlfn.PERCENTILE.INC('Model and simulation'!M$16:M$5015,'Simulation results'!$A$12)</f>
        <v>41698.977215629871</v>
      </c>
      <c r="F12" s="7">
        <f>_xlfn.PERCENTILE.INC('Model and simulation'!N$16:N$5015,'Simulation results'!$A$12)</f>
        <v>63974.903847153939</v>
      </c>
      <c r="G12" s="7">
        <f>_xlfn.PERCENTILE.INC('Model and simulation'!O$16:O$5015,'Simulation results'!$A$12)</f>
        <v>94068.324736096256</v>
      </c>
      <c r="H12" s="7">
        <f>_xlfn.PERCENTILE.INC('Model and simulation'!P$16:P$5015,'Simulation results'!$A$12)</f>
        <v>106091.28270624072</v>
      </c>
      <c r="I12" s="7">
        <f>_xlfn.PERCENTILE.INC('Model and simulation'!Q$16:Q$5015,'Simulation results'!$A$12)</f>
        <v>129470.11441833655</v>
      </c>
      <c r="J12" s="7">
        <f>_xlfn.PERCENTILE.INC('Model and simulation'!R$16:R$5015,'Simulation results'!$A$12)</f>
        <v>302760.11878714536</v>
      </c>
      <c r="L12" s="23"/>
      <c r="M12" s="23"/>
      <c r="N12" s="23"/>
      <c r="O12" s="23"/>
      <c r="P12" s="23"/>
      <c r="Q12" s="23"/>
      <c r="R12" s="23"/>
      <c r="S12" s="23"/>
    </row>
    <row r="13" spans="1:19">
      <c r="B13" s="3"/>
      <c r="C13" s="3"/>
      <c r="D13" s="3"/>
      <c r="E13" s="3"/>
      <c r="F13" s="3"/>
      <c r="G13" s="3"/>
      <c r="H13" s="3"/>
      <c r="I13" s="3"/>
      <c r="J13" s="3"/>
      <c r="L13" s="23"/>
      <c r="M13" s="23"/>
      <c r="N13" s="23"/>
      <c r="O13" s="23"/>
      <c r="P13" s="23"/>
      <c r="Q13" s="23"/>
      <c r="R13" s="23"/>
      <c r="S13" s="23"/>
    </row>
    <row r="14" spans="1:19">
      <c r="B14" s="3"/>
      <c r="C14" s="3"/>
      <c r="D14" s="3"/>
      <c r="E14" s="3"/>
      <c r="F14" s="3"/>
      <c r="G14" s="3"/>
      <c r="H14" s="3"/>
      <c r="I14" s="3"/>
      <c r="J14" s="3"/>
      <c r="L14" s="23"/>
      <c r="M14" s="23"/>
      <c r="N14" s="23"/>
      <c r="O14" s="23"/>
      <c r="P14" s="23"/>
      <c r="Q14" s="23"/>
      <c r="R14" s="23"/>
      <c r="S14" s="23"/>
    </row>
    <row r="15" spans="1:19">
      <c r="B15" s="11"/>
      <c r="C15" s="11"/>
      <c r="D15" s="11"/>
      <c r="E15" s="11"/>
      <c r="F15" s="11"/>
      <c r="G15" s="11"/>
      <c r="H15" s="11"/>
      <c r="I15" s="11"/>
      <c r="J15" s="11"/>
      <c r="L15" s="23"/>
      <c r="M15" s="23"/>
      <c r="N15" s="23"/>
      <c r="O15" s="23"/>
      <c r="P15" s="23"/>
      <c r="Q15" s="23"/>
      <c r="R15" s="23"/>
      <c r="S15" s="23"/>
    </row>
    <row r="16" spans="1:19">
      <c r="L16" s="23"/>
      <c r="M16" s="23"/>
      <c r="N16" s="23"/>
      <c r="O16" s="23"/>
      <c r="P16" s="23"/>
      <c r="Q16" s="23"/>
      <c r="R16" s="23"/>
      <c r="S16" s="23"/>
    </row>
    <row r="17" spans="1:19">
      <c r="A17" s="10" t="s">
        <v>46</v>
      </c>
    </row>
    <row r="18" spans="1:19" ht="32.25" customHeight="1">
      <c r="A18" s="40" t="s">
        <v>62</v>
      </c>
      <c r="B18" s="40"/>
      <c r="C18" s="40"/>
      <c r="D18" s="40"/>
      <c r="E18" s="40"/>
      <c r="F18" s="40"/>
      <c r="G18" s="40"/>
      <c r="H18" s="40"/>
      <c r="I18" s="40"/>
      <c r="J18" s="41" t="s">
        <v>60</v>
      </c>
      <c r="K18" s="41"/>
      <c r="L18" s="41"/>
      <c r="M18" s="41"/>
      <c r="N18" s="41"/>
      <c r="O18" s="41"/>
      <c r="P18" s="41"/>
      <c r="Q18" s="41"/>
      <c r="R18" s="41"/>
      <c r="S18" s="41"/>
    </row>
    <row r="19" spans="1:19" ht="44.25" customHeight="1">
      <c r="A19" s="38" t="s">
        <v>68</v>
      </c>
      <c r="B19" s="38"/>
      <c r="C19" s="38"/>
      <c r="D19" s="38"/>
      <c r="E19" s="38"/>
      <c r="F19" s="38"/>
      <c r="G19" s="38"/>
      <c r="H19" s="38"/>
      <c r="I19" s="38"/>
      <c r="J19" s="39" t="s">
        <v>55</v>
      </c>
      <c r="K19" s="39"/>
      <c r="L19" s="39"/>
      <c r="M19" s="39"/>
      <c r="N19" s="39"/>
      <c r="O19" s="39"/>
      <c r="P19" s="39"/>
      <c r="Q19" s="39"/>
      <c r="R19" s="39"/>
      <c r="S19" s="39"/>
    </row>
    <row r="20" spans="1:19" ht="44.25" customHeight="1">
      <c r="A20" s="42" t="s">
        <v>69</v>
      </c>
      <c r="B20" s="42"/>
      <c r="C20" s="42"/>
      <c r="D20" s="42"/>
      <c r="E20" s="42"/>
      <c r="F20" s="42"/>
      <c r="G20" s="42"/>
      <c r="H20" s="42"/>
      <c r="I20" s="42"/>
      <c r="J20" s="39" t="s">
        <v>59</v>
      </c>
      <c r="K20" s="39"/>
      <c r="L20" s="39"/>
      <c r="M20" s="39"/>
      <c r="N20" s="39"/>
      <c r="O20" s="39"/>
      <c r="P20" s="39"/>
      <c r="Q20" s="39"/>
      <c r="R20" s="39"/>
      <c r="S20" s="39"/>
    </row>
    <row r="21" spans="1:19" ht="145.5" customHeight="1">
      <c r="A21" s="38" t="s">
        <v>70</v>
      </c>
      <c r="B21" s="38"/>
      <c r="C21" s="38"/>
      <c r="D21" s="38"/>
      <c r="E21" s="38"/>
      <c r="F21" s="38"/>
      <c r="G21" s="38"/>
      <c r="H21" s="38"/>
      <c r="I21" s="38"/>
      <c r="J21" s="39" t="s">
        <v>56</v>
      </c>
      <c r="K21" s="39"/>
      <c r="L21" s="39"/>
      <c r="M21" s="39"/>
      <c r="N21" s="39"/>
      <c r="O21" s="39"/>
      <c r="P21" s="39"/>
      <c r="Q21" s="39"/>
      <c r="R21" s="39"/>
      <c r="S21" s="39"/>
    </row>
    <row r="22" spans="1:19" ht="47.25" customHeight="1">
      <c r="A22" s="38" t="s">
        <v>63</v>
      </c>
      <c r="B22" s="38"/>
      <c r="C22" s="38"/>
      <c r="D22" s="38"/>
      <c r="E22" s="38"/>
      <c r="F22" s="38"/>
      <c r="G22" s="38"/>
      <c r="H22" s="38"/>
      <c r="I22" s="38"/>
      <c r="J22" s="39" t="s">
        <v>66</v>
      </c>
      <c r="K22" s="39"/>
      <c r="L22" s="39"/>
      <c r="M22" s="39"/>
      <c r="N22" s="39"/>
      <c r="O22" s="39"/>
      <c r="P22" s="39"/>
      <c r="Q22" s="39"/>
      <c r="R22" s="39"/>
      <c r="S22" s="39"/>
    </row>
    <row r="23" spans="1:19">
      <c r="A23" s="22"/>
    </row>
  </sheetData>
  <mergeCells count="10">
    <mergeCell ref="A21:I21"/>
    <mergeCell ref="J21:S21"/>
    <mergeCell ref="A22:I22"/>
    <mergeCell ref="J22:S22"/>
    <mergeCell ref="A18:I18"/>
    <mergeCell ref="J18:S18"/>
    <mergeCell ref="A19:I19"/>
    <mergeCell ref="J19:S19"/>
    <mergeCell ref="A20:I20"/>
    <mergeCell ref="J20:S20"/>
  </mergeCells>
  <conditionalFormatting sqref="B2:J2">
    <cfRule type="colorScale" priority="3">
      <colorScale>
        <cfvo type="min"/>
        <cfvo type="percentile" val="50"/>
        <cfvo type="max"/>
        <color rgb="FFF8696B"/>
        <color rgb="FFFFEB84"/>
        <color rgb="FF63BE7B"/>
      </colorScale>
    </cfRule>
  </conditionalFormatting>
  <conditionalFormatting sqref="B3:J3">
    <cfRule type="colorScale" priority="2">
      <colorScale>
        <cfvo type="min"/>
        <cfvo type="percentile" val="50"/>
        <cfvo type="max"/>
        <color rgb="FF63BE7B"/>
        <color rgb="FFFFEB84"/>
        <color rgb="FFF8696B"/>
      </colorScale>
    </cfRule>
  </conditionalFormatting>
  <conditionalFormatting sqref="B6:J12">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7" formula="1"/>
  </ignoredErrors>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0000000}">
          <x14:formula1>
            <xm:f>'Question options'!$A$1:$A$5</xm:f>
          </x14:formula1>
          <xm:sqref>J18:S18</xm:sqref>
        </x14:dataValidation>
        <x14:dataValidation type="list" allowBlank="1" showInputMessage="1" showErrorMessage="1" xr:uid="{00000000-0002-0000-0400-000001000000}">
          <x14:formula1>
            <xm:f>'Question options'!$B$1:$B$10</xm:f>
          </x14:formula1>
          <xm:sqref>J19:S21</xm:sqref>
        </x14:dataValidation>
        <x14:dataValidation type="list" allowBlank="1" showInputMessage="1" showErrorMessage="1" xr:uid="{00000000-0002-0000-0400-000002000000}">
          <x14:formula1>
            <xm:f>'Question options'!$C$1:$C$4</xm:f>
          </x14:formula1>
          <xm:sqref>J22:S22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C10"/>
  <sheetViews>
    <sheetView workbookViewId="0"/>
  </sheetViews>
  <sheetFormatPr baseColWidth="10" defaultColWidth="8.83203125" defaultRowHeight="15"/>
  <cols>
    <col min="1" max="1" width="100.5" customWidth="1"/>
    <col min="2" max="3" width="34.5" customWidth="1"/>
  </cols>
  <sheetData>
    <row r="1" spans="1:3">
      <c r="A1" t="s">
        <v>50</v>
      </c>
      <c r="B1" t="s">
        <v>50</v>
      </c>
      <c r="C1" t="s">
        <v>50</v>
      </c>
    </row>
    <row r="2" spans="1:3">
      <c r="A2" t="s">
        <v>60</v>
      </c>
      <c r="B2" t="s">
        <v>51</v>
      </c>
      <c r="C2" t="s">
        <v>64</v>
      </c>
    </row>
    <row r="3" spans="1:3">
      <c r="A3" t="s">
        <v>61</v>
      </c>
      <c r="B3" t="s">
        <v>52</v>
      </c>
      <c r="C3" t="s">
        <v>65</v>
      </c>
    </row>
    <row r="4" spans="1:3">
      <c r="A4" t="s">
        <v>71</v>
      </c>
      <c r="B4" t="s">
        <v>53</v>
      </c>
      <c r="C4" t="s">
        <v>66</v>
      </c>
    </row>
    <row r="5" spans="1:3">
      <c r="A5" t="s">
        <v>17</v>
      </c>
      <c r="B5" t="s">
        <v>54</v>
      </c>
    </row>
    <row r="6" spans="1:3">
      <c r="B6" t="s">
        <v>55</v>
      </c>
    </row>
    <row r="7" spans="1:3">
      <c r="B7" t="s">
        <v>56</v>
      </c>
    </row>
    <row r="8" spans="1:3">
      <c r="B8" t="s">
        <v>57</v>
      </c>
    </row>
    <row r="9" spans="1:3">
      <c r="B9" t="s">
        <v>58</v>
      </c>
    </row>
    <row r="10" spans="1:3">
      <c r="B10" t="s">
        <v>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D4"/>
  <sheetViews>
    <sheetView tabSelected="1" workbookViewId="0"/>
  </sheetViews>
  <sheetFormatPr baseColWidth="10" defaultColWidth="9.1640625" defaultRowHeight="15"/>
  <cols>
    <col min="1" max="16384" width="9.1640625" style="36"/>
  </cols>
  <sheetData>
    <row r="4" spans="4:4">
      <c r="D4" s="35" t="s">
        <v>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N19"/>
  <sheetViews>
    <sheetView workbookViewId="0"/>
  </sheetViews>
  <sheetFormatPr baseColWidth="10" defaultColWidth="8.83203125" defaultRowHeight="15"/>
  <sheetData>
    <row r="1" spans="1:14" ht="21" thickBot="1">
      <c r="A1" s="13" t="s">
        <v>26</v>
      </c>
      <c r="B1" s="13" t="s">
        <v>27</v>
      </c>
      <c r="C1" s="13" t="s">
        <v>28</v>
      </c>
      <c r="D1" s="13" t="s">
        <v>29</v>
      </c>
      <c r="E1" s="13" t="s">
        <v>30</v>
      </c>
      <c r="F1" s="13" t="s">
        <v>31</v>
      </c>
      <c r="G1" s="13" t="s">
        <v>32</v>
      </c>
      <c r="H1" s="13" t="s">
        <v>33</v>
      </c>
      <c r="I1" s="13" t="s">
        <v>34</v>
      </c>
      <c r="J1" s="13" t="s">
        <v>35</v>
      </c>
      <c r="K1" s="13" t="s">
        <v>36</v>
      </c>
      <c r="L1" s="13" t="s">
        <v>37</v>
      </c>
      <c r="M1" s="13" t="s">
        <v>38</v>
      </c>
      <c r="N1" s="13" t="s">
        <v>39</v>
      </c>
    </row>
    <row r="2" spans="1:14" ht="16" thickTop="1">
      <c r="A2" t="s">
        <v>75</v>
      </c>
      <c r="B2" t="s">
        <v>76</v>
      </c>
      <c r="C2" t="s">
        <v>73</v>
      </c>
      <c r="D2" t="s">
        <v>74</v>
      </c>
      <c r="E2" s="14">
        <v>44001.577118055553</v>
      </c>
      <c r="F2" s="14">
        <v>44001.69332175926</v>
      </c>
      <c r="H2">
        <v>16.38</v>
      </c>
      <c r="I2" t="s">
        <v>75</v>
      </c>
      <c r="J2" t="s">
        <v>77</v>
      </c>
      <c r="K2">
        <v>0</v>
      </c>
      <c r="L2">
        <v>0</v>
      </c>
      <c r="M2" t="s">
        <v>78</v>
      </c>
      <c r="N2" t="s">
        <v>78</v>
      </c>
    </row>
    <row r="3" spans="1:14">
      <c r="E3" s="14"/>
      <c r="F3" s="14"/>
    </row>
    <row r="4" spans="1:14">
      <c r="E4" s="14"/>
      <c r="F4" s="14"/>
    </row>
    <row r="5" spans="1:14">
      <c r="E5" s="14"/>
      <c r="F5" s="14"/>
    </row>
    <row r="6" spans="1:14">
      <c r="E6" s="14"/>
      <c r="F6" s="14"/>
    </row>
    <row r="7" spans="1:14">
      <c r="E7" s="14"/>
      <c r="F7" s="14"/>
    </row>
    <row r="8" spans="1:14">
      <c r="E8" s="14"/>
      <c r="F8" s="14"/>
    </row>
    <row r="9" spans="1:14">
      <c r="E9" s="14"/>
      <c r="F9" s="14"/>
    </row>
    <row r="10" spans="1:14">
      <c r="E10" s="14"/>
      <c r="F10" s="14"/>
    </row>
    <row r="11" spans="1:14">
      <c r="E11" s="14"/>
      <c r="F11" s="14"/>
    </row>
    <row r="12" spans="1:14">
      <c r="E12" s="14"/>
      <c r="F12" s="14"/>
    </row>
    <row r="13" spans="1:14">
      <c r="E13" s="14"/>
      <c r="F13" s="14"/>
    </row>
    <row r="14" spans="1:14">
      <c r="E14" s="14"/>
      <c r="F14" s="14"/>
    </row>
    <row r="15" spans="1:14">
      <c r="E15" s="14"/>
      <c r="F15" s="14"/>
    </row>
    <row r="16" spans="1:14">
      <c r="E16" s="14"/>
      <c r="F16" s="14"/>
    </row>
    <row r="17" spans="5:6">
      <c r="E17" s="14"/>
      <c r="F17" s="14"/>
    </row>
    <row r="18" spans="5:6">
      <c r="E18" s="14"/>
      <c r="F18" s="14"/>
    </row>
    <row r="19" spans="5:6">
      <c r="E19" s="14"/>
      <c r="F19"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D2:DMQ3000"/>
  <sheetViews>
    <sheetView workbookViewId="0"/>
  </sheetViews>
  <sheetFormatPr baseColWidth="10" defaultColWidth="8.83203125" defaultRowHeight="15"/>
  <sheetData>
    <row r="2" spans="4:5">
      <c r="E2" t="s">
        <v>73</v>
      </c>
    </row>
    <row r="3" spans="4:5">
      <c r="E3" t="s">
        <v>74</v>
      </c>
    </row>
    <row r="4" spans="4:5">
      <c r="D4" t="s">
        <v>26</v>
      </c>
      <c r="E4" t="s">
        <v>75</v>
      </c>
    </row>
    <row r="5" spans="4:5">
      <c r="D5" t="s">
        <v>40</v>
      </c>
      <c r="E5" t="s">
        <v>76</v>
      </c>
    </row>
    <row r="12" spans="4:5">
      <c r="D12" t="s">
        <v>41</v>
      </c>
      <c r="E12">
        <v>1</v>
      </c>
    </row>
    <row r="2013" spans="3044:3059">
      <c r="DMB2013" s="17"/>
      <c r="DMC2013" s="17"/>
      <c r="DMD2013" s="17"/>
      <c r="DME2013" s="17"/>
      <c r="DMF2013" s="17"/>
      <c r="DMG2013" s="17"/>
      <c r="DMH2013" s="17"/>
      <c r="DMI2013" s="17"/>
      <c r="DMJ2013" s="17"/>
      <c r="DMK2013" s="17"/>
      <c r="DML2013" s="17"/>
      <c r="DMM2013" s="17"/>
      <c r="DMN2013" s="17"/>
      <c r="DMO2013" s="17"/>
      <c r="DMP2013" s="17"/>
      <c r="DMQ2013" s="17"/>
    </row>
    <row r="2014" spans="3044:3059">
      <c r="DMB2014" s="17" t="s">
        <v>75</v>
      </c>
      <c r="DMC2014" s="17" t="s">
        <v>76</v>
      </c>
      <c r="DMD2014" s="17" t="s">
        <v>73</v>
      </c>
      <c r="DME2014" s="17" t="s">
        <v>74</v>
      </c>
      <c r="DMF2014" s="18">
        <v>44001.577118055553</v>
      </c>
      <c r="DMG2014" s="18">
        <v>44001.577118055553</v>
      </c>
      <c r="DMH2014" s="17"/>
      <c r="DMI2014" s="17">
        <v>16.38</v>
      </c>
      <c r="DMJ2014" s="17"/>
      <c r="DMK2014" s="17" t="s">
        <v>77</v>
      </c>
      <c r="DML2014" s="17">
        <v>0</v>
      </c>
      <c r="DMM2014" s="17"/>
      <c r="DMN2014" s="17" t="s">
        <v>78</v>
      </c>
      <c r="DMO2014" s="17"/>
      <c r="DMP2014" s="17"/>
      <c r="DMQ2014" s="17"/>
    </row>
    <row r="2015" spans="3044:3059">
      <c r="DMB2015" s="17"/>
      <c r="DMC2015" s="17"/>
      <c r="DMD2015" s="17"/>
      <c r="DME2015" s="17"/>
      <c r="DMF2015" s="18"/>
      <c r="DMG2015" s="18"/>
      <c r="DMH2015" s="17"/>
      <c r="DMI2015" s="17"/>
      <c r="DMJ2015" s="17"/>
      <c r="DMK2015" s="17"/>
      <c r="DML2015" s="17"/>
      <c r="DMM2015" s="17"/>
      <c r="DMN2015" s="17"/>
      <c r="DMO2015" s="17"/>
      <c r="DMP2015" s="17"/>
      <c r="DMQ2015" s="17"/>
    </row>
    <row r="2016" spans="3044:3059">
      <c r="DMB2016" s="17"/>
      <c r="DMC2016" s="17"/>
      <c r="DMD2016" s="17"/>
      <c r="DME2016" s="17"/>
      <c r="DMF2016" s="18"/>
      <c r="DMG2016" s="18"/>
      <c r="DMH2016" s="17"/>
      <c r="DMI2016" s="17"/>
      <c r="DMJ2016" s="17"/>
      <c r="DMK2016" s="17"/>
      <c r="DML2016" s="17"/>
      <c r="DMM2016" s="17"/>
      <c r="DMN2016" s="17"/>
      <c r="DMO2016" s="17"/>
      <c r="DMP2016" s="17"/>
      <c r="DMQ2016" s="17"/>
    </row>
    <row r="2017" spans="3044:3059">
      <c r="DMB2017" s="17"/>
      <c r="DMC2017" s="17"/>
      <c r="DMD2017" s="17"/>
      <c r="DME2017" s="17"/>
      <c r="DMF2017" s="18"/>
      <c r="DMG2017" s="18"/>
      <c r="DMH2017" s="17"/>
      <c r="DMI2017" s="17"/>
      <c r="DMJ2017" s="17"/>
      <c r="DMK2017" s="17"/>
      <c r="DML2017" s="17"/>
      <c r="DMM2017" s="17"/>
      <c r="DMN2017" s="17"/>
      <c r="DMO2017" s="17"/>
      <c r="DMP2017" s="17"/>
      <c r="DMQ2017" s="17"/>
    </row>
    <row r="2018" spans="3044:3059">
      <c r="DMB2018" s="17"/>
      <c r="DMC2018" s="17"/>
      <c r="DMD2018" s="17"/>
      <c r="DME2018" s="17"/>
      <c r="DMF2018" s="18"/>
      <c r="DMG2018" s="18"/>
      <c r="DMH2018" s="17"/>
      <c r="DMI2018" s="17"/>
      <c r="DMJ2018" s="17"/>
      <c r="DMK2018" s="17"/>
      <c r="DML2018" s="17"/>
      <c r="DMM2018" s="17"/>
      <c r="DMN2018" s="17"/>
      <c r="DMO2018" s="17"/>
      <c r="DMP2018" s="17"/>
      <c r="DMQ2018" s="17"/>
    </row>
    <row r="2019" spans="3044:3059">
      <c r="DMB2019" s="17"/>
      <c r="DMC2019" s="17"/>
      <c r="DMD2019" s="17"/>
      <c r="DME2019" s="17"/>
      <c r="DMF2019" s="18"/>
      <c r="DMG2019" s="18"/>
      <c r="DMH2019" s="17"/>
      <c r="DMI2019" s="17"/>
      <c r="DMJ2019" s="17"/>
      <c r="DMK2019" s="17"/>
      <c r="DML2019" s="17"/>
      <c r="DMM2019" s="17"/>
      <c r="DMN2019" s="17"/>
      <c r="DMO2019" s="17"/>
      <c r="DMP2019" s="17"/>
      <c r="DMQ2019" s="17"/>
    </row>
    <row r="2020" spans="3044:3059">
      <c r="DMB2020" s="17"/>
      <c r="DMC2020" s="17"/>
      <c r="DMD2020" s="17"/>
      <c r="DME2020" s="17"/>
      <c r="DMF2020" s="18"/>
      <c r="DMG2020" s="18"/>
      <c r="DMH2020" s="17"/>
      <c r="DMI2020" s="17"/>
      <c r="DMJ2020" s="17"/>
      <c r="DMK2020" s="17"/>
      <c r="DML2020" s="17"/>
      <c r="DMM2020" s="17"/>
      <c r="DMN2020" s="17"/>
      <c r="DMO2020" s="17"/>
      <c r="DMP2020" s="17"/>
      <c r="DMQ2020" s="17"/>
    </row>
    <row r="2021" spans="3044:3059">
      <c r="DMB2021" s="17"/>
      <c r="DMC2021" s="17"/>
      <c r="DMD2021" s="17"/>
      <c r="DME2021" s="17"/>
      <c r="DMF2021" s="18"/>
      <c r="DMG2021" s="18"/>
      <c r="DMH2021" s="17"/>
      <c r="DMI2021" s="17"/>
      <c r="DMJ2021" s="17"/>
      <c r="DMK2021" s="17"/>
      <c r="DML2021" s="17"/>
      <c r="DMM2021" s="17"/>
      <c r="DMN2021" s="17"/>
      <c r="DMO2021" s="17"/>
      <c r="DMP2021" s="17"/>
      <c r="DMQ2021" s="17"/>
    </row>
    <row r="2022" spans="3044:3059">
      <c r="DMB2022" s="17"/>
      <c r="DMC2022" s="17"/>
      <c r="DMD2022" s="17"/>
      <c r="DME2022" s="17"/>
      <c r="DMF2022" s="18"/>
      <c r="DMG2022" s="18"/>
      <c r="DMH2022" s="17"/>
      <c r="DMI2022" s="17"/>
      <c r="DMJ2022" s="17"/>
      <c r="DMK2022" s="17"/>
      <c r="DML2022" s="17"/>
      <c r="DMM2022" s="17"/>
      <c r="DMN2022" s="17"/>
      <c r="DMO2022" s="17"/>
      <c r="DMP2022" s="17"/>
      <c r="DMQ2022" s="17"/>
    </row>
    <row r="2023" spans="3044:3059">
      <c r="DMB2023" s="17"/>
      <c r="DMC2023" s="17"/>
      <c r="DMD2023" s="17"/>
      <c r="DME2023" s="17"/>
      <c r="DMF2023" s="18"/>
      <c r="DMG2023" s="18"/>
      <c r="DMH2023" s="17"/>
      <c r="DMI2023" s="17"/>
      <c r="DMJ2023" s="17"/>
      <c r="DMK2023" s="17"/>
      <c r="DML2023" s="17"/>
      <c r="DMM2023" s="17"/>
      <c r="DMN2023" s="17"/>
      <c r="DMO2023" s="17"/>
      <c r="DMP2023" s="17"/>
      <c r="DMQ2023" s="17"/>
    </row>
    <row r="2024" spans="3044:3059">
      <c r="DMB2024" s="17"/>
      <c r="DMC2024" s="17"/>
      <c r="DMD2024" s="17"/>
      <c r="DME2024" s="17"/>
      <c r="DMF2024" s="18"/>
      <c r="DMG2024" s="18"/>
      <c r="DMH2024" s="17"/>
      <c r="DMI2024" s="17"/>
      <c r="DMJ2024" s="17"/>
      <c r="DMK2024" s="17"/>
      <c r="DML2024" s="17"/>
      <c r="DMM2024" s="17"/>
      <c r="DMN2024" s="17"/>
      <c r="DMO2024" s="17"/>
      <c r="DMP2024" s="17"/>
      <c r="DMQ2024" s="17"/>
    </row>
    <row r="2025" spans="3044:3059">
      <c r="DMB2025" s="17"/>
      <c r="DMC2025" s="17"/>
      <c r="DMD2025" s="17"/>
      <c r="DME2025" s="17"/>
      <c r="DMF2025" s="18"/>
      <c r="DMG2025" s="18"/>
      <c r="DMH2025" s="17"/>
      <c r="DMI2025" s="17"/>
      <c r="DMJ2025" s="17"/>
      <c r="DMK2025" s="17"/>
      <c r="DML2025" s="17"/>
      <c r="DMM2025" s="17"/>
      <c r="DMN2025" s="17"/>
      <c r="DMO2025" s="17"/>
      <c r="DMP2025" s="17"/>
      <c r="DMQ2025" s="17"/>
    </row>
    <row r="2026" spans="3044:3059">
      <c r="DMB2026" s="17"/>
      <c r="DMC2026" s="17"/>
      <c r="DMD2026" s="17"/>
      <c r="DME2026" s="17"/>
      <c r="DMF2026" s="18"/>
      <c r="DMG2026" s="18"/>
      <c r="DMH2026" s="17"/>
      <c r="DMI2026" s="17"/>
      <c r="DMJ2026" s="17"/>
      <c r="DMK2026" s="17"/>
      <c r="DML2026" s="17"/>
      <c r="DMM2026" s="17"/>
      <c r="DMN2026" s="17"/>
      <c r="DMO2026" s="17"/>
      <c r="DMP2026" s="17"/>
      <c r="DMQ2026" s="17"/>
    </row>
    <row r="2027" spans="3044:3059">
      <c r="DMB2027" s="17"/>
      <c r="DMC2027" s="17"/>
      <c r="DMD2027" s="17"/>
      <c r="DME2027" s="17"/>
      <c r="DMF2027" s="18"/>
      <c r="DMG2027" s="18"/>
      <c r="DMH2027" s="17"/>
      <c r="DMI2027" s="17"/>
      <c r="DMJ2027" s="17"/>
      <c r="DMK2027" s="17"/>
      <c r="DML2027" s="17"/>
      <c r="DMM2027" s="17"/>
      <c r="DMN2027" s="17"/>
      <c r="DMO2027" s="17"/>
      <c r="DMP2027" s="17"/>
      <c r="DMQ2027" s="17"/>
    </row>
    <row r="2028" spans="3044:3059">
      <c r="DMB2028" s="17"/>
      <c r="DMC2028" s="17"/>
      <c r="DMD2028" s="17"/>
      <c r="DME2028" s="17"/>
      <c r="DMF2028" s="18"/>
      <c r="DMG2028" s="18"/>
      <c r="DMH2028" s="17"/>
      <c r="DMI2028" s="17"/>
      <c r="DMJ2028" s="17"/>
      <c r="DMK2028" s="17"/>
      <c r="DML2028" s="17"/>
      <c r="DMM2028" s="17"/>
      <c r="DMN2028" s="17"/>
      <c r="DMO2028" s="17"/>
      <c r="DMP2028" s="17"/>
      <c r="DMQ2028" s="17"/>
    </row>
    <row r="2029" spans="3044:3059">
      <c r="DMB2029" s="17"/>
      <c r="DMC2029" s="17"/>
      <c r="DMD2029" s="17"/>
      <c r="DME2029" s="17"/>
      <c r="DMF2029" s="18"/>
      <c r="DMG2029" s="18"/>
      <c r="DMH2029" s="17"/>
      <c r="DMI2029" s="17"/>
      <c r="DMJ2029" s="17"/>
      <c r="DMK2029" s="17"/>
      <c r="DML2029" s="17"/>
      <c r="DMM2029" s="17"/>
      <c r="DMN2029" s="17"/>
      <c r="DMO2029" s="17"/>
      <c r="DMP2029" s="17"/>
      <c r="DMQ2029" s="17"/>
    </row>
    <row r="2030" spans="3044:3059">
      <c r="DMB2030" s="17"/>
      <c r="DMC2030" s="17"/>
      <c r="DMD2030" s="17"/>
      <c r="DME2030" s="17"/>
      <c r="DMF2030" s="18"/>
      <c r="DMG2030" s="18"/>
      <c r="DMH2030" s="17"/>
      <c r="DMI2030" s="17"/>
      <c r="DMJ2030" s="17"/>
      <c r="DMK2030" s="17"/>
      <c r="DML2030" s="17"/>
      <c r="DMM2030" s="17"/>
      <c r="DMN2030" s="17"/>
      <c r="DMO2030" s="17"/>
      <c r="DMP2030" s="17"/>
      <c r="DMQ2030" s="17"/>
    </row>
    <row r="2031" spans="3044:3059">
      <c r="DMB2031" s="17"/>
      <c r="DMC2031" s="17"/>
      <c r="DMD2031" s="17"/>
      <c r="DME2031" s="17"/>
      <c r="DMF2031" s="18"/>
      <c r="DMG2031" s="18"/>
      <c r="DMH2031" s="17"/>
      <c r="DMI2031" s="17"/>
      <c r="DMJ2031" s="17"/>
      <c r="DMK2031" s="17"/>
      <c r="DML2031" s="17"/>
      <c r="DMM2031" s="17"/>
      <c r="DMN2031" s="17"/>
      <c r="DMO2031" s="17"/>
      <c r="DMP2031" s="17"/>
      <c r="DMQ2031" s="17"/>
    </row>
    <row r="2032" spans="3044:3059">
      <c r="DMB2032" s="17"/>
      <c r="DMC2032" s="17"/>
      <c r="DMD2032" s="17"/>
      <c r="DME2032" s="17"/>
      <c r="DMF2032" s="17"/>
      <c r="DMG2032" s="17"/>
      <c r="DMH2032" s="17"/>
      <c r="DMI2032" s="17"/>
      <c r="DMJ2032" s="17"/>
      <c r="DMK2032" s="17"/>
      <c r="DML2032" s="17"/>
      <c r="DMM2032" s="17"/>
      <c r="DMN2032" s="17"/>
      <c r="DMO2032" s="17"/>
      <c r="DMP2032" s="17"/>
      <c r="DMQ2032" s="17"/>
    </row>
    <row r="2033" spans="3044:3059">
      <c r="DMB2033" s="17"/>
      <c r="DMC2033" s="17"/>
      <c r="DMD2033" s="17"/>
      <c r="DME2033" s="17"/>
      <c r="DMF2033" s="17"/>
      <c r="DMG2033" s="17"/>
      <c r="DMH2033" s="17"/>
      <c r="DMI2033" s="17"/>
      <c r="DMJ2033" s="17"/>
      <c r="DMK2033" s="17"/>
      <c r="DML2033" s="17"/>
      <c r="DMM2033" s="17"/>
      <c r="DMN2033" s="17"/>
      <c r="DMO2033" s="17"/>
      <c r="DMP2033" s="17"/>
      <c r="DMQ2033" s="17"/>
    </row>
    <row r="2034" spans="3044:3059">
      <c r="DMB2034" s="17"/>
      <c r="DMC2034" s="17"/>
      <c r="DMD2034" s="17"/>
      <c r="DME2034" s="17"/>
      <c r="DMF2034" s="17"/>
      <c r="DMG2034" s="17"/>
      <c r="DMH2034" s="17"/>
      <c r="DMI2034" s="17"/>
      <c r="DMJ2034" s="17"/>
      <c r="DMK2034" s="17"/>
      <c r="DML2034" s="17"/>
      <c r="DMM2034" s="17"/>
      <c r="DMN2034" s="17"/>
      <c r="DMO2034" s="17"/>
      <c r="DMP2034" s="17"/>
      <c r="DMQ2034" s="17"/>
    </row>
    <row r="2035" spans="3044:3059">
      <c r="DMB2035" s="17"/>
      <c r="DMC2035" s="17"/>
      <c r="DMD2035" s="17"/>
      <c r="DME2035" s="17"/>
      <c r="DMF2035" s="17"/>
      <c r="DMG2035" s="17"/>
      <c r="DMH2035" s="17"/>
      <c r="DMI2035" s="17"/>
      <c r="DMJ2035" s="17"/>
      <c r="DMK2035" s="17"/>
      <c r="DML2035" s="17"/>
      <c r="DMM2035" s="17"/>
      <c r="DMN2035" s="17"/>
      <c r="DMO2035" s="17"/>
      <c r="DMP2035" s="17"/>
      <c r="DMQ2035" s="17"/>
    </row>
    <row r="2036" spans="3044:3059">
      <c r="DMB2036" s="17"/>
      <c r="DMC2036" s="17"/>
      <c r="DMD2036" s="17"/>
      <c r="DME2036" s="17"/>
      <c r="DMF2036" s="17"/>
      <c r="DMG2036" s="17"/>
      <c r="DMH2036" s="17"/>
      <c r="DMI2036" s="17"/>
      <c r="DMJ2036" s="17"/>
      <c r="DMK2036" s="17"/>
      <c r="DML2036" s="17"/>
      <c r="DMM2036" s="17"/>
      <c r="DMN2036" s="17"/>
      <c r="DMO2036" s="17"/>
      <c r="DMP2036" s="17"/>
      <c r="DMQ2036" s="17"/>
    </row>
    <row r="2037" spans="3044:3059">
      <c r="DMB2037" s="17"/>
      <c r="DMC2037" s="17"/>
      <c r="DMD2037" s="17"/>
      <c r="DME2037" s="17"/>
      <c r="DMF2037" s="17"/>
      <c r="DMG2037" s="17"/>
      <c r="DMH2037" s="17"/>
      <c r="DMI2037" s="17"/>
      <c r="DMJ2037" s="17"/>
      <c r="DMK2037" s="17"/>
      <c r="DML2037" s="17"/>
      <c r="DMM2037" s="17"/>
      <c r="DMN2037" s="17"/>
      <c r="DMO2037" s="17"/>
      <c r="DMP2037" s="17"/>
      <c r="DMQ2037" s="17"/>
    </row>
    <row r="2038" spans="3044:3059">
      <c r="DMB2038" s="17"/>
      <c r="DMC2038" s="17"/>
      <c r="DMD2038" s="17"/>
      <c r="DME2038" s="17"/>
      <c r="DMF2038" s="17"/>
      <c r="DMG2038" s="17"/>
      <c r="DMH2038" s="17"/>
      <c r="DMI2038" s="17"/>
      <c r="DMJ2038" s="17"/>
      <c r="DMK2038" s="17"/>
      <c r="DML2038" s="17"/>
      <c r="DMM2038" s="17"/>
      <c r="DMN2038" s="17"/>
      <c r="DMO2038" s="17"/>
      <c r="DMP2038" s="17"/>
      <c r="DMQ2038" s="17"/>
    </row>
    <row r="2039" spans="3044:3059">
      <c r="DMB2039" s="17"/>
      <c r="DMC2039" s="17"/>
      <c r="DMD2039" s="17"/>
      <c r="DME2039" s="17"/>
      <c r="DMF2039" s="17"/>
      <c r="DMG2039" s="17"/>
      <c r="DMH2039" s="17"/>
      <c r="DMI2039" s="17"/>
      <c r="DMJ2039" s="17"/>
      <c r="DMK2039" s="17"/>
      <c r="DML2039" s="17"/>
      <c r="DMM2039" s="17"/>
      <c r="DMN2039" s="17"/>
      <c r="DMO2039" s="17"/>
      <c r="DMP2039" s="17"/>
      <c r="DMQ2039" s="17"/>
    </row>
    <row r="2040" spans="3044:3059">
      <c r="DMB2040" s="17"/>
      <c r="DMC2040" s="17"/>
      <c r="DMD2040" s="17"/>
      <c r="DME2040" s="17"/>
      <c r="DMF2040" s="17"/>
      <c r="DMG2040" s="17"/>
      <c r="DMH2040" s="17"/>
      <c r="DMI2040" s="17"/>
      <c r="DMJ2040" s="17"/>
      <c r="DMK2040" s="17"/>
      <c r="DML2040" s="17"/>
      <c r="DMM2040" s="17"/>
      <c r="DMN2040" s="17"/>
      <c r="DMO2040" s="17"/>
      <c r="DMP2040" s="17"/>
      <c r="DMQ2040" s="17"/>
    </row>
    <row r="2041" spans="3044:3059">
      <c r="DMB2041" s="17"/>
      <c r="DMC2041" s="17"/>
      <c r="DMD2041" s="17"/>
      <c r="DME2041" s="17"/>
      <c r="DMF2041" s="17"/>
      <c r="DMG2041" s="17"/>
      <c r="DMH2041" s="17"/>
      <c r="DMI2041" s="17"/>
      <c r="DMJ2041" s="17"/>
      <c r="DMK2041" s="17"/>
      <c r="DML2041" s="17"/>
      <c r="DMM2041" s="17"/>
      <c r="DMN2041" s="17"/>
      <c r="DMO2041" s="17"/>
      <c r="DMP2041" s="17"/>
      <c r="DMQ2041" s="17"/>
    </row>
    <row r="2042" spans="3044:3059">
      <c r="DMB2042" s="17"/>
      <c r="DMC2042" s="17"/>
      <c r="DMD2042" s="17"/>
      <c r="DME2042" s="17"/>
      <c r="DMF2042" s="17"/>
      <c r="DMG2042" s="17"/>
      <c r="DMH2042" s="17"/>
      <c r="DMI2042" s="17"/>
      <c r="DMJ2042" s="17"/>
      <c r="DMK2042" s="17"/>
      <c r="DML2042" s="17"/>
      <c r="DMM2042" s="17"/>
      <c r="DMN2042" s="17"/>
      <c r="DMO2042" s="17"/>
      <c r="DMP2042" s="17"/>
      <c r="DMQ2042" s="17"/>
    </row>
    <row r="2043" spans="3044:3059">
      <c r="DMB2043" s="17"/>
      <c r="DMC2043" s="17"/>
      <c r="DMD2043" s="17"/>
      <c r="DME2043" s="17"/>
      <c r="DMF2043" s="17"/>
      <c r="DMG2043" s="17"/>
      <c r="DMH2043" s="17"/>
      <c r="DMI2043" s="17"/>
      <c r="DMJ2043" s="17"/>
      <c r="DMK2043" s="17"/>
      <c r="DML2043" s="17"/>
      <c r="DMM2043" s="17"/>
      <c r="DMN2043" s="17"/>
      <c r="DMO2043" s="17"/>
      <c r="DMP2043" s="17"/>
      <c r="DMQ2043" s="17"/>
    </row>
    <row r="2044" spans="3044:3059">
      <c r="DMB2044" s="17"/>
      <c r="DMC2044" s="17"/>
      <c r="DMD2044" s="17"/>
      <c r="DME2044" s="17"/>
      <c r="DMF2044" s="17"/>
      <c r="DMG2044" s="17"/>
      <c r="DMH2044" s="17"/>
      <c r="DMI2044" s="17"/>
      <c r="DMJ2044" s="17"/>
      <c r="DMK2044" s="17"/>
      <c r="DML2044" s="17"/>
      <c r="DMM2044" s="17"/>
      <c r="DMN2044" s="17"/>
      <c r="DMO2044" s="17"/>
      <c r="DMP2044" s="17"/>
      <c r="DMQ2044" s="17"/>
    </row>
    <row r="2045" spans="3044:3059">
      <c r="DMB2045" s="17"/>
      <c r="DMC2045" s="17"/>
      <c r="DMD2045" s="17"/>
      <c r="DME2045" s="17"/>
      <c r="DMF2045" s="17"/>
      <c r="DMG2045" s="17"/>
      <c r="DMH2045" s="17"/>
      <c r="DMI2045" s="17"/>
      <c r="DMJ2045" s="17"/>
      <c r="DMK2045" s="17"/>
      <c r="DML2045" s="17"/>
      <c r="DMM2045" s="17"/>
      <c r="DMN2045" s="17"/>
      <c r="DMO2045" s="17"/>
      <c r="DMP2045" s="17"/>
      <c r="DMQ2045" s="17"/>
    </row>
    <row r="2046" spans="3044:3059">
      <c r="DMB2046" s="17"/>
      <c r="DMC2046" s="17"/>
      <c r="DMD2046" s="17"/>
      <c r="DME2046" s="17"/>
      <c r="DMF2046" s="17"/>
      <c r="DMG2046" s="17"/>
      <c r="DMH2046" s="17"/>
      <c r="DMI2046" s="17"/>
      <c r="DMJ2046" s="17"/>
      <c r="DMK2046" s="17"/>
      <c r="DML2046" s="17"/>
      <c r="DMM2046" s="17"/>
      <c r="DMN2046" s="17"/>
      <c r="DMO2046" s="17"/>
      <c r="DMP2046" s="17"/>
      <c r="DMQ2046" s="17"/>
    </row>
    <row r="2047" spans="3044:3059">
      <c r="DMB2047" s="17"/>
      <c r="DMC2047" s="17"/>
      <c r="DMD2047" s="17"/>
      <c r="DME2047" s="17"/>
      <c r="DMF2047" s="17"/>
      <c r="DMG2047" s="17"/>
      <c r="DMH2047" s="17"/>
      <c r="DMI2047" s="17"/>
      <c r="DMJ2047" s="17"/>
      <c r="DMK2047" s="17"/>
      <c r="DML2047" s="17"/>
      <c r="DMM2047" s="17"/>
      <c r="DMN2047" s="17"/>
      <c r="DMO2047" s="17"/>
      <c r="DMP2047" s="17"/>
      <c r="DMQ2047" s="17"/>
    </row>
    <row r="2048" spans="3044:3059">
      <c r="DMB2048" s="17"/>
      <c r="DMC2048" s="17"/>
      <c r="DMD2048" s="17"/>
      <c r="DME2048" s="17"/>
      <c r="DMF2048" s="17"/>
      <c r="DMG2048" s="17"/>
      <c r="DMH2048" s="17"/>
      <c r="DMI2048" s="17"/>
      <c r="DMJ2048" s="17"/>
      <c r="DMK2048" s="17"/>
      <c r="DML2048" s="17"/>
      <c r="DMM2048" s="17"/>
      <c r="DMN2048" s="17"/>
      <c r="DMO2048" s="17"/>
      <c r="DMP2048" s="17"/>
      <c r="DMQ2048" s="17"/>
    </row>
    <row r="2049" spans="3044:3059">
      <c r="DMB2049" s="17"/>
      <c r="DMC2049" s="17"/>
      <c r="DMD2049" s="17"/>
      <c r="DME2049" s="17"/>
      <c r="DMF2049" s="17"/>
      <c r="DMG2049" s="17"/>
      <c r="DMH2049" s="17"/>
      <c r="DMI2049" s="17"/>
      <c r="DMJ2049" s="17"/>
      <c r="DMK2049" s="17"/>
      <c r="DML2049" s="17"/>
      <c r="DMM2049" s="17"/>
      <c r="DMN2049" s="17"/>
      <c r="DMO2049" s="17"/>
      <c r="DMP2049" s="17"/>
      <c r="DMQ2049" s="17"/>
    </row>
    <row r="2050" spans="3044:3059">
      <c r="DMB2050" s="17"/>
      <c r="DMC2050" s="17"/>
      <c r="DMD2050" s="17"/>
      <c r="DME2050" s="17"/>
      <c r="DMF2050" s="17"/>
      <c r="DMG2050" s="17"/>
      <c r="DMH2050" s="17"/>
      <c r="DMI2050" s="17"/>
      <c r="DMJ2050" s="17"/>
      <c r="DMK2050" s="17"/>
      <c r="DML2050" s="17"/>
      <c r="DMM2050" s="17"/>
      <c r="DMN2050" s="17"/>
      <c r="DMO2050" s="17"/>
      <c r="DMP2050" s="17"/>
      <c r="DMQ2050" s="17"/>
    </row>
    <row r="2051" spans="3044:3059">
      <c r="DMB2051" s="17"/>
      <c r="DMC2051" s="17"/>
      <c r="DMD2051" s="17"/>
      <c r="DME2051" s="17"/>
      <c r="DMF2051" s="17"/>
      <c r="DMG2051" s="17"/>
      <c r="DMH2051" s="17"/>
      <c r="DMI2051" s="17"/>
      <c r="DMJ2051" s="17"/>
      <c r="DMK2051" s="17"/>
      <c r="DML2051" s="17"/>
      <c r="DMM2051" s="17"/>
      <c r="DMN2051" s="17"/>
      <c r="DMO2051" s="17"/>
      <c r="DMP2051" s="17"/>
      <c r="DMQ2051" s="17"/>
    </row>
    <row r="2052" spans="3044:3059">
      <c r="DMB2052" s="17"/>
      <c r="DMC2052" s="17"/>
      <c r="DMD2052" s="17"/>
      <c r="DME2052" s="17"/>
      <c r="DMF2052" s="17"/>
      <c r="DMG2052" s="17"/>
      <c r="DMH2052" s="17"/>
      <c r="DMI2052" s="17"/>
      <c r="DMJ2052" s="17"/>
      <c r="DMK2052" s="17"/>
      <c r="DML2052" s="17"/>
      <c r="DMM2052" s="17"/>
      <c r="DMN2052" s="17"/>
      <c r="DMO2052" s="17"/>
      <c r="DMP2052" s="17"/>
      <c r="DMQ2052" s="17"/>
    </row>
    <row r="2053" spans="3044:3059">
      <c r="DMB2053" s="17"/>
      <c r="DMC2053" s="17"/>
      <c r="DMD2053" s="17"/>
      <c r="DME2053" s="17"/>
      <c r="DMF2053" s="17"/>
      <c r="DMG2053" s="17"/>
      <c r="DMH2053" s="17"/>
      <c r="DMI2053" s="17"/>
      <c r="DMJ2053" s="17"/>
      <c r="DMK2053" s="17"/>
      <c r="DML2053" s="17"/>
      <c r="DMM2053" s="17"/>
      <c r="DMN2053" s="17"/>
      <c r="DMO2053" s="17"/>
      <c r="DMP2053" s="17"/>
      <c r="DMQ2053" s="17"/>
    </row>
    <row r="2054" spans="3044:3059">
      <c r="DMB2054" s="17"/>
      <c r="DMC2054" s="17"/>
      <c r="DMD2054" s="17"/>
      <c r="DME2054" s="17"/>
      <c r="DMF2054" s="17"/>
      <c r="DMG2054" s="17"/>
      <c r="DMH2054" s="17"/>
      <c r="DMI2054" s="17"/>
      <c r="DMJ2054" s="17"/>
      <c r="DMK2054" s="17"/>
      <c r="DML2054" s="17"/>
      <c r="DMM2054" s="17"/>
      <c r="DMN2054" s="17"/>
      <c r="DMO2054" s="17"/>
      <c r="DMP2054" s="17"/>
      <c r="DMQ2054" s="17"/>
    </row>
    <row r="2055" spans="3044:3059">
      <c r="DMB2055" s="17"/>
      <c r="DMC2055" s="17"/>
      <c r="DMD2055" s="17"/>
      <c r="DME2055" s="17"/>
      <c r="DMF2055" s="17"/>
      <c r="DMG2055" s="17"/>
      <c r="DMH2055" s="17"/>
      <c r="DMI2055" s="17"/>
      <c r="DMJ2055" s="17"/>
      <c r="DMK2055" s="17"/>
      <c r="DML2055" s="17"/>
      <c r="DMM2055" s="17"/>
      <c r="DMN2055" s="17"/>
      <c r="DMO2055" s="17"/>
      <c r="DMP2055" s="17"/>
      <c r="DMQ2055" s="17"/>
    </row>
    <row r="2056" spans="3044:3059">
      <c r="DMB2056" s="17"/>
      <c r="DMC2056" s="17"/>
      <c r="DMD2056" s="17"/>
      <c r="DME2056" s="17"/>
      <c r="DMF2056" s="17"/>
      <c r="DMG2056" s="17"/>
      <c r="DMH2056" s="17"/>
      <c r="DMI2056" s="17"/>
      <c r="DMJ2056" s="17"/>
      <c r="DMK2056" s="17"/>
      <c r="DML2056" s="17"/>
      <c r="DMM2056" s="17"/>
      <c r="DMN2056" s="17"/>
      <c r="DMO2056" s="17"/>
      <c r="DMP2056" s="17"/>
      <c r="DMQ2056" s="17"/>
    </row>
    <row r="2057" spans="3044:3059">
      <c r="DMB2057" s="17"/>
      <c r="DMC2057" s="17"/>
      <c r="DMD2057" s="17"/>
      <c r="DME2057" s="17"/>
      <c r="DMF2057" s="17"/>
      <c r="DMG2057" s="17"/>
      <c r="DMH2057" s="17"/>
      <c r="DMI2057" s="17"/>
      <c r="DMJ2057" s="17"/>
      <c r="DMK2057" s="17"/>
      <c r="DML2057" s="17"/>
      <c r="DMM2057" s="17"/>
      <c r="DMN2057" s="17"/>
      <c r="DMO2057" s="17"/>
      <c r="DMP2057" s="17"/>
      <c r="DMQ2057" s="17"/>
    </row>
    <row r="2058" spans="3044:3059">
      <c r="DMB2058" s="17"/>
      <c r="DMC2058" s="17"/>
      <c r="DMD2058" s="17"/>
      <c r="DME2058" s="17"/>
      <c r="DMF2058" s="17"/>
      <c r="DMG2058" s="17"/>
      <c r="DMH2058" s="17"/>
      <c r="DMI2058" s="17"/>
      <c r="DMJ2058" s="17"/>
      <c r="DMK2058" s="17"/>
      <c r="DML2058" s="17"/>
      <c r="DMM2058" s="17"/>
      <c r="DMN2058" s="17"/>
      <c r="DMO2058" s="17"/>
      <c r="DMP2058" s="17"/>
      <c r="DMQ2058" s="17"/>
    </row>
    <row r="2059" spans="3044:3059">
      <c r="DMB2059" s="17"/>
      <c r="DMC2059" s="17"/>
      <c r="DMD2059" s="17"/>
      <c r="DME2059" s="17"/>
      <c r="DMF2059" s="17"/>
      <c r="DMG2059" s="17"/>
      <c r="DMH2059" s="17"/>
      <c r="DMI2059" s="17"/>
      <c r="DMJ2059" s="17"/>
      <c r="DMK2059" s="17"/>
      <c r="DML2059" s="17"/>
      <c r="DMM2059" s="17"/>
      <c r="DMN2059" s="17"/>
      <c r="DMO2059" s="17"/>
      <c r="DMP2059" s="17"/>
      <c r="DMQ2059" s="17"/>
    </row>
    <row r="2060" spans="3044:3059">
      <c r="DMB2060" s="17"/>
      <c r="DMC2060" s="17"/>
      <c r="DMD2060" s="17"/>
      <c r="DME2060" s="17"/>
      <c r="DMF2060" s="17"/>
      <c r="DMG2060" s="17"/>
      <c r="DMH2060" s="17"/>
      <c r="DMI2060" s="17"/>
      <c r="DMJ2060" s="17"/>
      <c r="DMK2060" s="17"/>
      <c r="DML2060" s="17"/>
      <c r="DMM2060" s="17"/>
      <c r="DMN2060" s="17"/>
      <c r="DMO2060" s="17"/>
      <c r="DMP2060" s="17"/>
      <c r="DMQ2060" s="17"/>
    </row>
    <row r="2061" spans="3044:3059">
      <c r="DMB2061" s="17"/>
      <c r="DMC2061" s="17"/>
      <c r="DMD2061" s="17"/>
      <c r="DME2061" s="17"/>
      <c r="DMF2061" s="17"/>
      <c r="DMG2061" s="17"/>
      <c r="DMH2061" s="17"/>
      <c r="DMI2061" s="17"/>
      <c r="DMJ2061" s="17"/>
      <c r="DMK2061" s="17"/>
      <c r="DML2061" s="17"/>
      <c r="DMM2061" s="17"/>
      <c r="DMN2061" s="17"/>
      <c r="DMO2061" s="17"/>
      <c r="DMP2061" s="17"/>
      <c r="DMQ2061" s="17"/>
    </row>
    <row r="2062" spans="3044:3059">
      <c r="DMB2062" s="17"/>
      <c r="DMC2062" s="17"/>
      <c r="DMD2062" s="17"/>
      <c r="DME2062" s="17"/>
      <c r="DMF2062" s="17"/>
      <c r="DMG2062" s="17"/>
      <c r="DMH2062" s="17"/>
      <c r="DMI2062" s="17"/>
      <c r="DMJ2062" s="17"/>
      <c r="DMK2062" s="17"/>
      <c r="DML2062" s="17"/>
      <c r="DMM2062" s="17"/>
      <c r="DMN2062" s="17"/>
      <c r="DMO2062" s="17"/>
      <c r="DMP2062" s="17"/>
      <c r="DMQ2062" s="17"/>
    </row>
    <row r="2063" spans="3044:3059">
      <c r="DMB2063" s="17"/>
      <c r="DMC2063" s="17"/>
      <c r="DMD2063" s="17"/>
      <c r="DME2063" s="17"/>
      <c r="DMF2063" s="17"/>
      <c r="DMG2063" s="17"/>
      <c r="DMH2063" s="17"/>
      <c r="DMI2063" s="17"/>
      <c r="DMJ2063" s="17"/>
      <c r="DMK2063" s="17"/>
      <c r="DML2063" s="17"/>
      <c r="DMM2063" s="17"/>
      <c r="DMN2063" s="17"/>
      <c r="DMO2063" s="17"/>
      <c r="DMP2063" s="17"/>
      <c r="DMQ2063" s="17"/>
    </row>
    <row r="2064" spans="3044:3059">
      <c r="DMB2064" s="17"/>
      <c r="DMC2064" s="17"/>
      <c r="DMD2064" s="17"/>
      <c r="DME2064" s="17"/>
      <c r="DMF2064" s="17"/>
      <c r="DMG2064" s="17"/>
      <c r="DMH2064" s="17"/>
      <c r="DMI2064" s="17"/>
      <c r="DMJ2064" s="17"/>
      <c r="DMK2064" s="17"/>
      <c r="DML2064" s="17"/>
      <c r="DMM2064" s="17"/>
      <c r="DMN2064" s="17"/>
      <c r="DMO2064" s="17"/>
      <c r="DMP2064" s="17"/>
      <c r="DMQ2064" s="17"/>
    </row>
    <row r="2065" spans="3044:3059">
      <c r="DMB2065" s="17"/>
      <c r="DMC2065" s="17"/>
      <c r="DMD2065" s="17"/>
      <c r="DME2065" s="17"/>
      <c r="DMF2065" s="17"/>
      <c r="DMG2065" s="17"/>
      <c r="DMH2065" s="17"/>
      <c r="DMI2065" s="17"/>
      <c r="DMJ2065" s="17"/>
      <c r="DMK2065" s="17"/>
      <c r="DML2065" s="17"/>
      <c r="DMM2065" s="17"/>
      <c r="DMN2065" s="17"/>
      <c r="DMO2065" s="17"/>
      <c r="DMP2065" s="17"/>
      <c r="DMQ2065" s="17"/>
    </row>
    <row r="2066" spans="3044:3059">
      <c r="DMB2066" s="17"/>
      <c r="DMC2066" s="17"/>
      <c r="DMD2066" s="17"/>
      <c r="DME2066" s="17"/>
      <c r="DMF2066" s="17"/>
      <c r="DMG2066" s="17"/>
      <c r="DMH2066" s="17"/>
      <c r="DMI2066" s="17"/>
      <c r="DMJ2066" s="17"/>
      <c r="DMK2066" s="17"/>
      <c r="DML2066" s="17"/>
      <c r="DMM2066" s="17"/>
      <c r="DMN2066" s="17"/>
      <c r="DMO2066" s="17"/>
      <c r="DMP2066" s="17"/>
      <c r="DMQ2066" s="17"/>
    </row>
    <row r="2067" spans="3044:3059">
      <c r="DMB2067" s="17"/>
      <c r="DMC2067" s="17"/>
      <c r="DMD2067" s="17"/>
      <c r="DME2067" s="17"/>
      <c r="DMF2067" s="17"/>
      <c r="DMG2067" s="17"/>
      <c r="DMH2067" s="17"/>
      <c r="DMI2067" s="17"/>
      <c r="DMJ2067" s="17"/>
      <c r="DMK2067" s="17"/>
      <c r="DML2067" s="17"/>
      <c r="DMM2067" s="17"/>
      <c r="DMN2067" s="17"/>
      <c r="DMO2067" s="17"/>
      <c r="DMP2067" s="17"/>
      <c r="DMQ2067" s="17"/>
    </row>
    <row r="2068" spans="3044:3059">
      <c r="DMB2068" s="17"/>
      <c r="DMC2068" s="17"/>
      <c r="DMD2068" s="17"/>
      <c r="DME2068" s="17"/>
      <c r="DMF2068" s="17"/>
      <c r="DMG2068" s="17"/>
      <c r="DMH2068" s="17"/>
      <c r="DMI2068" s="17"/>
      <c r="DMJ2068" s="17"/>
      <c r="DMK2068" s="17"/>
      <c r="DML2068" s="17"/>
      <c r="DMM2068" s="17"/>
      <c r="DMN2068" s="17"/>
      <c r="DMO2068" s="17"/>
      <c r="DMP2068" s="17"/>
      <c r="DMQ2068" s="17"/>
    </row>
    <row r="2069" spans="3044:3059">
      <c r="DMB2069" s="17"/>
      <c r="DMC2069" s="17"/>
      <c r="DMD2069" s="17"/>
      <c r="DME2069" s="17"/>
      <c r="DMF2069" s="17"/>
      <c r="DMG2069" s="17"/>
      <c r="DMH2069" s="17"/>
      <c r="DMI2069" s="17"/>
      <c r="DMJ2069" s="17"/>
      <c r="DMK2069" s="17"/>
      <c r="DML2069" s="17"/>
      <c r="DMM2069" s="17"/>
      <c r="DMN2069" s="17"/>
      <c r="DMO2069" s="17"/>
      <c r="DMP2069" s="17"/>
      <c r="DMQ2069" s="17"/>
    </row>
    <row r="2070" spans="3044:3059">
      <c r="DMB2070" s="17"/>
      <c r="DMC2070" s="17"/>
      <c r="DMD2070" s="17"/>
      <c r="DME2070" s="17"/>
      <c r="DMF2070" s="17"/>
      <c r="DMG2070" s="17"/>
      <c r="DMH2070" s="17"/>
      <c r="DMI2070" s="17"/>
      <c r="DMJ2070" s="17"/>
      <c r="DMK2070" s="17"/>
      <c r="DML2070" s="17"/>
      <c r="DMM2070" s="17"/>
      <c r="DMN2070" s="17"/>
      <c r="DMO2070" s="17"/>
      <c r="DMP2070" s="17"/>
      <c r="DMQ2070" s="17"/>
    </row>
    <row r="2071" spans="3044:3059">
      <c r="DMB2071" s="17"/>
      <c r="DMC2071" s="17"/>
      <c r="DMD2071" s="17"/>
      <c r="DME2071" s="17"/>
      <c r="DMF2071" s="17"/>
      <c r="DMG2071" s="17"/>
      <c r="DMH2071" s="17"/>
      <c r="DMI2071" s="17"/>
      <c r="DMJ2071" s="17"/>
      <c r="DMK2071" s="17"/>
      <c r="DML2071" s="17"/>
      <c r="DMM2071" s="17"/>
      <c r="DMN2071" s="17"/>
      <c r="DMO2071" s="17"/>
      <c r="DMP2071" s="17"/>
      <c r="DMQ2071" s="17"/>
    </row>
    <row r="2072" spans="3044:3059">
      <c r="DMB2072" s="17"/>
      <c r="DMC2072" s="17"/>
      <c r="DMD2072" s="17"/>
      <c r="DME2072" s="17"/>
      <c r="DMF2072" s="17"/>
      <c r="DMG2072" s="17"/>
      <c r="DMH2072" s="17"/>
      <c r="DMI2072" s="17"/>
      <c r="DMJ2072" s="17"/>
      <c r="DMK2072" s="17"/>
      <c r="DML2072" s="17"/>
      <c r="DMM2072" s="17"/>
      <c r="DMN2072" s="17"/>
      <c r="DMO2072" s="17"/>
      <c r="DMP2072" s="17"/>
      <c r="DMQ2072" s="17"/>
    </row>
    <row r="2073" spans="3044:3059">
      <c r="DMB2073" s="17"/>
      <c r="DMC2073" s="17"/>
      <c r="DMD2073" s="17"/>
      <c r="DME2073" s="17"/>
      <c r="DMF2073" s="17"/>
      <c r="DMG2073" s="17"/>
      <c r="DMH2073" s="17"/>
      <c r="DMI2073" s="17"/>
      <c r="DMJ2073" s="17"/>
      <c r="DMK2073" s="17"/>
      <c r="DML2073" s="17"/>
      <c r="DMM2073" s="17"/>
      <c r="DMN2073" s="17"/>
      <c r="DMO2073" s="17"/>
      <c r="DMP2073" s="17"/>
      <c r="DMQ2073" s="17"/>
    </row>
    <row r="2074" spans="3044:3059">
      <c r="DMB2074" s="17"/>
      <c r="DMC2074" s="17"/>
      <c r="DMD2074" s="17"/>
      <c r="DME2074" s="17"/>
      <c r="DMF2074" s="17"/>
      <c r="DMG2074" s="17"/>
      <c r="DMH2074" s="17"/>
      <c r="DMI2074" s="17"/>
      <c r="DMJ2074" s="17"/>
      <c r="DMK2074" s="17"/>
      <c r="DML2074" s="17"/>
      <c r="DMM2074" s="17"/>
      <c r="DMN2074" s="17"/>
      <c r="DMO2074" s="17"/>
      <c r="DMP2074" s="17"/>
      <c r="DMQ2074" s="17"/>
    </row>
    <row r="2075" spans="3044:3059">
      <c r="DMB2075" s="17"/>
      <c r="DMC2075" s="17"/>
      <c r="DMD2075" s="17"/>
      <c r="DME2075" s="17"/>
      <c r="DMF2075" s="17"/>
      <c r="DMG2075" s="17"/>
      <c r="DMH2075" s="17"/>
      <c r="DMI2075" s="17"/>
      <c r="DMJ2075" s="17"/>
      <c r="DMK2075" s="17"/>
      <c r="DML2075" s="17"/>
      <c r="DMM2075" s="17"/>
      <c r="DMN2075" s="17"/>
      <c r="DMO2075" s="17"/>
      <c r="DMP2075" s="17"/>
      <c r="DMQ2075" s="17"/>
    </row>
    <row r="2076" spans="3044:3059">
      <c r="DMB2076" s="17"/>
      <c r="DMC2076" s="17"/>
      <c r="DMD2076" s="17"/>
      <c r="DME2076" s="17"/>
      <c r="DMF2076" s="17"/>
      <c r="DMG2076" s="17"/>
      <c r="DMH2076" s="17"/>
      <c r="DMI2076" s="17"/>
      <c r="DMJ2076" s="17"/>
      <c r="DMK2076" s="17"/>
      <c r="DML2076" s="17"/>
      <c r="DMM2076" s="17"/>
      <c r="DMN2076" s="17"/>
      <c r="DMO2076" s="17"/>
      <c r="DMP2076" s="17"/>
      <c r="DMQ2076" s="17"/>
    </row>
    <row r="2077" spans="3044:3059">
      <c r="DMB2077" s="17"/>
      <c r="DMC2077" s="17"/>
      <c r="DMD2077" s="17"/>
      <c r="DME2077" s="17"/>
      <c r="DMF2077" s="17"/>
      <c r="DMG2077" s="17"/>
      <c r="DMH2077" s="17"/>
      <c r="DMI2077" s="17"/>
      <c r="DMJ2077" s="17"/>
      <c r="DMK2077" s="17"/>
      <c r="DML2077" s="17"/>
      <c r="DMM2077" s="17"/>
      <c r="DMN2077" s="17"/>
      <c r="DMO2077" s="17"/>
      <c r="DMP2077" s="17"/>
      <c r="DMQ2077" s="17"/>
    </row>
    <row r="2078" spans="3044:3059">
      <c r="DMB2078" s="17"/>
      <c r="DMC2078" s="17"/>
      <c r="DMD2078" s="17"/>
      <c r="DME2078" s="17"/>
      <c r="DMF2078" s="17"/>
      <c r="DMG2078" s="17"/>
      <c r="DMH2078" s="17"/>
      <c r="DMI2078" s="17"/>
      <c r="DMJ2078" s="17"/>
      <c r="DMK2078" s="17"/>
      <c r="DML2078" s="17"/>
      <c r="DMM2078" s="17"/>
      <c r="DMN2078" s="17"/>
      <c r="DMO2078" s="17"/>
      <c r="DMP2078" s="17"/>
      <c r="DMQ2078" s="17"/>
    </row>
    <row r="2079" spans="3044:3059">
      <c r="DMB2079" s="17"/>
      <c r="DMC2079" s="17"/>
      <c r="DMD2079" s="17"/>
      <c r="DME2079" s="17"/>
      <c r="DMF2079" s="17"/>
      <c r="DMG2079" s="17"/>
      <c r="DMH2079" s="17"/>
      <c r="DMI2079" s="17"/>
      <c r="DMJ2079" s="17"/>
      <c r="DMK2079" s="17"/>
      <c r="DML2079" s="17"/>
      <c r="DMM2079" s="17"/>
      <c r="DMN2079" s="17"/>
      <c r="DMO2079" s="17"/>
      <c r="DMP2079" s="17"/>
      <c r="DMQ2079" s="17"/>
    </row>
    <row r="2080" spans="3044:3059">
      <c r="DMB2080" s="17"/>
      <c r="DMC2080" s="17"/>
      <c r="DMD2080" s="17"/>
      <c r="DME2080" s="17"/>
      <c r="DMF2080" s="17"/>
      <c r="DMG2080" s="17"/>
      <c r="DMH2080" s="17"/>
      <c r="DMI2080" s="17"/>
      <c r="DMJ2080" s="17"/>
      <c r="DMK2080" s="17"/>
      <c r="DML2080" s="17"/>
      <c r="DMM2080" s="17"/>
      <c r="DMN2080" s="17"/>
      <c r="DMO2080" s="17"/>
      <c r="DMP2080" s="17"/>
      <c r="DMQ2080" s="17"/>
    </row>
    <row r="2081" spans="3044:3059">
      <c r="DMB2081" s="17"/>
      <c r="DMC2081" s="17"/>
      <c r="DMD2081" s="17"/>
      <c r="DME2081" s="17"/>
      <c r="DMF2081" s="17"/>
      <c r="DMG2081" s="17"/>
      <c r="DMH2081" s="17"/>
      <c r="DMI2081" s="17"/>
      <c r="DMJ2081" s="17"/>
      <c r="DMK2081" s="17"/>
      <c r="DML2081" s="17"/>
      <c r="DMM2081" s="17"/>
      <c r="DMN2081" s="17"/>
      <c r="DMO2081" s="17"/>
      <c r="DMP2081" s="17"/>
      <c r="DMQ2081" s="17"/>
    </row>
    <row r="2082" spans="3044:3059">
      <c r="DMB2082" s="17"/>
      <c r="DMC2082" s="17"/>
      <c r="DMD2082" s="17"/>
      <c r="DME2082" s="17"/>
      <c r="DMF2082" s="17"/>
      <c r="DMG2082" s="17"/>
      <c r="DMH2082" s="17"/>
      <c r="DMI2082" s="17"/>
      <c r="DMJ2082" s="17"/>
      <c r="DMK2082" s="17"/>
      <c r="DML2082" s="17"/>
      <c r="DMM2082" s="17"/>
      <c r="DMN2082" s="17"/>
      <c r="DMO2082" s="17"/>
      <c r="DMP2082" s="17"/>
      <c r="DMQ2082" s="17"/>
    </row>
    <row r="2083" spans="3044:3059">
      <c r="DMB2083" s="17"/>
      <c r="DMC2083" s="17"/>
      <c r="DMD2083" s="17"/>
      <c r="DME2083" s="17"/>
      <c r="DMF2083" s="17"/>
      <c r="DMG2083" s="17"/>
      <c r="DMH2083" s="17"/>
      <c r="DMI2083" s="17"/>
      <c r="DMJ2083" s="17"/>
      <c r="DMK2083" s="17"/>
      <c r="DML2083" s="17"/>
      <c r="DMM2083" s="17"/>
      <c r="DMN2083" s="17"/>
      <c r="DMO2083" s="17"/>
      <c r="DMP2083" s="17"/>
      <c r="DMQ2083" s="17"/>
    </row>
    <row r="2084" spans="3044:3059">
      <c r="DMB2084" s="17"/>
      <c r="DMC2084" s="17"/>
      <c r="DMD2084" s="17"/>
      <c r="DME2084" s="17"/>
      <c r="DMF2084" s="17"/>
      <c r="DMG2084" s="17"/>
      <c r="DMH2084" s="17"/>
      <c r="DMI2084" s="17"/>
      <c r="DMJ2084" s="17"/>
      <c r="DMK2084" s="17"/>
      <c r="DML2084" s="17"/>
      <c r="DMM2084" s="17"/>
      <c r="DMN2084" s="17"/>
      <c r="DMO2084" s="17"/>
      <c r="DMP2084" s="17"/>
      <c r="DMQ2084" s="17"/>
    </row>
    <row r="2085" spans="3044:3059">
      <c r="DMB2085" s="17"/>
      <c r="DMC2085" s="17"/>
      <c r="DMD2085" s="17"/>
      <c r="DME2085" s="17"/>
      <c r="DMF2085" s="17"/>
      <c r="DMG2085" s="17"/>
      <c r="DMH2085" s="17"/>
      <c r="DMI2085" s="17"/>
      <c r="DMJ2085" s="17"/>
      <c r="DMK2085" s="17"/>
      <c r="DML2085" s="17"/>
      <c r="DMM2085" s="17"/>
      <c r="DMN2085" s="17"/>
      <c r="DMO2085" s="17"/>
      <c r="DMP2085" s="17"/>
      <c r="DMQ2085" s="17"/>
    </row>
    <row r="2086" spans="3044:3059">
      <c r="DMB2086" s="17"/>
      <c r="DMC2086" s="17"/>
      <c r="DMD2086" s="17"/>
      <c r="DME2086" s="17"/>
      <c r="DMF2086" s="17"/>
      <c r="DMG2086" s="17"/>
      <c r="DMH2086" s="17"/>
      <c r="DMI2086" s="17"/>
      <c r="DMJ2086" s="17"/>
      <c r="DMK2086" s="17"/>
      <c r="DML2086" s="17"/>
      <c r="DMM2086" s="17"/>
      <c r="DMN2086" s="17"/>
      <c r="DMO2086" s="17"/>
      <c r="DMP2086" s="17"/>
      <c r="DMQ2086" s="17"/>
    </row>
    <row r="2087" spans="3044:3059">
      <c r="DMB2087" s="17"/>
      <c r="DMC2087" s="17"/>
      <c r="DMD2087" s="17"/>
      <c r="DME2087" s="17"/>
      <c r="DMF2087" s="17"/>
      <c r="DMG2087" s="17"/>
      <c r="DMH2087" s="17"/>
      <c r="DMI2087" s="17"/>
      <c r="DMJ2087" s="17"/>
      <c r="DMK2087" s="17"/>
      <c r="DML2087" s="17"/>
      <c r="DMM2087" s="17"/>
      <c r="DMN2087" s="17"/>
      <c r="DMO2087" s="17"/>
      <c r="DMP2087" s="17"/>
      <c r="DMQ2087" s="17"/>
    </row>
    <row r="2088" spans="3044:3059">
      <c r="DMB2088" s="17"/>
      <c r="DMC2088" s="17"/>
      <c r="DMD2088" s="17"/>
      <c r="DME2088" s="17"/>
      <c r="DMF2088" s="17"/>
      <c r="DMG2088" s="17"/>
      <c r="DMH2088" s="17"/>
      <c r="DMI2088" s="17"/>
      <c r="DMJ2088" s="17"/>
      <c r="DMK2088" s="17"/>
      <c r="DML2088" s="17"/>
      <c r="DMM2088" s="17"/>
      <c r="DMN2088" s="17"/>
      <c r="DMO2088" s="17"/>
      <c r="DMP2088" s="17"/>
      <c r="DMQ2088" s="17"/>
    </row>
    <row r="2089" spans="3044:3059">
      <c r="DMB2089" s="17"/>
      <c r="DMC2089" s="17"/>
      <c r="DMD2089" s="17"/>
      <c r="DME2089" s="17"/>
      <c r="DMF2089" s="17"/>
      <c r="DMG2089" s="17"/>
      <c r="DMH2089" s="17"/>
      <c r="DMI2089" s="17"/>
      <c r="DMJ2089" s="17"/>
      <c r="DMK2089" s="17"/>
      <c r="DML2089" s="17"/>
      <c r="DMM2089" s="17"/>
      <c r="DMN2089" s="17"/>
      <c r="DMO2089" s="17"/>
      <c r="DMP2089" s="17"/>
      <c r="DMQ2089" s="17"/>
    </row>
    <row r="2090" spans="3044:3059">
      <c r="DMB2090" s="17"/>
      <c r="DMC2090" s="17"/>
      <c r="DMD2090" s="17"/>
      <c r="DME2090" s="17"/>
      <c r="DMF2090" s="17"/>
      <c r="DMG2090" s="17"/>
      <c r="DMH2090" s="17"/>
      <c r="DMI2090" s="17"/>
      <c r="DMJ2090" s="17"/>
      <c r="DMK2090" s="17"/>
      <c r="DML2090" s="17"/>
      <c r="DMM2090" s="17"/>
      <c r="DMN2090" s="17"/>
      <c r="DMO2090" s="17"/>
      <c r="DMP2090" s="17"/>
      <c r="DMQ2090" s="17"/>
    </row>
    <row r="2091" spans="3044:3059">
      <c r="DMB2091" s="17"/>
      <c r="DMC2091" s="17"/>
      <c r="DMD2091" s="17"/>
      <c r="DME2091" s="17"/>
      <c r="DMF2091" s="17"/>
      <c r="DMG2091" s="17"/>
      <c r="DMH2091" s="17"/>
      <c r="DMI2091" s="17"/>
      <c r="DMJ2091" s="17"/>
      <c r="DMK2091" s="17"/>
      <c r="DML2091" s="17"/>
      <c r="DMM2091" s="17"/>
      <c r="DMN2091" s="17"/>
      <c r="DMO2091" s="17"/>
      <c r="DMP2091" s="17"/>
      <c r="DMQ2091" s="17"/>
    </row>
    <row r="2092" spans="3044:3059">
      <c r="DMB2092" s="17"/>
      <c r="DMC2092" s="17"/>
      <c r="DMD2092" s="17"/>
      <c r="DME2092" s="17"/>
      <c r="DMF2092" s="17"/>
      <c r="DMG2092" s="17"/>
      <c r="DMH2092" s="17"/>
      <c r="DMI2092" s="17"/>
      <c r="DMJ2092" s="17"/>
      <c r="DMK2092" s="17"/>
      <c r="DML2092" s="17"/>
      <c r="DMM2092" s="17"/>
      <c r="DMN2092" s="17"/>
      <c r="DMO2092" s="17"/>
      <c r="DMP2092" s="17"/>
      <c r="DMQ2092" s="17"/>
    </row>
    <row r="2093" spans="3044:3059">
      <c r="DMB2093" s="17"/>
      <c r="DMC2093" s="17"/>
      <c r="DMD2093" s="17"/>
      <c r="DME2093" s="17"/>
      <c r="DMF2093" s="17"/>
      <c r="DMG2093" s="17"/>
      <c r="DMH2093" s="17"/>
      <c r="DMI2093" s="17"/>
      <c r="DMJ2093" s="17"/>
      <c r="DMK2093" s="17"/>
      <c r="DML2093" s="17"/>
      <c r="DMM2093" s="17"/>
      <c r="DMN2093" s="17"/>
      <c r="DMO2093" s="17"/>
      <c r="DMP2093" s="17"/>
      <c r="DMQ2093" s="17"/>
    </row>
    <row r="2094" spans="3044:3059">
      <c r="DMB2094" s="17"/>
      <c r="DMC2094" s="17"/>
      <c r="DMD2094" s="17"/>
      <c r="DME2094" s="17"/>
      <c r="DMF2094" s="17"/>
      <c r="DMG2094" s="17"/>
      <c r="DMH2094" s="17"/>
      <c r="DMI2094" s="17"/>
      <c r="DMJ2094" s="17"/>
      <c r="DMK2094" s="17"/>
      <c r="DML2094" s="17"/>
      <c r="DMM2094" s="17"/>
      <c r="DMN2094" s="17"/>
      <c r="DMO2094" s="17"/>
      <c r="DMP2094" s="17"/>
      <c r="DMQ2094" s="17"/>
    </row>
    <row r="2095" spans="3044:3059">
      <c r="DMB2095" s="17"/>
      <c r="DMC2095" s="17"/>
      <c r="DMD2095" s="17"/>
      <c r="DME2095" s="17"/>
      <c r="DMF2095" s="17"/>
      <c r="DMG2095" s="17"/>
      <c r="DMH2095" s="17"/>
      <c r="DMI2095" s="17"/>
      <c r="DMJ2095" s="17"/>
      <c r="DMK2095" s="17"/>
      <c r="DML2095" s="17"/>
      <c r="DMM2095" s="17"/>
      <c r="DMN2095" s="17"/>
      <c r="DMO2095" s="17"/>
      <c r="DMP2095" s="17"/>
      <c r="DMQ2095" s="17"/>
    </row>
    <row r="2096" spans="3044:3059">
      <c r="DMB2096" s="17"/>
      <c r="DMC2096" s="17"/>
      <c r="DMD2096" s="17"/>
      <c r="DME2096" s="17"/>
      <c r="DMF2096" s="17"/>
      <c r="DMG2096" s="17"/>
      <c r="DMH2096" s="17"/>
      <c r="DMI2096" s="17"/>
      <c r="DMJ2096" s="17"/>
      <c r="DMK2096" s="17"/>
      <c r="DML2096" s="17"/>
      <c r="DMM2096" s="17"/>
      <c r="DMN2096" s="17"/>
      <c r="DMO2096" s="17"/>
      <c r="DMP2096" s="17"/>
      <c r="DMQ2096" s="17"/>
    </row>
    <row r="2097" spans="3044:3059">
      <c r="DMB2097" s="17"/>
      <c r="DMC2097" s="17"/>
      <c r="DMD2097" s="17"/>
      <c r="DME2097" s="17"/>
      <c r="DMF2097" s="17"/>
      <c r="DMG2097" s="17"/>
      <c r="DMH2097" s="17"/>
      <c r="DMI2097" s="17"/>
      <c r="DMJ2097" s="17"/>
      <c r="DMK2097" s="17"/>
      <c r="DML2097" s="17"/>
      <c r="DMM2097" s="17"/>
      <c r="DMN2097" s="17"/>
      <c r="DMO2097" s="17"/>
      <c r="DMP2097" s="17"/>
      <c r="DMQ2097" s="17"/>
    </row>
    <row r="2098" spans="3044:3059">
      <c r="DMB2098" s="17"/>
      <c r="DMC2098" s="17"/>
      <c r="DMD2098" s="17"/>
      <c r="DME2098" s="17"/>
      <c r="DMF2098" s="17"/>
      <c r="DMG2098" s="17"/>
      <c r="DMH2098" s="17"/>
      <c r="DMI2098" s="17"/>
      <c r="DMJ2098" s="17"/>
      <c r="DMK2098" s="17"/>
      <c r="DML2098" s="17"/>
      <c r="DMM2098" s="17"/>
      <c r="DMN2098" s="17"/>
      <c r="DMO2098" s="17"/>
      <c r="DMP2098" s="17"/>
      <c r="DMQ2098" s="17"/>
    </row>
    <row r="2099" spans="3044:3059">
      <c r="DMB2099" s="17"/>
      <c r="DMC2099" s="17"/>
      <c r="DMD2099" s="17"/>
      <c r="DME2099" s="17"/>
      <c r="DMF2099" s="17"/>
      <c r="DMG2099" s="17"/>
      <c r="DMH2099" s="17"/>
      <c r="DMI2099" s="17"/>
      <c r="DMJ2099" s="17"/>
      <c r="DMK2099" s="17"/>
      <c r="DML2099" s="17"/>
      <c r="DMM2099" s="17"/>
      <c r="DMN2099" s="17"/>
      <c r="DMO2099" s="17"/>
      <c r="DMP2099" s="17"/>
      <c r="DMQ2099" s="17"/>
    </row>
    <row r="2100" spans="3044:3059">
      <c r="DMB2100" s="17"/>
      <c r="DMC2100" s="17"/>
      <c r="DMD2100" s="17"/>
      <c r="DME2100" s="17"/>
      <c r="DMF2100" s="17"/>
      <c r="DMG2100" s="17"/>
      <c r="DMH2100" s="17"/>
      <c r="DMI2100" s="17"/>
      <c r="DMJ2100" s="17"/>
      <c r="DMK2100" s="17"/>
      <c r="DML2100" s="17"/>
      <c r="DMM2100" s="17"/>
      <c r="DMN2100" s="17"/>
      <c r="DMO2100" s="17"/>
      <c r="DMP2100" s="17"/>
      <c r="DMQ2100" s="17"/>
    </row>
    <row r="2101" spans="3044:3059">
      <c r="DMB2101" s="17"/>
      <c r="DMC2101" s="17"/>
      <c r="DMD2101" s="17"/>
      <c r="DME2101" s="17"/>
      <c r="DMF2101" s="17"/>
      <c r="DMG2101" s="17"/>
      <c r="DMH2101" s="17"/>
      <c r="DMI2101" s="17"/>
      <c r="DMJ2101" s="17"/>
      <c r="DMK2101" s="17"/>
      <c r="DML2101" s="17"/>
      <c r="DMM2101" s="17"/>
      <c r="DMN2101" s="17"/>
      <c r="DMO2101" s="17"/>
      <c r="DMP2101" s="17"/>
      <c r="DMQ2101" s="17"/>
    </row>
    <row r="2102" spans="3044:3059">
      <c r="DMB2102" s="17"/>
      <c r="DMC2102" s="17"/>
      <c r="DMD2102" s="17"/>
      <c r="DME2102" s="17"/>
      <c r="DMF2102" s="17"/>
      <c r="DMG2102" s="17"/>
      <c r="DMH2102" s="17"/>
      <c r="DMI2102" s="17"/>
      <c r="DMJ2102" s="17"/>
      <c r="DMK2102" s="17"/>
      <c r="DML2102" s="17"/>
      <c r="DMM2102" s="17"/>
      <c r="DMN2102" s="17"/>
      <c r="DMO2102" s="17"/>
      <c r="DMP2102" s="17"/>
      <c r="DMQ2102" s="17"/>
    </row>
    <row r="2103" spans="3044:3059">
      <c r="DMB2103" s="17"/>
      <c r="DMC2103" s="17"/>
      <c r="DMD2103" s="17"/>
      <c r="DME2103" s="17"/>
      <c r="DMF2103" s="17"/>
      <c r="DMG2103" s="17"/>
      <c r="DMH2103" s="17"/>
      <c r="DMI2103" s="17"/>
      <c r="DMJ2103" s="17"/>
      <c r="DMK2103" s="17"/>
      <c r="DML2103" s="17"/>
      <c r="DMM2103" s="17"/>
      <c r="DMN2103" s="17"/>
      <c r="DMO2103" s="17"/>
      <c r="DMP2103" s="17"/>
      <c r="DMQ2103" s="17"/>
    </row>
    <row r="2104" spans="3044:3059">
      <c r="DMB2104" s="17"/>
      <c r="DMC2104" s="17"/>
      <c r="DMD2104" s="17"/>
      <c r="DME2104" s="17"/>
      <c r="DMF2104" s="17"/>
      <c r="DMG2104" s="17"/>
      <c r="DMH2104" s="17"/>
      <c r="DMI2104" s="17"/>
      <c r="DMJ2104" s="17"/>
      <c r="DMK2104" s="17"/>
      <c r="DML2104" s="17"/>
      <c r="DMM2104" s="17"/>
      <c r="DMN2104" s="17"/>
      <c r="DMO2104" s="17"/>
      <c r="DMP2104" s="17"/>
      <c r="DMQ2104" s="17"/>
    </row>
    <row r="2105" spans="3044:3059">
      <c r="DMB2105" s="17"/>
      <c r="DMC2105" s="17"/>
      <c r="DMD2105" s="17"/>
      <c r="DME2105" s="17"/>
      <c r="DMF2105" s="17"/>
      <c r="DMG2105" s="17"/>
      <c r="DMH2105" s="17"/>
      <c r="DMI2105" s="17"/>
      <c r="DMJ2105" s="17"/>
      <c r="DMK2105" s="17"/>
      <c r="DML2105" s="17"/>
      <c r="DMM2105" s="17"/>
      <c r="DMN2105" s="17"/>
      <c r="DMO2105" s="17"/>
      <c r="DMP2105" s="17"/>
      <c r="DMQ2105" s="17"/>
    </row>
    <row r="2106" spans="3044:3059">
      <c r="DMB2106" s="17"/>
      <c r="DMC2106" s="17"/>
      <c r="DMD2106" s="17"/>
      <c r="DME2106" s="17"/>
      <c r="DMF2106" s="17"/>
      <c r="DMG2106" s="17"/>
      <c r="DMH2106" s="17"/>
      <c r="DMI2106" s="17"/>
      <c r="DMJ2106" s="17"/>
      <c r="DMK2106" s="17"/>
      <c r="DML2106" s="17"/>
      <c r="DMM2106" s="17"/>
      <c r="DMN2106" s="17"/>
      <c r="DMO2106" s="17"/>
      <c r="DMP2106" s="17"/>
      <c r="DMQ2106" s="17"/>
    </row>
    <row r="2107" spans="3044:3059">
      <c r="DMB2107" s="17"/>
      <c r="DMC2107" s="17"/>
      <c r="DMD2107" s="17"/>
      <c r="DME2107" s="17"/>
      <c r="DMF2107" s="17"/>
      <c r="DMG2107" s="17"/>
      <c r="DMH2107" s="17"/>
      <c r="DMI2107" s="17"/>
      <c r="DMJ2107" s="17"/>
      <c r="DMK2107" s="17"/>
      <c r="DML2107" s="17"/>
      <c r="DMM2107" s="17"/>
      <c r="DMN2107" s="17"/>
      <c r="DMO2107" s="17"/>
      <c r="DMP2107" s="17"/>
      <c r="DMQ2107" s="17"/>
    </row>
    <row r="2108" spans="3044:3059">
      <c r="DMB2108" s="17"/>
      <c r="DMC2108" s="17"/>
      <c r="DMD2108" s="17"/>
      <c r="DME2108" s="17"/>
      <c r="DMF2108" s="17"/>
      <c r="DMG2108" s="17"/>
      <c r="DMH2108" s="17"/>
      <c r="DMI2108" s="17"/>
      <c r="DMJ2108" s="17"/>
      <c r="DMK2108" s="17"/>
      <c r="DML2108" s="17"/>
      <c r="DMM2108" s="17"/>
      <c r="DMN2108" s="17"/>
      <c r="DMO2108" s="17"/>
      <c r="DMP2108" s="17"/>
      <c r="DMQ2108" s="17"/>
    </row>
    <row r="2109" spans="3044:3059">
      <c r="DMB2109" s="17"/>
      <c r="DMC2109" s="17"/>
      <c r="DMD2109" s="17"/>
      <c r="DME2109" s="17"/>
      <c r="DMF2109" s="17"/>
      <c r="DMG2109" s="17"/>
      <c r="DMH2109" s="17"/>
      <c r="DMI2109" s="17"/>
      <c r="DMJ2109" s="17"/>
      <c r="DMK2109" s="17"/>
      <c r="DML2109" s="17"/>
      <c r="DMM2109" s="17"/>
      <c r="DMN2109" s="17"/>
      <c r="DMO2109" s="17"/>
      <c r="DMP2109" s="17"/>
      <c r="DMQ2109" s="17"/>
    </row>
    <row r="2110" spans="3044:3059">
      <c r="DMB2110" s="17"/>
      <c r="DMC2110" s="17"/>
      <c r="DMD2110" s="17"/>
      <c r="DME2110" s="17"/>
      <c r="DMF2110" s="17"/>
      <c r="DMG2110" s="17"/>
      <c r="DMH2110" s="17"/>
      <c r="DMI2110" s="17"/>
      <c r="DMJ2110" s="17"/>
      <c r="DMK2110" s="17"/>
      <c r="DML2110" s="17"/>
      <c r="DMM2110" s="17"/>
      <c r="DMN2110" s="17"/>
      <c r="DMO2110" s="17"/>
      <c r="DMP2110" s="17"/>
      <c r="DMQ2110" s="17"/>
    </row>
    <row r="2111" spans="3044:3059">
      <c r="DMB2111" s="17"/>
      <c r="DMC2111" s="17"/>
      <c r="DMD2111" s="17"/>
      <c r="DME2111" s="17"/>
      <c r="DMF2111" s="17"/>
      <c r="DMG2111" s="17"/>
      <c r="DMH2111" s="17"/>
      <c r="DMI2111" s="17"/>
      <c r="DMJ2111" s="17"/>
      <c r="DMK2111" s="17"/>
      <c r="DML2111" s="17"/>
      <c r="DMM2111" s="17"/>
      <c r="DMN2111" s="17"/>
      <c r="DMO2111" s="17"/>
      <c r="DMP2111" s="17"/>
      <c r="DMQ2111" s="17"/>
    </row>
    <row r="2112" spans="3044:3059">
      <c r="DMB2112" s="17"/>
      <c r="DMC2112" s="17"/>
      <c r="DMD2112" s="17"/>
      <c r="DME2112" s="17"/>
      <c r="DMF2112" s="17"/>
      <c r="DMG2112" s="17"/>
      <c r="DMH2112" s="17"/>
      <c r="DMI2112" s="17"/>
      <c r="DMJ2112" s="17"/>
      <c r="DMK2112" s="17"/>
      <c r="DML2112" s="17"/>
      <c r="DMM2112" s="17"/>
      <c r="DMN2112" s="17"/>
      <c r="DMO2112" s="17"/>
      <c r="DMP2112" s="17"/>
      <c r="DMQ2112" s="17"/>
    </row>
    <row r="2113" spans="3044:3059">
      <c r="DMB2113" s="17"/>
      <c r="DMC2113" s="17"/>
      <c r="DMD2113" s="17"/>
      <c r="DME2113" s="17"/>
      <c r="DMF2113" s="17"/>
      <c r="DMG2113" s="17"/>
      <c r="DMH2113" s="17"/>
      <c r="DMI2113" s="17"/>
      <c r="DMJ2113" s="17"/>
      <c r="DMK2113" s="17"/>
      <c r="DML2113" s="17"/>
      <c r="DMM2113" s="17"/>
      <c r="DMN2113" s="17"/>
      <c r="DMO2113" s="17"/>
      <c r="DMP2113" s="17"/>
      <c r="DMQ2113" s="17"/>
    </row>
    <row r="2114" spans="3044:3059">
      <c r="DMB2114" s="17"/>
      <c r="DMC2114" s="17"/>
      <c r="DMD2114" s="17"/>
      <c r="DME2114" s="17"/>
      <c r="DMF2114" s="17"/>
      <c r="DMG2114" s="17"/>
      <c r="DMH2114" s="17"/>
      <c r="DMI2114" s="17"/>
      <c r="DMJ2114" s="17"/>
      <c r="DMK2114" s="17"/>
      <c r="DML2114" s="17"/>
      <c r="DMM2114" s="17"/>
      <c r="DMN2114" s="17"/>
      <c r="DMO2114" s="17"/>
      <c r="DMP2114" s="17"/>
      <c r="DMQ2114" s="17"/>
    </row>
    <row r="2115" spans="3044:3059">
      <c r="DMB2115" s="17"/>
      <c r="DMC2115" s="17"/>
      <c r="DMD2115" s="17"/>
      <c r="DME2115" s="17"/>
      <c r="DMF2115" s="17"/>
      <c r="DMG2115" s="17"/>
      <c r="DMH2115" s="17"/>
      <c r="DMI2115" s="17"/>
      <c r="DMJ2115" s="17"/>
      <c r="DMK2115" s="17"/>
      <c r="DML2115" s="17"/>
      <c r="DMM2115" s="17"/>
      <c r="DMN2115" s="17"/>
      <c r="DMO2115" s="17"/>
      <c r="DMP2115" s="17"/>
      <c r="DMQ2115" s="17"/>
    </row>
    <row r="2116" spans="3044:3059">
      <c r="DMB2116" s="17"/>
      <c r="DMC2116" s="17"/>
      <c r="DMD2116" s="17"/>
      <c r="DME2116" s="17"/>
      <c r="DMF2116" s="17"/>
      <c r="DMG2116" s="17"/>
      <c r="DMH2116" s="17"/>
      <c r="DMI2116" s="17"/>
      <c r="DMJ2116" s="17"/>
      <c r="DMK2116" s="17"/>
      <c r="DML2116" s="17"/>
      <c r="DMM2116" s="17"/>
      <c r="DMN2116" s="17"/>
      <c r="DMO2116" s="17"/>
      <c r="DMP2116" s="17"/>
      <c r="DMQ2116" s="17"/>
    </row>
    <row r="2117" spans="3044:3059">
      <c r="DMB2117" s="17"/>
      <c r="DMC2117" s="17"/>
      <c r="DMD2117" s="17"/>
      <c r="DME2117" s="17"/>
      <c r="DMF2117" s="17"/>
      <c r="DMG2117" s="17"/>
      <c r="DMH2117" s="17"/>
      <c r="DMI2117" s="17"/>
      <c r="DMJ2117" s="17"/>
      <c r="DMK2117" s="17"/>
      <c r="DML2117" s="17"/>
      <c r="DMM2117" s="17"/>
      <c r="DMN2117" s="17"/>
      <c r="DMO2117" s="17"/>
      <c r="DMP2117" s="17"/>
      <c r="DMQ2117" s="17"/>
    </row>
    <row r="2118" spans="3044:3059">
      <c r="DMB2118" s="17"/>
      <c r="DMC2118" s="17"/>
      <c r="DMD2118" s="17"/>
      <c r="DME2118" s="17"/>
      <c r="DMF2118" s="17"/>
      <c r="DMG2118" s="17"/>
      <c r="DMH2118" s="17"/>
      <c r="DMI2118" s="17"/>
      <c r="DMJ2118" s="17"/>
      <c r="DMK2118" s="17"/>
      <c r="DML2118" s="17"/>
      <c r="DMM2118" s="17"/>
      <c r="DMN2118" s="17"/>
      <c r="DMO2118" s="17"/>
      <c r="DMP2118" s="17"/>
      <c r="DMQ2118" s="17"/>
    </row>
    <row r="2119" spans="3044:3059">
      <c r="DMB2119" s="17"/>
      <c r="DMC2119" s="17"/>
      <c r="DMD2119" s="17"/>
      <c r="DME2119" s="17"/>
      <c r="DMF2119" s="17"/>
      <c r="DMG2119" s="17"/>
      <c r="DMH2119" s="17"/>
      <c r="DMI2119" s="17"/>
      <c r="DMJ2119" s="17"/>
      <c r="DMK2119" s="17"/>
      <c r="DML2119" s="17"/>
      <c r="DMM2119" s="17"/>
      <c r="DMN2119" s="17"/>
      <c r="DMO2119" s="17"/>
      <c r="DMP2119" s="17"/>
      <c r="DMQ2119" s="17"/>
    </row>
    <row r="2120" spans="3044:3059">
      <c r="DMB2120" s="17"/>
      <c r="DMC2120" s="17"/>
      <c r="DMD2120" s="17"/>
      <c r="DME2120" s="17"/>
      <c r="DMF2120" s="17"/>
      <c r="DMG2120" s="17"/>
      <c r="DMH2120" s="17"/>
      <c r="DMI2120" s="17"/>
      <c r="DMJ2120" s="17"/>
      <c r="DMK2120" s="17"/>
      <c r="DML2120" s="17"/>
      <c r="DMM2120" s="17"/>
      <c r="DMN2120" s="17"/>
      <c r="DMO2120" s="17"/>
      <c r="DMP2120" s="17"/>
      <c r="DMQ2120" s="17"/>
    </row>
    <row r="2121" spans="3044:3059">
      <c r="DMB2121" s="17"/>
      <c r="DMC2121" s="17"/>
      <c r="DMD2121" s="17"/>
      <c r="DME2121" s="17"/>
      <c r="DMF2121" s="17"/>
      <c r="DMG2121" s="17"/>
      <c r="DMH2121" s="17"/>
      <c r="DMI2121" s="17"/>
      <c r="DMJ2121" s="17"/>
      <c r="DMK2121" s="17"/>
      <c r="DML2121" s="17"/>
      <c r="DMM2121" s="17"/>
      <c r="DMN2121" s="17"/>
      <c r="DMO2121" s="17"/>
      <c r="DMP2121" s="17"/>
      <c r="DMQ2121" s="17"/>
    </row>
    <row r="2122" spans="3044:3059">
      <c r="DMB2122" s="17"/>
      <c r="DMC2122" s="17"/>
      <c r="DMD2122" s="17"/>
      <c r="DME2122" s="17"/>
      <c r="DMF2122" s="17"/>
      <c r="DMG2122" s="17"/>
      <c r="DMH2122" s="17"/>
      <c r="DMI2122" s="17"/>
      <c r="DMJ2122" s="17"/>
      <c r="DMK2122" s="17"/>
      <c r="DML2122" s="17"/>
      <c r="DMM2122" s="17"/>
      <c r="DMN2122" s="17"/>
      <c r="DMO2122" s="17"/>
      <c r="DMP2122" s="17"/>
      <c r="DMQ2122" s="17"/>
    </row>
    <row r="2123" spans="3044:3059">
      <c r="DMB2123" s="17"/>
      <c r="DMC2123" s="17"/>
      <c r="DMD2123" s="17"/>
      <c r="DME2123" s="17"/>
      <c r="DMF2123" s="17"/>
      <c r="DMG2123" s="17"/>
      <c r="DMH2123" s="17"/>
      <c r="DMI2123" s="17"/>
      <c r="DMJ2123" s="17"/>
      <c r="DMK2123" s="17"/>
      <c r="DML2123" s="17"/>
      <c r="DMM2123" s="17"/>
      <c r="DMN2123" s="17"/>
      <c r="DMO2123" s="17"/>
      <c r="DMP2123" s="17"/>
      <c r="DMQ2123" s="17"/>
    </row>
    <row r="2124" spans="3044:3059">
      <c r="DMB2124" s="17"/>
      <c r="DMC2124" s="17"/>
      <c r="DMD2124" s="17"/>
      <c r="DME2124" s="17"/>
      <c r="DMF2124" s="17"/>
      <c r="DMG2124" s="17"/>
      <c r="DMH2124" s="17"/>
      <c r="DMI2124" s="17"/>
      <c r="DMJ2124" s="17"/>
      <c r="DMK2124" s="17"/>
      <c r="DML2124" s="17"/>
      <c r="DMM2124" s="17"/>
      <c r="DMN2124" s="17"/>
      <c r="DMO2124" s="17"/>
      <c r="DMP2124" s="17"/>
      <c r="DMQ2124" s="17"/>
    </row>
    <row r="2125" spans="3044:3059">
      <c r="DMB2125" s="17"/>
      <c r="DMC2125" s="17"/>
      <c r="DMD2125" s="17"/>
      <c r="DME2125" s="17"/>
      <c r="DMF2125" s="17"/>
      <c r="DMG2125" s="17"/>
      <c r="DMH2125" s="17"/>
      <c r="DMI2125" s="17"/>
      <c r="DMJ2125" s="17"/>
      <c r="DMK2125" s="17"/>
      <c r="DML2125" s="17"/>
      <c r="DMM2125" s="17"/>
      <c r="DMN2125" s="17"/>
      <c r="DMO2125" s="17"/>
      <c r="DMP2125" s="17"/>
      <c r="DMQ2125" s="17"/>
    </row>
    <row r="2126" spans="3044:3059">
      <c r="DMB2126" s="17"/>
      <c r="DMC2126" s="17"/>
      <c r="DMD2126" s="17"/>
      <c r="DME2126" s="17"/>
      <c r="DMF2126" s="17"/>
      <c r="DMG2126" s="17"/>
      <c r="DMH2126" s="17"/>
      <c r="DMI2126" s="17"/>
      <c r="DMJ2126" s="17"/>
      <c r="DMK2126" s="17"/>
      <c r="DML2126" s="17"/>
      <c r="DMM2126" s="17"/>
      <c r="DMN2126" s="17"/>
      <c r="DMO2126" s="17"/>
      <c r="DMP2126" s="17"/>
      <c r="DMQ2126" s="17"/>
    </row>
    <row r="2127" spans="3044:3059">
      <c r="DMB2127" s="17"/>
      <c r="DMC2127" s="17"/>
      <c r="DMD2127" s="17"/>
      <c r="DME2127" s="17"/>
      <c r="DMF2127" s="17"/>
      <c r="DMG2127" s="17"/>
      <c r="DMH2127" s="17"/>
      <c r="DMI2127" s="17"/>
      <c r="DMJ2127" s="17"/>
      <c r="DMK2127" s="17"/>
      <c r="DML2127" s="17"/>
      <c r="DMM2127" s="17"/>
      <c r="DMN2127" s="17"/>
      <c r="DMO2127" s="17"/>
      <c r="DMP2127" s="17"/>
      <c r="DMQ2127" s="17"/>
    </row>
    <row r="2128" spans="3044:3059">
      <c r="DMB2128" s="17"/>
      <c r="DMC2128" s="17"/>
      <c r="DMD2128" s="17"/>
      <c r="DME2128" s="17"/>
      <c r="DMF2128" s="17"/>
      <c r="DMG2128" s="17"/>
      <c r="DMH2128" s="17"/>
      <c r="DMI2128" s="17"/>
      <c r="DMJ2128" s="17"/>
      <c r="DMK2128" s="17"/>
      <c r="DML2128" s="17"/>
      <c r="DMM2128" s="17"/>
      <c r="DMN2128" s="17"/>
      <c r="DMO2128" s="17"/>
      <c r="DMP2128" s="17"/>
      <c r="DMQ2128" s="17"/>
    </row>
    <row r="2129" spans="3044:3059">
      <c r="DMB2129" s="17"/>
      <c r="DMC2129" s="17"/>
      <c r="DMD2129" s="17"/>
      <c r="DME2129" s="17"/>
      <c r="DMF2129" s="17"/>
      <c r="DMG2129" s="17"/>
      <c r="DMH2129" s="17"/>
      <c r="DMI2129" s="17"/>
      <c r="DMJ2129" s="17"/>
      <c r="DMK2129" s="17"/>
      <c r="DML2129" s="17"/>
      <c r="DMM2129" s="17"/>
      <c r="DMN2129" s="17"/>
      <c r="DMO2129" s="17"/>
      <c r="DMP2129" s="17"/>
      <c r="DMQ2129" s="17"/>
    </row>
    <row r="2130" spans="3044:3059">
      <c r="DMB2130" s="17"/>
      <c r="DMC2130" s="17"/>
      <c r="DMD2130" s="17"/>
      <c r="DME2130" s="17"/>
      <c r="DMF2130" s="17"/>
      <c r="DMG2130" s="17"/>
      <c r="DMH2130" s="17"/>
      <c r="DMI2130" s="17"/>
      <c r="DMJ2130" s="17"/>
      <c r="DMK2130" s="17"/>
      <c r="DML2130" s="17"/>
      <c r="DMM2130" s="17"/>
      <c r="DMN2130" s="17"/>
      <c r="DMO2130" s="17"/>
      <c r="DMP2130" s="17"/>
      <c r="DMQ2130" s="17"/>
    </row>
    <row r="2131" spans="3044:3059">
      <c r="DMB2131" s="17"/>
      <c r="DMC2131" s="17"/>
      <c r="DMD2131" s="17"/>
      <c r="DME2131" s="17"/>
      <c r="DMF2131" s="17"/>
      <c r="DMG2131" s="17"/>
      <c r="DMH2131" s="17"/>
      <c r="DMI2131" s="17"/>
      <c r="DMJ2131" s="17"/>
      <c r="DMK2131" s="17"/>
      <c r="DML2131" s="17"/>
      <c r="DMM2131" s="17"/>
      <c r="DMN2131" s="17"/>
      <c r="DMO2131" s="17"/>
      <c r="DMP2131" s="17"/>
      <c r="DMQ2131" s="17"/>
    </row>
    <row r="2132" spans="3044:3059">
      <c r="DMB2132" s="17"/>
      <c r="DMC2132" s="17"/>
      <c r="DMD2132" s="17"/>
      <c r="DME2132" s="17"/>
      <c r="DMF2132" s="17"/>
      <c r="DMG2132" s="17"/>
      <c r="DMH2132" s="17"/>
      <c r="DMI2132" s="17"/>
      <c r="DMJ2132" s="17"/>
      <c r="DMK2132" s="17"/>
      <c r="DML2132" s="17"/>
      <c r="DMM2132" s="17"/>
      <c r="DMN2132" s="17"/>
      <c r="DMO2132" s="17"/>
      <c r="DMP2132" s="17"/>
      <c r="DMQ2132" s="17"/>
    </row>
    <row r="2133" spans="3044:3059">
      <c r="DMB2133" s="17"/>
      <c r="DMC2133" s="17"/>
      <c r="DMD2133" s="17"/>
      <c r="DME2133" s="17"/>
      <c r="DMF2133" s="17"/>
      <c r="DMG2133" s="17"/>
      <c r="DMH2133" s="17"/>
      <c r="DMI2133" s="17"/>
      <c r="DMJ2133" s="17"/>
      <c r="DMK2133" s="17"/>
      <c r="DML2133" s="17"/>
      <c r="DMM2133" s="17"/>
      <c r="DMN2133" s="17"/>
      <c r="DMO2133" s="17"/>
      <c r="DMP2133" s="17"/>
      <c r="DMQ2133" s="17"/>
    </row>
    <row r="2134" spans="3044:3059">
      <c r="DMB2134" s="17"/>
      <c r="DMC2134" s="17"/>
      <c r="DMD2134" s="17"/>
      <c r="DME2134" s="17"/>
      <c r="DMF2134" s="17"/>
      <c r="DMG2134" s="17"/>
      <c r="DMH2134" s="17"/>
      <c r="DMI2134" s="17"/>
      <c r="DMJ2134" s="17"/>
      <c r="DMK2134" s="17"/>
      <c r="DML2134" s="17"/>
      <c r="DMM2134" s="17"/>
      <c r="DMN2134" s="17"/>
      <c r="DMO2134" s="17"/>
      <c r="DMP2134" s="17"/>
      <c r="DMQ2134" s="17"/>
    </row>
    <row r="2135" spans="3044:3059">
      <c r="DMB2135" s="17"/>
      <c r="DMC2135" s="17"/>
      <c r="DMD2135" s="17"/>
      <c r="DME2135" s="17"/>
      <c r="DMF2135" s="17"/>
      <c r="DMG2135" s="17"/>
      <c r="DMH2135" s="17"/>
      <c r="DMI2135" s="17"/>
      <c r="DMJ2135" s="17"/>
      <c r="DMK2135" s="17"/>
      <c r="DML2135" s="17"/>
      <c r="DMM2135" s="17"/>
      <c r="DMN2135" s="17"/>
      <c r="DMO2135" s="17"/>
      <c r="DMP2135" s="17"/>
      <c r="DMQ2135" s="17"/>
    </row>
    <row r="2136" spans="3044:3059">
      <c r="DMB2136" s="17"/>
      <c r="DMC2136" s="17"/>
      <c r="DMD2136" s="17"/>
      <c r="DME2136" s="17"/>
      <c r="DMF2136" s="17"/>
      <c r="DMG2136" s="17"/>
      <c r="DMH2136" s="17"/>
      <c r="DMI2136" s="17"/>
      <c r="DMJ2136" s="17"/>
      <c r="DMK2136" s="17"/>
      <c r="DML2136" s="17"/>
      <c r="DMM2136" s="17"/>
      <c r="DMN2136" s="17"/>
      <c r="DMO2136" s="17"/>
      <c r="DMP2136" s="17"/>
      <c r="DMQ2136" s="17"/>
    </row>
    <row r="2137" spans="3044:3059">
      <c r="DMB2137" s="17"/>
      <c r="DMC2137" s="17"/>
      <c r="DMD2137" s="17"/>
      <c r="DME2137" s="17"/>
      <c r="DMF2137" s="17"/>
      <c r="DMG2137" s="17"/>
      <c r="DMH2137" s="17"/>
      <c r="DMI2137" s="17"/>
      <c r="DMJ2137" s="17"/>
      <c r="DMK2137" s="17"/>
      <c r="DML2137" s="17"/>
      <c r="DMM2137" s="17"/>
      <c r="DMN2137" s="17"/>
      <c r="DMO2137" s="17"/>
      <c r="DMP2137" s="17"/>
      <c r="DMQ2137" s="17"/>
    </row>
    <row r="2138" spans="3044:3059">
      <c r="DMB2138" s="17"/>
      <c r="DMC2138" s="17"/>
      <c r="DMD2138" s="17"/>
      <c r="DME2138" s="17"/>
      <c r="DMF2138" s="17"/>
      <c r="DMG2138" s="17"/>
      <c r="DMH2138" s="17"/>
      <c r="DMI2138" s="17"/>
      <c r="DMJ2138" s="17"/>
      <c r="DMK2138" s="17"/>
      <c r="DML2138" s="17"/>
      <c r="DMM2138" s="17"/>
      <c r="DMN2138" s="17"/>
      <c r="DMO2138" s="17"/>
      <c r="DMP2138" s="17"/>
      <c r="DMQ2138" s="17"/>
    </row>
    <row r="2139" spans="3044:3059">
      <c r="DMB2139" s="17"/>
      <c r="DMC2139" s="17"/>
      <c r="DMD2139" s="17"/>
      <c r="DME2139" s="17"/>
      <c r="DMF2139" s="17"/>
      <c r="DMG2139" s="17"/>
      <c r="DMH2139" s="17"/>
      <c r="DMI2139" s="17"/>
      <c r="DMJ2139" s="17"/>
      <c r="DMK2139" s="17"/>
      <c r="DML2139" s="17"/>
      <c r="DMM2139" s="17"/>
      <c r="DMN2139" s="17"/>
      <c r="DMO2139" s="17"/>
      <c r="DMP2139" s="17"/>
      <c r="DMQ2139" s="17"/>
    </row>
    <row r="2140" spans="3044:3059">
      <c r="DMB2140" s="17"/>
      <c r="DMC2140" s="17"/>
      <c r="DMD2140" s="17"/>
      <c r="DME2140" s="17"/>
      <c r="DMF2140" s="17"/>
      <c r="DMG2140" s="17"/>
      <c r="DMH2140" s="17"/>
      <c r="DMI2140" s="17"/>
      <c r="DMJ2140" s="17"/>
      <c r="DMK2140" s="17"/>
      <c r="DML2140" s="17"/>
      <c r="DMM2140" s="17"/>
      <c r="DMN2140" s="17"/>
      <c r="DMO2140" s="17"/>
      <c r="DMP2140" s="17"/>
      <c r="DMQ2140" s="17"/>
    </row>
    <row r="2141" spans="3044:3059">
      <c r="DMB2141" s="17"/>
      <c r="DMC2141" s="17"/>
      <c r="DMD2141" s="17"/>
      <c r="DME2141" s="17"/>
      <c r="DMF2141" s="17"/>
      <c r="DMG2141" s="17"/>
      <c r="DMH2141" s="17"/>
      <c r="DMI2141" s="17"/>
      <c r="DMJ2141" s="17"/>
      <c r="DMK2141" s="17"/>
      <c r="DML2141" s="17"/>
      <c r="DMM2141" s="17"/>
      <c r="DMN2141" s="17"/>
      <c r="DMO2141" s="17"/>
      <c r="DMP2141" s="17"/>
      <c r="DMQ2141" s="17"/>
    </row>
    <row r="2142" spans="3044:3059">
      <c r="DMB2142" s="17"/>
      <c r="DMC2142" s="17"/>
      <c r="DMD2142" s="17"/>
      <c r="DME2142" s="17"/>
      <c r="DMF2142" s="17"/>
      <c r="DMG2142" s="17"/>
      <c r="DMH2142" s="17"/>
      <c r="DMI2142" s="17"/>
      <c r="DMJ2142" s="17"/>
      <c r="DMK2142" s="17"/>
      <c r="DML2142" s="17"/>
      <c r="DMM2142" s="17"/>
      <c r="DMN2142" s="17"/>
      <c r="DMO2142" s="17"/>
      <c r="DMP2142" s="17"/>
      <c r="DMQ2142" s="17"/>
    </row>
    <row r="2143" spans="3044:3059">
      <c r="DMB2143" s="17"/>
      <c r="DMC2143" s="17"/>
      <c r="DMD2143" s="17"/>
      <c r="DME2143" s="17"/>
      <c r="DMF2143" s="17"/>
      <c r="DMG2143" s="17"/>
      <c r="DMH2143" s="17"/>
      <c r="DMI2143" s="17"/>
      <c r="DMJ2143" s="17"/>
      <c r="DMK2143" s="17"/>
      <c r="DML2143" s="17"/>
      <c r="DMM2143" s="17"/>
      <c r="DMN2143" s="17"/>
      <c r="DMO2143" s="17"/>
      <c r="DMP2143" s="17"/>
      <c r="DMQ2143" s="17"/>
    </row>
    <row r="2144" spans="3044:3059">
      <c r="DMB2144" s="17"/>
      <c r="DMC2144" s="17"/>
      <c r="DMD2144" s="17"/>
      <c r="DME2144" s="17"/>
      <c r="DMF2144" s="17"/>
      <c r="DMG2144" s="17"/>
      <c r="DMH2144" s="17"/>
      <c r="DMI2144" s="17"/>
      <c r="DMJ2144" s="17"/>
      <c r="DMK2144" s="17"/>
      <c r="DML2144" s="17"/>
      <c r="DMM2144" s="17"/>
      <c r="DMN2144" s="17"/>
      <c r="DMO2144" s="17"/>
      <c r="DMP2144" s="17"/>
      <c r="DMQ2144" s="17"/>
    </row>
    <row r="2145" spans="3044:3059">
      <c r="DMB2145" s="17"/>
      <c r="DMC2145" s="17"/>
      <c r="DMD2145" s="17"/>
      <c r="DME2145" s="17"/>
      <c r="DMF2145" s="17"/>
      <c r="DMG2145" s="17"/>
      <c r="DMH2145" s="17"/>
      <c r="DMI2145" s="17"/>
      <c r="DMJ2145" s="17"/>
      <c r="DMK2145" s="17"/>
      <c r="DML2145" s="17"/>
      <c r="DMM2145" s="17"/>
      <c r="DMN2145" s="17"/>
      <c r="DMO2145" s="17"/>
      <c r="DMP2145" s="17"/>
      <c r="DMQ2145" s="17"/>
    </row>
    <row r="2146" spans="3044:3059">
      <c r="DMB2146" s="17"/>
      <c r="DMC2146" s="17"/>
      <c r="DMD2146" s="17"/>
      <c r="DME2146" s="17"/>
      <c r="DMF2146" s="17"/>
      <c r="DMG2146" s="17"/>
      <c r="DMH2146" s="17"/>
      <c r="DMI2146" s="17"/>
      <c r="DMJ2146" s="17"/>
      <c r="DMK2146" s="17"/>
      <c r="DML2146" s="17"/>
      <c r="DMM2146" s="17"/>
      <c r="DMN2146" s="17"/>
      <c r="DMO2146" s="17"/>
      <c r="DMP2146" s="17"/>
      <c r="DMQ2146" s="17"/>
    </row>
    <row r="2147" spans="3044:3059">
      <c r="DMB2147" s="17"/>
      <c r="DMC2147" s="17"/>
      <c r="DMD2147" s="17"/>
      <c r="DME2147" s="17"/>
      <c r="DMF2147" s="17"/>
      <c r="DMG2147" s="17"/>
      <c r="DMH2147" s="17"/>
      <c r="DMI2147" s="17"/>
      <c r="DMJ2147" s="17"/>
      <c r="DMK2147" s="17"/>
      <c r="DML2147" s="17"/>
      <c r="DMM2147" s="17"/>
      <c r="DMN2147" s="17"/>
      <c r="DMO2147" s="17"/>
      <c r="DMP2147" s="17"/>
      <c r="DMQ2147" s="17"/>
    </row>
    <row r="2148" spans="3044:3059">
      <c r="DMB2148" s="17"/>
      <c r="DMC2148" s="17"/>
      <c r="DMD2148" s="17"/>
      <c r="DME2148" s="17"/>
      <c r="DMF2148" s="17"/>
      <c r="DMG2148" s="17"/>
      <c r="DMH2148" s="17"/>
      <c r="DMI2148" s="17"/>
      <c r="DMJ2148" s="17"/>
      <c r="DMK2148" s="17"/>
      <c r="DML2148" s="17"/>
      <c r="DMM2148" s="17"/>
      <c r="DMN2148" s="17"/>
      <c r="DMO2148" s="17"/>
      <c r="DMP2148" s="17"/>
      <c r="DMQ2148" s="17"/>
    </row>
    <row r="2149" spans="3044:3059">
      <c r="DMB2149" s="17"/>
      <c r="DMC2149" s="17"/>
      <c r="DMD2149" s="17"/>
      <c r="DME2149" s="17"/>
      <c r="DMF2149" s="17"/>
      <c r="DMG2149" s="17"/>
      <c r="DMH2149" s="17"/>
      <c r="DMI2149" s="17"/>
      <c r="DMJ2149" s="17"/>
      <c r="DMK2149" s="17"/>
      <c r="DML2149" s="17"/>
      <c r="DMM2149" s="17"/>
      <c r="DMN2149" s="17"/>
      <c r="DMO2149" s="17"/>
      <c r="DMP2149" s="17"/>
      <c r="DMQ2149" s="17"/>
    </row>
    <row r="2150" spans="3044:3059">
      <c r="DMB2150" s="17"/>
      <c r="DMC2150" s="17"/>
      <c r="DMD2150" s="17"/>
      <c r="DME2150" s="17"/>
      <c r="DMF2150" s="17"/>
      <c r="DMG2150" s="17"/>
      <c r="DMH2150" s="17"/>
      <c r="DMI2150" s="17"/>
      <c r="DMJ2150" s="17"/>
      <c r="DMK2150" s="17"/>
      <c r="DML2150" s="17"/>
      <c r="DMM2150" s="17"/>
      <c r="DMN2150" s="17"/>
      <c r="DMO2150" s="17"/>
      <c r="DMP2150" s="17"/>
      <c r="DMQ2150" s="17"/>
    </row>
    <row r="2151" spans="3044:3059">
      <c r="DMB2151" s="17"/>
      <c r="DMC2151" s="17"/>
      <c r="DMD2151" s="17"/>
      <c r="DME2151" s="17"/>
      <c r="DMF2151" s="17"/>
      <c r="DMG2151" s="17"/>
      <c r="DMH2151" s="17"/>
      <c r="DMI2151" s="17"/>
      <c r="DMJ2151" s="17"/>
      <c r="DMK2151" s="17"/>
      <c r="DML2151" s="17"/>
      <c r="DMM2151" s="17"/>
      <c r="DMN2151" s="17"/>
      <c r="DMO2151" s="17"/>
      <c r="DMP2151" s="17"/>
      <c r="DMQ2151" s="17"/>
    </row>
    <row r="2152" spans="3044:3059">
      <c r="DMB2152" s="17"/>
      <c r="DMC2152" s="17"/>
      <c r="DMD2152" s="17"/>
      <c r="DME2152" s="17"/>
      <c r="DMF2152" s="17"/>
      <c r="DMG2152" s="17"/>
      <c r="DMH2152" s="17"/>
      <c r="DMI2152" s="17"/>
      <c r="DMJ2152" s="17"/>
      <c r="DMK2152" s="17"/>
      <c r="DML2152" s="17"/>
      <c r="DMM2152" s="17"/>
      <c r="DMN2152" s="17"/>
      <c r="DMO2152" s="17"/>
      <c r="DMP2152" s="17"/>
      <c r="DMQ2152" s="17"/>
    </row>
    <row r="2153" spans="3044:3059">
      <c r="DMB2153" s="17"/>
      <c r="DMC2153" s="17"/>
      <c r="DMD2153" s="17"/>
      <c r="DME2153" s="17"/>
      <c r="DMF2153" s="17"/>
      <c r="DMG2153" s="17"/>
      <c r="DMH2153" s="17"/>
      <c r="DMI2153" s="17"/>
      <c r="DMJ2153" s="17"/>
      <c r="DMK2153" s="17"/>
      <c r="DML2153" s="17"/>
      <c r="DMM2153" s="17"/>
      <c r="DMN2153" s="17"/>
      <c r="DMO2153" s="17"/>
      <c r="DMP2153" s="17"/>
      <c r="DMQ2153" s="17"/>
    </row>
    <row r="2154" spans="3044:3059">
      <c r="DMB2154" s="17"/>
      <c r="DMC2154" s="17"/>
      <c r="DMD2154" s="17"/>
      <c r="DME2154" s="17"/>
      <c r="DMF2154" s="17"/>
      <c r="DMG2154" s="17"/>
      <c r="DMH2154" s="17"/>
      <c r="DMI2154" s="17"/>
      <c r="DMJ2154" s="17"/>
      <c r="DMK2154" s="17"/>
      <c r="DML2154" s="17"/>
      <c r="DMM2154" s="17"/>
      <c r="DMN2154" s="17"/>
      <c r="DMO2154" s="17"/>
      <c r="DMP2154" s="17"/>
      <c r="DMQ2154" s="17"/>
    </row>
    <row r="2155" spans="3044:3059">
      <c r="DMB2155" s="17"/>
      <c r="DMC2155" s="17"/>
      <c r="DMD2155" s="17"/>
      <c r="DME2155" s="17"/>
      <c r="DMF2155" s="17"/>
      <c r="DMG2155" s="17"/>
      <c r="DMH2155" s="17"/>
      <c r="DMI2155" s="17"/>
      <c r="DMJ2155" s="17"/>
      <c r="DMK2155" s="17"/>
      <c r="DML2155" s="17"/>
      <c r="DMM2155" s="17"/>
      <c r="DMN2155" s="17"/>
      <c r="DMO2155" s="17"/>
      <c r="DMP2155" s="17"/>
      <c r="DMQ2155" s="17"/>
    </row>
    <row r="2156" spans="3044:3059">
      <c r="DMB2156" s="17"/>
      <c r="DMC2156" s="17"/>
      <c r="DMD2156" s="17"/>
      <c r="DME2156" s="17"/>
      <c r="DMF2156" s="17"/>
      <c r="DMG2156" s="17"/>
      <c r="DMH2156" s="17"/>
      <c r="DMI2156" s="17"/>
      <c r="DMJ2156" s="17"/>
      <c r="DMK2156" s="17"/>
      <c r="DML2156" s="17"/>
      <c r="DMM2156" s="17"/>
      <c r="DMN2156" s="17"/>
      <c r="DMO2156" s="17"/>
      <c r="DMP2156" s="17"/>
      <c r="DMQ2156" s="17"/>
    </row>
    <row r="2157" spans="3044:3059">
      <c r="DMB2157" s="17"/>
      <c r="DMC2157" s="17"/>
      <c r="DMD2157" s="17"/>
      <c r="DME2157" s="17"/>
      <c r="DMF2157" s="17"/>
      <c r="DMG2157" s="17"/>
      <c r="DMH2157" s="17"/>
      <c r="DMI2157" s="17"/>
      <c r="DMJ2157" s="17"/>
      <c r="DMK2157" s="17"/>
      <c r="DML2157" s="17"/>
      <c r="DMM2157" s="17"/>
      <c r="DMN2157" s="17"/>
      <c r="DMO2157" s="17"/>
      <c r="DMP2157" s="17"/>
      <c r="DMQ2157" s="17"/>
    </row>
    <row r="2158" spans="3044:3059">
      <c r="DMB2158" s="17"/>
      <c r="DMC2158" s="17"/>
      <c r="DMD2158" s="17"/>
      <c r="DME2158" s="17"/>
      <c r="DMF2158" s="17"/>
      <c r="DMG2158" s="17"/>
      <c r="DMH2158" s="17"/>
      <c r="DMI2158" s="17"/>
      <c r="DMJ2158" s="17"/>
      <c r="DMK2158" s="17"/>
      <c r="DML2158" s="17"/>
      <c r="DMM2158" s="17"/>
      <c r="DMN2158" s="17"/>
      <c r="DMO2158" s="17"/>
      <c r="DMP2158" s="17"/>
      <c r="DMQ2158" s="17"/>
    </row>
    <row r="2159" spans="3044:3059">
      <c r="DMB2159" s="17"/>
      <c r="DMC2159" s="17"/>
      <c r="DMD2159" s="17"/>
      <c r="DME2159" s="17"/>
      <c r="DMF2159" s="17"/>
      <c r="DMG2159" s="17"/>
      <c r="DMH2159" s="17"/>
      <c r="DMI2159" s="17"/>
      <c r="DMJ2159" s="17"/>
      <c r="DMK2159" s="17"/>
      <c r="DML2159" s="17"/>
      <c r="DMM2159" s="17"/>
      <c r="DMN2159" s="17"/>
      <c r="DMO2159" s="17"/>
      <c r="DMP2159" s="17"/>
      <c r="DMQ2159" s="17"/>
    </row>
    <row r="2160" spans="3044:3059">
      <c r="DMB2160" s="17"/>
      <c r="DMC2160" s="17"/>
      <c r="DMD2160" s="17"/>
      <c r="DME2160" s="17"/>
      <c r="DMF2160" s="17"/>
      <c r="DMG2160" s="17"/>
      <c r="DMH2160" s="17"/>
      <c r="DMI2160" s="17"/>
      <c r="DMJ2160" s="17"/>
      <c r="DMK2160" s="17"/>
      <c r="DML2160" s="17"/>
      <c r="DMM2160" s="17"/>
      <c r="DMN2160" s="17"/>
      <c r="DMO2160" s="17"/>
      <c r="DMP2160" s="17"/>
      <c r="DMQ2160" s="17"/>
    </row>
    <row r="2161" spans="3044:3059">
      <c r="DMB2161" s="17"/>
      <c r="DMC2161" s="17"/>
      <c r="DMD2161" s="17"/>
      <c r="DME2161" s="17"/>
      <c r="DMF2161" s="17"/>
      <c r="DMG2161" s="17"/>
      <c r="DMH2161" s="17"/>
      <c r="DMI2161" s="17"/>
      <c r="DMJ2161" s="17"/>
      <c r="DMK2161" s="17"/>
      <c r="DML2161" s="17"/>
      <c r="DMM2161" s="17"/>
      <c r="DMN2161" s="17"/>
      <c r="DMO2161" s="17"/>
      <c r="DMP2161" s="17"/>
      <c r="DMQ2161" s="17"/>
    </row>
    <row r="2162" spans="3044:3059">
      <c r="DMB2162" s="17"/>
      <c r="DMC2162" s="17"/>
      <c r="DMD2162" s="17"/>
      <c r="DME2162" s="17"/>
      <c r="DMF2162" s="17"/>
      <c r="DMG2162" s="17"/>
      <c r="DMH2162" s="17"/>
      <c r="DMI2162" s="17"/>
      <c r="DMJ2162" s="17"/>
      <c r="DMK2162" s="17"/>
      <c r="DML2162" s="17"/>
      <c r="DMM2162" s="17"/>
      <c r="DMN2162" s="17"/>
      <c r="DMO2162" s="17"/>
      <c r="DMP2162" s="17"/>
      <c r="DMQ2162" s="17"/>
    </row>
    <row r="2163" spans="3044:3059">
      <c r="DMB2163" s="17"/>
      <c r="DMC2163" s="17"/>
      <c r="DMD2163" s="17"/>
      <c r="DME2163" s="17"/>
      <c r="DMF2163" s="17"/>
      <c r="DMG2163" s="17"/>
      <c r="DMH2163" s="17"/>
      <c r="DMI2163" s="17"/>
      <c r="DMJ2163" s="17"/>
      <c r="DMK2163" s="17"/>
      <c r="DML2163" s="17"/>
      <c r="DMM2163" s="17"/>
      <c r="DMN2163" s="17"/>
      <c r="DMO2163" s="17"/>
      <c r="DMP2163" s="17"/>
      <c r="DMQ2163" s="17"/>
    </row>
    <row r="2164" spans="3044:3059">
      <c r="DMB2164" s="17"/>
      <c r="DMC2164" s="17"/>
      <c r="DMD2164" s="17"/>
      <c r="DME2164" s="17"/>
      <c r="DMF2164" s="17"/>
      <c r="DMG2164" s="17"/>
      <c r="DMH2164" s="17"/>
      <c r="DMI2164" s="17"/>
      <c r="DMJ2164" s="17"/>
      <c r="DMK2164" s="17"/>
      <c r="DML2164" s="17"/>
      <c r="DMM2164" s="17"/>
      <c r="DMN2164" s="17"/>
      <c r="DMO2164" s="17"/>
      <c r="DMP2164" s="17"/>
      <c r="DMQ2164" s="17"/>
    </row>
    <row r="2165" spans="3044:3059">
      <c r="DMB2165" s="17"/>
      <c r="DMC2165" s="17"/>
      <c r="DMD2165" s="17"/>
      <c r="DME2165" s="17"/>
      <c r="DMF2165" s="17"/>
      <c r="DMG2165" s="17"/>
      <c r="DMH2165" s="17"/>
      <c r="DMI2165" s="17"/>
      <c r="DMJ2165" s="17"/>
      <c r="DMK2165" s="17"/>
      <c r="DML2165" s="17"/>
      <c r="DMM2165" s="17"/>
      <c r="DMN2165" s="17"/>
      <c r="DMO2165" s="17"/>
      <c r="DMP2165" s="17"/>
      <c r="DMQ2165" s="17"/>
    </row>
    <row r="2166" spans="3044:3059">
      <c r="DMB2166" s="17"/>
      <c r="DMC2166" s="17"/>
      <c r="DMD2166" s="17"/>
      <c r="DME2166" s="17"/>
      <c r="DMF2166" s="17"/>
      <c r="DMG2166" s="17"/>
      <c r="DMH2166" s="17"/>
      <c r="DMI2166" s="17"/>
      <c r="DMJ2166" s="17"/>
      <c r="DMK2166" s="17"/>
      <c r="DML2166" s="17"/>
      <c r="DMM2166" s="17"/>
      <c r="DMN2166" s="17"/>
      <c r="DMO2166" s="17"/>
      <c r="DMP2166" s="17"/>
      <c r="DMQ2166" s="17"/>
    </row>
    <row r="2167" spans="3044:3059">
      <c r="DMB2167" s="17"/>
      <c r="DMC2167" s="17"/>
      <c r="DMD2167" s="17"/>
      <c r="DME2167" s="17"/>
      <c r="DMF2167" s="17"/>
      <c r="DMG2167" s="17"/>
      <c r="DMH2167" s="17"/>
      <c r="DMI2167" s="17"/>
      <c r="DMJ2167" s="17"/>
      <c r="DMK2167" s="17"/>
      <c r="DML2167" s="17"/>
      <c r="DMM2167" s="17"/>
      <c r="DMN2167" s="17"/>
      <c r="DMO2167" s="17"/>
      <c r="DMP2167" s="17"/>
      <c r="DMQ2167" s="17"/>
    </row>
    <row r="2168" spans="3044:3059">
      <c r="DMB2168" s="17"/>
      <c r="DMC2168" s="17"/>
      <c r="DMD2168" s="17"/>
      <c r="DME2168" s="17"/>
      <c r="DMF2168" s="17"/>
      <c r="DMG2168" s="17"/>
      <c r="DMH2168" s="17"/>
      <c r="DMI2168" s="17"/>
      <c r="DMJ2168" s="17"/>
      <c r="DMK2168" s="17"/>
      <c r="DML2168" s="17"/>
      <c r="DMM2168" s="17"/>
      <c r="DMN2168" s="17"/>
      <c r="DMO2168" s="17"/>
      <c r="DMP2168" s="17"/>
      <c r="DMQ2168" s="17"/>
    </row>
    <row r="2169" spans="3044:3059">
      <c r="DMB2169" s="17"/>
      <c r="DMC2169" s="17"/>
      <c r="DMD2169" s="17"/>
      <c r="DME2169" s="17"/>
      <c r="DMF2169" s="17"/>
      <c r="DMG2169" s="17"/>
      <c r="DMH2169" s="17"/>
      <c r="DMI2169" s="17"/>
      <c r="DMJ2169" s="17"/>
      <c r="DMK2169" s="17"/>
      <c r="DML2169" s="17"/>
      <c r="DMM2169" s="17"/>
      <c r="DMN2169" s="17"/>
      <c r="DMO2169" s="17"/>
      <c r="DMP2169" s="17"/>
      <c r="DMQ2169" s="17"/>
    </row>
    <row r="2170" spans="3044:3059">
      <c r="DMB2170" s="17"/>
      <c r="DMC2170" s="17"/>
      <c r="DMD2170" s="17"/>
      <c r="DME2170" s="17"/>
      <c r="DMF2170" s="17"/>
      <c r="DMG2170" s="17"/>
      <c r="DMH2170" s="17"/>
      <c r="DMI2170" s="17"/>
      <c r="DMJ2170" s="17"/>
      <c r="DMK2170" s="17"/>
      <c r="DML2170" s="17"/>
      <c r="DMM2170" s="17"/>
      <c r="DMN2170" s="17"/>
      <c r="DMO2170" s="17"/>
      <c r="DMP2170" s="17"/>
      <c r="DMQ2170" s="17"/>
    </row>
    <row r="2171" spans="3044:3059">
      <c r="DMB2171" s="17"/>
      <c r="DMC2171" s="17"/>
      <c r="DMD2171" s="17"/>
      <c r="DME2171" s="17"/>
      <c r="DMF2171" s="17"/>
      <c r="DMG2171" s="17"/>
      <c r="DMH2171" s="17"/>
      <c r="DMI2171" s="17"/>
      <c r="DMJ2171" s="17"/>
      <c r="DMK2171" s="17"/>
      <c r="DML2171" s="17"/>
      <c r="DMM2171" s="17"/>
      <c r="DMN2171" s="17"/>
      <c r="DMO2171" s="17"/>
      <c r="DMP2171" s="17"/>
      <c r="DMQ2171" s="17"/>
    </row>
    <row r="2172" spans="3044:3059">
      <c r="DMB2172" s="17"/>
      <c r="DMC2172" s="17"/>
      <c r="DMD2172" s="17"/>
      <c r="DME2172" s="17"/>
      <c r="DMF2172" s="17"/>
      <c r="DMG2172" s="17"/>
      <c r="DMH2172" s="17"/>
      <c r="DMI2172" s="17"/>
      <c r="DMJ2172" s="17"/>
      <c r="DMK2172" s="17"/>
      <c r="DML2172" s="17"/>
      <c r="DMM2172" s="17"/>
      <c r="DMN2172" s="17"/>
      <c r="DMO2172" s="17"/>
      <c r="DMP2172" s="17"/>
      <c r="DMQ2172" s="17"/>
    </row>
    <row r="2173" spans="3044:3059">
      <c r="DMB2173" s="17"/>
      <c r="DMC2173" s="17"/>
      <c r="DMD2173" s="17"/>
      <c r="DME2173" s="17"/>
      <c r="DMF2173" s="17"/>
      <c r="DMG2173" s="17"/>
      <c r="DMH2173" s="17"/>
      <c r="DMI2173" s="17"/>
      <c r="DMJ2173" s="17"/>
      <c r="DMK2173" s="17"/>
      <c r="DML2173" s="17"/>
      <c r="DMM2173" s="17"/>
      <c r="DMN2173" s="17"/>
      <c r="DMO2173" s="17"/>
      <c r="DMP2173" s="17"/>
      <c r="DMQ2173" s="17"/>
    </row>
    <row r="2174" spans="3044:3059">
      <c r="DMB2174" s="17"/>
      <c r="DMC2174" s="17"/>
      <c r="DMD2174" s="17"/>
      <c r="DME2174" s="17"/>
      <c r="DMF2174" s="17"/>
      <c r="DMG2174" s="17"/>
      <c r="DMH2174" s="17"/>
      <c r="DMI2174" s="17"/>
      <c r="DMJ2174" s="17"/>
      <c r="DMK2174" s="17"/>
      <c r="DML2174" s="17"/>
      <c r="DMM2174" s="17"/>
      <c r="DMN2174" s="17"/>
      <c r="DMO2174" s="17"/>
      <c r="DMP2174" s="17"/>
      <c r="DMQ2174" s="17"/>
    </row>
    <row r="2175" spans="3044:3059">
      <c r="DMB2175" s="17"/>
      <c r="DMC2175" s="17"/>
      <c r="DMD2175" s="17"/>
      <c r="DME2175" s="17"/>
      <c r="DMF2175" s="17"/>
      <c r="DMG2175" s="17"/>
      <c r="DMH2175" s="17"/>
      <c r="DMI2175" s="17"/>
      <c r="DMJ2175" s="17"/>
      <c r="DMK2175" s="17"/>
      <c r="DML2175" s="17"/>
      <c r="DMM2175" s="17"/>
      <c r="DMN2175" s="17"/>
      <c r="DMO2175" s="17"/>
      <c r="DMP2175" s="17"/>
      <c r="DMQ2175" s="17"/>
    </row>
    <row r="2176" spans="3044:3059">
      <c r="DMB2176" s="17"/>
      <c r="DMC2176" s="17"/>
      <c r="DMD2176" s="17"/>
      <c r="DME2176" s="17"/>
      <c r="DMF2176" s="17"/>
      <c r="DMG2176" s="17"/>
      <c r="DMH2176" s="17"/>
      <c r="DMI2176" s="17"/>
      <c r="DMJ2176" s="17"/>
      <c r="DMK2176" s="17"/>
      <c r="DML2176" s="17"/>
      <c r="DMM2176" s="17"/>
      <c r="DMN2176" s="17"/>
      <c r="DMO2176" s="17"/>
      <c r="DMP2176" s="17"/>
      <c r="DMQ2176" s="17"/>
    </row>
    <row r="2177" spans="3044:3059">
      <c r="DMB2177" s="17"/>
      <c r="DMC2177" s="17"/>
      <c r="DMD2177" s="17"/>
      <c r="DME2177" s="17"/>
      <c r="DMF2177" s="17"/>
      <c r="DMG2177" s="17"/>
      <c r="DMH2177" s="17"/>
      <c r="DMI2177" s="17"/>
      <c r="DMJ2177" s="17"/>
      <c r="DMK2177" s="17"/>
      <c r="DML2177" s="17"/>
      <c r="DMM2177" s="17"/>
      <c r="DMN2177" s="17"/>
      <c r="DMO2177" s="17"/>
      <c r="DMP2177" s="17"/>
      <c r="DMQ2177" s="17"/>
    </row>
    <row r="2178" spans="3044:3059">
      <c r="DMB2178" s="17"/>
      <c r="DMC2178" s="17"/>
      <c r="DMD2178" s="17"/>
      <c r="DME2178" s="17"/>
      <c r="DMF2178" s="17"/>
      <c r="DMG2178" s="17"/>
      <c r="DMH2178" s="17"/>
      <c r="DMI2178" s="17"/>
      <c r="DMJ2178" s="17"/>
      <c r="DMK2178" s="17"/>
      <c r="DML2178" s="17"/>
      <c r="DMM2178" s="17"/>
      <c r="DMN2178" s="17"/>
      <c r="DMO2178" s="17"/>
      <c r="DMP2178" s="17"/>
      <c r="DMQ2178" s="17"/>
    </row>
    <row r="2179" spans="3044:3059">
      <c r="DMB2179" s="17"/>
      <c r="DMC2179" s="17"/>
      <c r="DMD2179" s="17"/>
      <c r="DME2179" s="17"/>
      <c r="DMF2179" s="17"/>
      <c r="DMG2179" s="17"/>
      <c r="DMH2179" s="17"/>
      <c r="DMI2179" s="17"/>
      <c r="DMJ2179" s="17"/>
      <c r="DMK2179" s="17"/>
      <c r="DML2179" s="17"/>
      <c r="DMM2179" s="17"/>
      <c r="DMN2179" s="17"/>
      <c r="DMO2179" s="17"/>
      <c r="DMP2179" s="17"/>
      <c r="DMQ2179" s="17"/>
    </row>
    <row r="2180" spans="3044:3059">
      <c r="DMB2180" s="17"/>
      <c r="DMC2180" s="17"/>
      <c r="DMD2180" s="17"/>
      <c r="DME2180" s="17"/>
      <c r="DMF2180" s="17"/>
      <c r="DMG2180" s="17"/>
      <c r="DMH2180" s="17"/>
      <c r="DMI2180" s="17"/>
      <c r="DMJ2180" s="17"/>
      <c r="DMK2180" s="17"/>
      <c r="DML2180" s="17"/>
      <c r="DMM2180" s="17"/>
      <c r="DMN2180" s="17"/>
      <c r="DMO2180" s="17"/>
      <c r="DMP2180" s="17"/>
      <c r="DMQ2180" s="17"/>
    </row>
    <row r="2181" spans="3044:3059">
      <c r="DMB2181" s="17"/>
      <c r="DMC2181" s="17"/>
      <c r="DMD2181" s="17"/>
      <c r="DME2181" s="17"/>
      <c r="DMF2181" s="17"/>
      <c r="DMG2181" s="17"/>
      <c r="DMH2181" s="17"/>
      <c r="DMI2181" s="17"/>
      <c r="DMJ2181" s="17"/>
      <c r="DMK2181" s="17"/>
      <c r="DML2181" s="17"/>
      <c r="DMM2181" s="17"/>
      <c r="DMN2181" s="17"/>
      <c r="DMO2181" s="17"/>
      <c r="DMP2181" s="17"/>
      <c r="DMQ2181" s="17"/>
    </row>
    <row r="2182" spans="3044:3059">
      <c r="DMB2182" s="17"/>
      <c r="DMC2182" s="17"/>
      <c r="DMD2182" s="17"/>
      <c r="DME2182" s="17"/>
      <c r="DMF2182" s="17"/>
      <c r="DMG2182" s="17"/>
      <c r="DMH2182" s="17"/>
      <c r="DMI2182" s="17"/>
      <c r="DMJ2182" s="17"/>
      <c r="DMK2182" s="17"/>
      <c r="DML2182" s="17"/>
      <c r="DMM2182" s="17"/>
      <c r="DMN2182" s="17"/>
      <c r="DMO2182" s="17"/>
      <c r="DMP2182" s="17"/>
      <c r="DMQ2182" s="17"/>
    </row>
    <row r="2183" spans="3044:3059">
      <c r="DMB2183" s="17"/>
      <c r="DMC2183" s="17"/>
      <c r="DMD2183" s="17"/>
      <c r="DME2183" s="17"/>
      <c r="DMF2183" s="17"/>
      <c r="DMG2183" s="17"/>
      <c r="DMH2183" s="17"/>
      <c r="DMI2183" s="17"/>
      <c r="DMJ2183" s="17"/>
      <c r="DMK2183" s="17"/>
      <c r="DML2183" s="17"/>
      <c r="DMM2183" s="17"/>
      <c r="DMN2183" s="17"/>
      <c r="DMO2183" s="17"/>
      <c r="DMP2183" s="17"/>
      <c r="DMQ2183" s="17"/>
    </row>
    <row r="2184" spans="3044:3059">
      <c r="DMB2184" s="17"/>
      <c r="DMC2184" s="17"/>
      <c r="DMD2184" s="17"/>
      <c r="DME2184" s="17"/>
      <c r="DMF2184" s="17"/>
      <c r="DMG2184" s="17"/>
      <c r="DMH2184" s="17"/>
      <c r="DMI2184" s="17"/>
      <c r="DMJ2184" s="17"/>
      <c r="DMK2184" s="17"/>
      <c r="DML2184" s="17"/>
      <c r="DMM2184" s="17"/>
      <c r="DMN2184" s="17"/>
      <c r="DMO2184" s="17"/>
      <c r="DMP2184" s="17"/>
      <c r="DMQ2184" s="17"/>
    </row>
    <row r="2185" spans="3044:3059">
      <c r="DMB2185" s="17"/>
      <c r="DMC2185" s="17"/>
      <c r="DMD2185" s="17"/>
      <c r="DME2185" s="17"/>
      <c r="DMF2185" s="17"/>
      <c r="DMG2185" s="17"/>
      <c r="DMH2185" s="17"/>
      <c r="DMI2185" s="17"/>
      <c r="DMJ2185" s="17"/>
      <c r="DMK2185" s="17"/>
      <c r="DML2185" s="17"/>
      <c r="DMM2185" s="17"/>
      <c r="DMN2185" s="17"/>
      <c r="DMO2185" s="17"/>
      <c r="DMP2185" s="17"/>
      <c r="DMQ2185" s="17"/>
    </row>
    <row r="2186" spans="3044:3059">
      <c r="DMB2186" s="17"/>
      <c r="DMC2186" s="17"/>
      <c r="DMD2186" s="17"/>
      <c r="DME2186" s="17"/>
      <c r="DMF2186" s="17"/>
      <c r="DMG2186" s="17"/>
      <c r="DMH2186" s="17"/>
      <c r="DMI2186" s="17"/>
      <c r="DMJ2186" s="17"/>
      <c r="DMK2186" s="17"/>
      <c r="DML2186" s="17"/>
      <c r="DMM2186" s="17"/>
      <c r="DMN2186" s="17"/>
      <c r="DMO2186" s="17"/>
      <c r="DMP2186" s="17"/>
      <c r="DMQ2186" s="17"/>
    </row>
    <row r="2187" spans="3044:3059">
      <c r="DMB2187" s="17"/>
      <c r="DMC2187" s="17"/>
      <c r="DMD2187" s="17"/>
      <c r="DME2187" s="17"/>
      <c r="DMF2187" s="17"/>
      <c r="DMG2187" s="17"/>
      <c r="DMH2187" s="17"/>
      <c r="DMI2187" s="17"/>
      <c r="DMJ2187" s="17"/>
      <c r="DMK2187" s="17"/>
      <c r="DML2187" s="17"/>
      <c r="DMM2187" s="17"/>
      <c r="DMN2187" s="17"/>
      <c r="DMO2187" s="17"/>
      <c r="DMP2187" s="17"/>
      <c r="DMQ2187" s="17"/>
    </row>
    <row r="2188" spans="3044:3059">
      <c r="DMB2188" s="17"/>
      <c r="DMC2188" s="17"/>
      <c r="DMD2188" s="17"/>
      <c r="DME2188" s="17"/>
      <c r="DMF2188" s="17"/>
      <c r="DMG2188" s="17"/>
      <c r="DMH2188" s="17"/>
      <c r="DMI2188" s="17"/>
      <c r="DMJ2188" s="17"/>
      <c r="DMK2188" s="17"/>
      <c r="DML2188" s="17"/>
      <c r="DMM2188" s="17"/>
      <c r="DMN2188" s="17"/>
      <c r="DMO2188" s="17"/>
      <c r="DMP2188" s="17"/>
      <c r="DMQ2188" s="17"/>
    </row>
    <row r="2189" spans="3044:3059">
      <c r="DMB2189" s="17"/>
      <c r="DMC2189" s="17"/>
      <c r="DMD2189" s="17"/>
      <c r="DME2189" s="17"/>
      <c r="DMF2189" s="17"/>
      <c r="DMG2189" s="17"/>
      <c r="DMH2189" s="17"/>
      <c r="DMI2189" s="17"/>
      <c r="DMJ2189" s="17"/>
      <c r="DMK2189" s="17"/>
      <c r="DML2189" s="17"/>
      <c r="DMM2189" s="17"/>
      <c r="DMN2189" s="17"/>
      <c r="DMO2189" s="17"/>
      <c r="DMP2189" s="17"/>
      <c r="DMQ2189" s="17"/>
    </row>
    <row r="2190" spans="3044:3059">
      <c r="DMB2190" s="17"/>
      <c r="DMC2190" s="17"/>
      <c r="DMD2190" s="17"/>
      <c r="DME2190" s="17"/>
      <c r="DMF2190" s="17"/>
      <c r="DMG2190" s="17"/>
      <c r="DMH2190" s="17"/>
      <c r="DMI2190" s="17"/>
      <c r="DMJ2190" s="17"/>
      <c r="DMK2190" s="17"/>
      <c r="DML2190" s="17"/>
      <c r="DMM2190" s="17"/>
      <c r="DMN2190" s="17"/>
      <c r="DMO2190" s="17"/>
      <c r="DMP2190" s="17"/>
      <c r="DMQ2190" s="17"/>
    </row>
    <row r="2191" spans="3044:3059">
      <c r="DMB2191" s="17"/>
      <c r="DMC2191" s="17"/>
      <c r="DMD2191" s="17"/>
      <c r="DME2191" s="17"/>
      <c r="DMF2191" s="17"/>
      <c r="DMG2191" s="17"/>
      <c r="DMH2191" s="17"/>
      <c r="DMI2191" s="17"/>
      <c r="DMJ2191" s="17"/>
      <c r="DMK2191" s="17"/>
      <c r="DML2191" s="17"/>
      <c r="DMM2191" s="17"/>
      <c r="DMN2191" s="17"/>
      <c r="DMO2191" s="17"/>
      <c r="DMP2191" s="17"/>
      <c r="DMQ2191" s="17"/>
    </row>
    <row r="2192" spans="3044:3059">
      <c r="DMB2192" s="17"/>
      <c r="DMC2192" s="17"/>
      <c r="DMD2192" s="17"/>
      <c r="DME2192" s="17"/>
      <c r="DMF2192" s="17"/>
      <c r="DMG2192" s="17"/>
      <c r="DMH2192" s="17"/>
      <c r="DMI2192" s="17"/>
      <c r="DMJ2192" s="17"/>
      <c r="DMK2192" s="17"/>
      <c r="DML2192" s="17"/>
      <c r="DMM2192" s="17"/>
      <c r="DMN2192" s="17"/>
      <c r="DMO2192" s="17"/>
      <c r="DMP2192" s="17"/>
      <c r="DMQ2192" s="17"/>
    </row>
    <row r="2193" spans="3044:3059">
      <c r="DMB2193" s="17"/>
      <c r="DMC2193" s="17"/>
      <c r="DMD2193" s="17"/>
      <c r="DME2193" s="17"/>
      <c r="DMF2193" s="17"/>
      <c r="DMG2193" s="17"/>
      <c r="DMH2193" s="17"/>
      <c r="DMI2193" s="17"/>
      <c r="DMJ2193" s="17"/>
      <c r="DMK2193" s="17"/>
      <c r="DML2193" s="17"/>
      <c r="DMM2193" s="17"/>
      <c r="DMN2193" s="17"/>
      <c r="DMO2193" s="17"/>
      <c r="DMP2193" s="17"/>
      <c r="DMQ2193" s="17"/>
    </row>
    <row r="2194" spans="3044:3059">
      <c r="DMB2194" s="17"/>
      <c r="DMC2194" s="17"/>
      <c r="DMD2194" s="17"/>
      <c r="DME2194" s="17"/>
      <c r="DMF2194" s="17"/>
      <c r="DMG2194" s="17"/>
      <c r="DMH2194" s="17"/>
      <c r="DMI2194" s="17"/>
      <c r="DMJ2194" s="17"/>
      <c r="DMK2194" s="17"/>
      <c r="DML2194" s="17"/>
      <c r="DMM2194" s="17"/>
      <c r="DMN2194" s="17"/>
      <c r="DMO2194" s="17"/>
      <c r="DMP2194" s="17"/>
      <c r="DMQ2194" s="17"/>
    </row>
    <row r="2195" spans="3044:3059">
      <c r="DMB2195" s="17"/>
      <c r="DMC2195" s="17"/>
      <c r="DMD2195" s="17"/>
      <c r="DME2195" s="17"/>
      <c r="DMF2195" s="17"/>
      <c r="DMG2195" s="17"/>
      <c r="DMH2195" s="17"/>
      <c r="DMI2195" s="17"/>
      <c r="DMJ2195" s="17"/>
      <c r="DMK2195" s="17"/>
      <c r="DML2195" s="17"/>
      <c r="DMM2195" s="17"/>
      <c r="DMN2195" s="17"/>
      <c r="DMO2195" s="17"/>
      <c r="DMP2195" s="17"/>
      <c r="DMQ2195" s="17"/>
    </row>
    <row r="2196" spans="3044:3059">
      <c r="DMB2196" s="17"/>
      <c r="DMC2196" s="17"/>
      <c r="DMD2196" s="17"/>
      <c r="DME2196" s="17"/>
      <c r="DMF2196" s="17"/>
      <c r="DMG2196" s="17"/>
      <c r="DMH2196" s="17"/>
      <c r="DMI2196" s="17"/>
      <c r="DMJ2196" s="17"/>
      <c r="DMK2196" s="17"/>
      <c r="DML2196" s="17"/>
      <c r="DMM2196" s="17"/>
      <c r="DMN2196" s="17"/>
      <c r="DMO2196" s="17"/>
      <c r="DMP2196" s="17"/>
      <c r="DMQ2196" s="17"/>
    </row>
    <row r="2197" spans="3044:3059">
      <c r="DMB2197" s="17"/>
      <c r="DMC2197" s="17"/>
      <c r="DMD2197" s="17"/>
      <c r="DME2197" s="17"/>
      <c r="DMF2197" s="17"/>
      <c r="DMG2197" s="17"/>
      <c r="DMH2197" s="17"/>
      <c r="DMI2197" s="17"/>
      <c r="DMJ2197" s="17"/>
      <c r="DMK2197" s="17"/>
      <c r="DML2197" s="17"/>
      <c r="DMM2197" s="17"/>
      <c r="DMN2197" s="17"/>
      <c r="DMO2197" s="17"/>
      <c r="DMP2197" s="17"/>
      <c r="DMQ2197" s="17"/>
    </row>
    <row r="2198" spans="3044:3059">
      <c r="DMB2198" s="17"/>
      <c r="DMC2198" s="17"/>
      <c r="DMD2198" s="17"/>
      <c r="DME2198" s="17"/>
      <c r="DMF2198" s="17"/>
      <c r="DMG2198" s="17"/>
      <c r="DMH2198" s="17"/>
      <c r="DMI2198" s="17"/>
      <c r="DMJ2198" s="17"/>
      <c r="DMK2198" s="17"/>
      <c r="DML2198" s="17"/>
      <c r="DMM2198" s="17"/>
      <c r="DMN2198" s="17"/>
      <c r="DMO2198" s="17"/>
      <c r="DMP2198" s="17"/>
      <c r="DMQ2198" s="17"/>
    </row>
    <row r="2199" spans="3044:3059">
      <c r="DMB2199" s="17"/>
      <c r="DMC2199" s="17"/>
      <c r="DMD2199" s="17"/>
      <c r="DME2199" s="17"/>
      <c r="DMF2199" s="17"/>
      <c r="DMG2199" s="17"/>
      <c r="DMH2199" s="17"/>
      <c r="DMI2199" s="17"/>
      <c r="DMJ2199" s="17"/>
      <c r="DMK2199" s="17"/>
      <c r="DML2199" s="17"/>
      <c r="DMM2199" s="17"/>
      <c r="DMN2199" s="17"/>
      <c r="DMO2199" s="17"/>
      <c r="DMP2199" s="17"/>
      <c r="DMQ2199" s="17"/>
    </row>
    <row r="2200" spans="3044:3059">
      <c r="DMB2200" s="17"/>
      <c r="DMC2200" s="17"/>
      <c r="DMD2200" s="17"/>
      <c r="DME2200" s="17"/>
      <c r="DMF2200" s="17"/>
      <c r="DMG2200" s="17"/>
      <c r="DMH2200" s="17"/>
      <c r="DMI2200" s="17"/>
      <c r="DMJ2200" s="17"/>
      <c r="DMK2200" s="17"/>
      <c r="DML2200" s="17"/>
      <c r="DMM2200" s="17"/>
      <c r="DMN2200" s="17"/>
      <c r="DMO2200" s="17"/>
      <c r="DMP2200" s="17"/>
      <c r="DMQ2200" s="17"/>
    </row>
    <row r="2201" spans="3044:3059">
      <c r="DMB2201" s="17"/>
      <c r="DMC2201" s="17"/>
      <c r="DMD2201" s="17"/>
      <c r="DME2201" s="17"/>
      <c r="DMF2201" s="17"/>
      <c r="DMG2201" s="17"/>
      <c r="DMH2201" s="17"/>
      <c r="DMI2201" s="17"/>
      <c r="DMJ2201" s="17"/>
      <c r="DMK2201" s="17"/>
      <c r="DML2201" s="17"/>
      <c r="DMM2201" s="17"/>
      <c r="DMN2201" s="17"/>
      <c r="DMO2201" s="17"/>
      <c r="DMP2201" s="17"/>
      <c r="DMQ2201" s="17"/>
    </row>
    <row r="2202" spans="3044:3059">
      <c r="DMB2202" s="17"/>
      <c r="DMC2202" s="17"/>
      <c r="DMD2202" s="17"/>
      <c r="DME2202" s="17"/>
      <c r="DMF2202" s="17"/>
      <c r="DMG2202" s="17"/>
      <c r="DMH2202" s="17"/>
      <c r="DMI2202" s="17"/>
      <c r="DMJ2202" s="17"/>
      <c r="DMK2202" s="17"/>
      <c r="DML2202" s="17"/>
      <c r="DMM2202" s="17"/>
      <c r="DMN2202" s="17"/>
      <c r="DMO2202" s="17"/>
      <c r="DMP2202" s="17"/>
      <c r="DMQ2202" s="17"/>
    </row>
    <row r="2203" spans="3044:3059">
      <c r="DMB2203" s="17"/>
      <c r="DMC2203" s="17"/>
      <c r="DMD2203" s="17"/>
      <c r="DME2203" s="17"/>
      <c r="DMF2203" s="17"/>
      <c r="DMG2203" s="17"/>
      <c r="DMH2203" s="17"/>
      <c r="DMI2203" s="17"/>
      <c r="DMJ2203" s="17"/>
      <c r="DMK2203" s="17"/>
      <c r="DML2203" s="17"/>
      <c r="DMM2203" s="17"/>
      <c r="DMN2203" s="17"/>
      <c r="DMO2203" s="17"/>
      <c r="DMP2203" s="17"/>
      <c r="DMQ2203" s="17"/>
    </row>
    <row r="2204" spans="3044:3059">
      <c r="DMB2204" s="17"/>
      <c r="DMC2204" s="17"/>
      <c r="DMD2204" s="17"/>
      <c r="DME2204" s="17"/>
      <c r="DMF2204" s="17"/>
      <c r="DMG2204" s="17"/>
      <c r="DMH2204" s="17"/>
      <c r="DMI2204" s="17"/>
      <c r="DMJ2204" s="17"/>
      <c r="DMK2204" s="17"/>
      <c r="DML2204" s="17"/>
      <c r="DMM2204" s="17"/>
      <c r="DMN2204" s="17"/>
      <c r="DMO2204" s="17"/>
      <c r="DMP2204" s="17"/>
      <c r="DMQ2204" s="17"/>
    </row>
    <row r="2205" spans="3044:3059">
      <c r="DMB2205" s="17"/>
      <c r="DMC2205" s="17"/>
      <c r="DMD2205" s="17"/>
      <c r="DME2205" s="17"/>
      <c r="DMF2205" s="17"/>
      <c r="DMG2205" s="17"/>
      <c r="DMH2205" s="17"/>
      <c r="DMI2205" s="17"/>
      <c r="DMJ2205" s="17"/>
      <c r="DMK2205" s="17"/>
      <c r="DML2205" s="17"/>
      <c r="DMM2205" s="17"/>
      <c r="DMN2205" s="17"/>
      <c r="DMO2205" s="17"/>
      <c r="DMP2205" s="17"/>
      <c r="DMQ2205" s="17"/>
    </row>
    <row r="2206" spans="3044:3059">
      <c r="DMB2206" s="17"/>
      <c r="DMC2206" s="17"/>
      <c r="DMD2206" s="17"/>
      <c r="DME2206" s="17"/>
      <c r="DMF2206" s="17"/>
      <c r="DMG2206" s="17"/>
      <c r="DMH2206" s="17"/>
      <c r="DMI2206" s="17"/>
      <c r="DMJ2206" s="17"/>
      <c r="DMK2206" s="17"/>
      <c r="DML2206" s="17"/>
      <c r="DMM2206" s="17"/>
      <c r="DMN2206" s="17"/>
      <c r="DMO2206" s="17"/>
      <c r="DMP2206" s="17"/>
      <c r="DMQ2206" s="17"/>
    </row>
    <row r="2207" spans="3044:3059">
      <c r="DMB2207" s="17"/>
      <c r="DMC2207" s="17"/>
      <c r="DMD2207" s="17"/>
      <c r="DME2207" s="17"/>
      <c r="DMF2207" s="17"/>
      <c r="DMG2207" s="17"/>
      <c r="DMH2207" s="17"/>
      <c r="DMI2207" s="17"/>
      <c r="DMJ2207" s="17"/>
      <c r="DMK2207" s="17"/>
      <c r="DML2207" s="17"/>
      <c r="DMM2207" s="17"/>
      <c r="DMN2207" s="17"/>
      <c r="DMO2207" s="17"/>
      <c r="DMP2207" s="17"/>
      <c r="DMQ2207" s="17"/>
    </row>
    <row r="2208" spans="3044:3059">
      <c r="DMB2208" s="17"/>
      <c r="DMC2208" s="17"/>
      <c r="DMD2208" s="17"/>
      <c r="DME2208" s="17"/>
      <c r="DMF2208" s="17"/>
      <c r="DMG2208" s="17"/>
      <c r="DMH2208" s="17"/>
      <c r="DMI2208" s="17"/>
      <c r="DMJ2208" s="17"/>
      <c r="DMK2208" s="17"/>
      <c r="DML2208" s="17"/>
      <c r="DMM2208" s="17"/>
      <c r="DMN2208" s="17"/>
      <c r="DMO2208" s="17"/>
      <c r="DMP2208" s="17"/>
      <c r="DMQ2208" s="17"/>
    </row>
    <row r="2209" spans="3044:3059">
      <c r="DMB2209" s="17"/>
      <c r="DMC2209" s="17"/>
      <c r="DMD2209" s="17"/>
      <c r="DME2209" s="17"/>
      <c r="DMF2209" s="17"/>
      <c r="DMG2209" s="17"/>
      <c r="DMH2209" s="17"/>
      <c r="DMI2209" s="17"/>
      <c r="DMJ2209" s="17"/>
      <c r="DMK2209" s="17"/>
      <c r="DML2209" s="17"/>
      <c r="DMM2209" s="17"/>
      <c r="DMN2209" s="17"/>
      <c r="DMO2209" s="17"/>
      <c r="DMP2209" s="17"/>
      <c r="DMQ2209" s="17"/>
    </row>
    <row r="2210" spans="3044:3059">
      <c r="DMB2210" s="17"/>
      <c r="DMC2210" s="17"/>
      <c r="DMD2210" s="17"/>
      <c r="DME2210" s="17"/>
      <c r="DMF2210" s="17"/>
      <c r="DMG2210" s="17"/>
      <c r="DMH2210" s="17"/>
      <c r="DMI2210" s="17"/>
      <c r="DMJ2210" s="17"/>
      <c r="DMK2210" s="17"/>
      <c r="DML2210" s="17"/>
      <c r="DMM2210" s="17"/>
      <c r="DMN2210" s="17"/>
      <c r="DMO2210" s="17"/>
      <c r="DMP2210" s="17"/>
      <c r="DMQ2210" s="17"/>
    </row>
    <row r="2211" spans="3044:3059">
      <c r="DMB2211" s="17"/>
      <c r="DMC2211" s="17"/>
      <c r="DMD2211" s="17"/>
      <c r="DME2211" s="17"/>
      <c r="DMF2211" s="17"/>
      <c r="DMG2211" s="17"/>
      <c r="DMH2211" s="17"/>
      <c r="DMI2211" s="17"/>
      <c r="DMJ2211" s="17"/>
      <c r="DMK2211" s="17"/>
      <c r="DML2211" s="17"/>
      <c r="DMM2211" s="17"/>
      <c r="DMN2211" s="17"/>
      <c r="DMO2211" s="17"/>
      <c r="DMP2211" s="17"/>
      <c r="DMQ2211" s="17"/>
    </row>
    <row r="2212" spans="3044:3059">
      <c r="DMB2212" s="17"/>
      <c r="DMC2212" s="17"/>
      <c r="DMD2212" s="17"/>
      <c r="DME2212" s="17"/>
      <c r="DMF2212" s="17"/>
      <c r="DMG2212" s="17"/>
      <c r="DMH2212" s="17"/>
      <c r="DMI2212" s="17"/>
      <c r="DMJ2212" s="17"/>
      <c r="DMK2212" s="17"/>
      <c r="DML2212" s="17"/>
      <c r="DMM2212" s="17"/>
      <c r="DMN2212" s="17"/>
      <c r="DMO2212" s="17"/>
      <c r="DMP2212" s="17"/>
      <c r="DMQ2212" s="17"/>
    </row>
    <row r="2213" spans="3044:3059">
      <c r="DMB2213" s="17"/>
      <c r="DMC2213" s="17"/>
      <c r="DMD2213" s="17"/>
      <c r="DME2213" s="17"/>
      <c r="DMF2213" s="17"/>
      <c r="DMG2213" s="17"/>
      <c r="DMH2213" s="17"/>
      <c r="DMI2213" s="17"/>
      <c r="DMJ2213" s="17"/>
      <c r="DMK2213" s="17"/>
      <c r="DML2213" s="17"/>
      <c r="DMM2213" s="17"/>
      <c r="DMN2213" s="17"/>
      <c r="DMO2213" s="17"/>
      <c r="DMP2213" s="17"/>
      <c r="DMQ2213" s="17"/>
    </row>
    <row r="2214" spans="3044:3059">
      <c r="DMB2214" s="17"/>
      <c r="DMC2214" s="17"/>
      <c r="DMD2214" s="17"/>
      <c r="DME2214" s="17"/>
      <c r="DMF2214" s="17"/>
      <c r="DMG2214" s="17"/>
      <c r="DMH2214" s="17"/>
      <c r="DMI2214" s="17"/>
      <c r="DMJ2214" s="17"/>
      <c r="DMK2214" s="17"/>
      <c r="DML2214" s="17"/>
      <c r="DMM2214" s="17"/>
      <c r="DMN2214" s="17"/>
      <c r="DMO2214" s="17"/>
      <c r="DMP2214" s="17"/>
      <c r="DMQ2214" s="17"/>
    </row>
    <row r="2215" spans="3044:3059">
      <c r="DMB2215" s="17"/>
      <c r="DMC2215" s="17"/>
      <c r="DMD2215" s="17"/>
      <c r="DME2215" s="17"/>
      <c r="DMF2215" s="17"/>
      <c r="DMG2215" s="17"/>
      <c r="DMH2215" s="17"/>
      <c r="DMI2215" s="17"/>
      <c r="DMJ2215" s="17"/>
      <c r="DMK2215" s="17"/>
      <c r="DML2215" s="17"/>
      <c r="DMM2215" s="17"/>
      <c r="DMN2215" s="17"/>
      <c r="DMO2215" s="17"/>
      <c r="DMP2215" s="17"/>
      <c r="DMQ2215" s="17"/>
    </row>
    <row r="2216" spans="3044:3059">
      <c r="DMB2216" s="17"/>
      <c r="DMC2216" s="17"/>
      <c r="DMD2216" s="17"/>
      <c r="DME2216" s="17"/>
      <c r="DMF2216" s="17"/>
      <c r="DMG2216" s="17"/>
      <c r="DMH2216" s="17"/>
      <c r="DMI2216" s="17"/>
      <c r="DMJ2216" s="17"/>
      <c r="DMK2216" s="17"/>
      <c r="DML2216" s="17"/>
      <c r="DMM2216" s="17"/>
      <c r="DMN2216" s="17"/>
      <c r="DMO2216" s="17"/>
      <c r="DMP2216" s="17"/>
      <c r="DMQ2216" s="17"/>
    </row>
    <row r="2217" spans="3044:3059">
      <c r="DMB2217" s="17"/>
      <c r="DMC2217" s="17"/>
      <c r="DMD2217" s="17"/>
      <c r="DME2217" s="17"/>
      <c r="DMF2217" s="17"/>
      <c r="DMG2217" s="17"/>
      <c r="DMH2217" s="17"/>
      <c r="DMI2217" s="17"/>
      <c r="DMJ2217" s="17"/>
      <c r="DMK2217" s="17"/>
      <c r="DML2217" s="17"/>
      <c r="DMM2217" s="17"/>
      <c r="DMN2217" s="17"/>
      <c r="DMO2217" s="17"/>
      <c r="DMP2217" s="17"/>
      <c r="DMQ2217" s="17"/>
    </row>
    <row r="2218" spans="3044:3059">
      <c r="DMB2218" s="17"/>
      <c r="DMC2218" s="17"/>
      <c r="DMD2218" s="17"/>
      <c r="DME2218" s="17"/>
      <c r="DMF2218" s="17"/>
      <c r="DMG2218" s="17"/>
      <c r="DMH2218" s="17"/>
      <c r="DMI2218" s="17"/>
      <c r="DMJ2218" s="17"/>
      <c r="DMK2218" s="17"/>
      <c r="DML2218" s="17"/>
      <c r="DMM2218" s="17"/>
      <c r="DMN2218" s="17"/>
      <c r="DMO2218" s="17"/>
      <c r="DMP2218" s="17"/>
      <c r="DMQ2218" s="17"/>
    </row>
    <row r="2219" spans="3044:3059">
      <c r="DMB2219" s="17"/>
      <c r="DMC2219" s="17"/>
      <c r="DMD2219" s="17"/>
      <c r="DME2219" s="17"/>
      <c r="DMF2219" s="17"/>
      <c r="DMG2219" s="17"/>
      <c r="DMH2219" s="17"/>
      <c r="DMI2219" s="17"/>
      <c r="DMJ2219" s="17"/>
      <c r="DMK2219" s="17"/>
      <c r="DML2219" s="17"/>
      <c r="DMM2219" s="17"/>
      <c r="DMN2219" s="17"/>
      <c r="DMO2219" s="17"/>
      <c r="DMP2219" s="17"/>
      <c r="DMQ2219" s="17"/>
    </row>
    <row r="2220" spans="3044:3059">
      <c r="DMB2220" s="17"/>
      <c r="DMC2220" s="17"/>
      <c r="DMD2220" s="17"/>
      <c r="DME2220" s="17"/>
      <c r="DMF2220" s="17"/>
      <c r="DMG2220" s="17"/>
      <c r="DMH2220" s="17"/>
      <c r="DMI2220" s="17"/>
      <c r="DMJ2220" s="17"/>
      <c r="DMK2220" s="17"/>
      <c r="DML2220" s="17"/>
      <c r="DMM2220" s="17"/>
      <c r="DMN2220" s="17"/>
      <c r="DMO2220" s="17"/>
      <c r="DMP2220" s="17"/>
      <c r="DMQ2220" s="17"/>
    </row>
    <row r="2221" spans="3044:3059">
      <c r="DMB2221" s="17"/>
      <c r="DMC2221" s="17"/>
      <c r="DMD2221" s="17"/>
      <c r="DME2221" s="17"/>
      <c r="DMF2221" s="17"/>
      <c r="DMG2221" s="17"/>
      <c r="DMH2221" s="17"/>
      <c r="DMI2221" s="17"/>
      <c r="DMJ2221" s="17"/>
      <c r="DMK2221" s="17"/>
      <c r="DML2221" s="17"/>
      <c r="DMM2221" s="17"/>
      <c r="DMN2221" s="17"/>
      <c r="DMO2221" s="17"/>
      <c r="DMP2221" s="17"/>
      <c r="DMQ2221" s="17"/>
    </row>
    <row r="2222" spans="3044:3059">
      <c r="DMB2222" s="17"/>
      <c r="DMC2222" s="17"/>
      <c r="DMD2222" s="17"/>
      <c r="DME2222" s="17"/>
      <c r="DMF2222" s="17"/>
      <c r="DMG2222" s="17"/>
      <c r="DMH2222" s="17"/>
      <c r="DMI2222" s="17"/>
      <c r="DMJ2222" s="17"/>
      <c r="DMK2222" s="17"/>
      <c r="DML2222" s="17"/>
      <c r="DMM2222" s="17"/>
      <c r="DMN2222" s="17"/>
      <c r="DMO2222" s="17"/>
      <c r="DMP2222" s="17"/>
      <c r="DMQ2222" s="17"/>
    </row>
    <row r="2223" spans="3044:3059">
      <c r="DMB2223" s="17"/>
      <c r="DMC2223" s="17"/>
      <c r="DMD2223" s="17"/>
      <c r="DME2223" s="17"/>
      <c r="DMF2223" s="17"/>
      <c r="DMG2223" s="17"/>
      <c r="DMH2223" s="17"/>
      <c r="DMI2223" s="17"/>
      <c r="DMJ2223" s="17"/>
      <c r="DMK2223" s="17"/>
      <c r="DML2223" s="17"/>
      <c r="DMM2223" s="17"/>
      <c r="DMN2223" s="17"/>
      <c r="DMO2223" s="17"/>
      <c r="DMP2223" s="17"/>
      <c r="DMQ2223" s="17"/>
    </row>
    <row r="2224" spans="3044:3059">
      <c r="DMB2224" s="17"/>
      <c r="DMC2224" s="17"/>
      <c r="DMD2224" s="17"/>
      <c r="DME2224" s="17"/>
      <c r="DMF2224" s="17"/>
      <c r="DMG2224" s="17"/>
      <c r="DMH2224" s="17"/>
      <c r="DMI2224" s="17"/>
      <c r="DMJ2224" s="17"/>
      <c r="DMK2224" s="17"/>
      <c r="DML2224" s="17"/>
      <c r="DMM2224" s="17"/>
      <c r="DMN2224" s="17"/>
      <c r="DMO2224" s="17"/>
      <c r="DMP2224" s="17"/>
      <c r="DMQ2224" s="17"/>
    </row>
    <row r="2225" spans="3044:3059">
      <c r="DMB2225" s="17"/>
      <c r="DMC2225" s="17"/>
      <c r="DMD2225" s="17"/>
      <c r="DME2225" s="17"/>
      <c r="DMF2225" s="17"/>
      <c r="DMG2225" s="17"/>
      <c r="DMH2225" s="17"/>
      <c r="DMI2225" s="17"/>
      <c r="DMJ2225" s="17"/>
      <c r="DMK2225" s="17"/>
      <c r="DML2225" s="17"/>
      <c r="DMM2225" s="17"/>
      <c r="DMN2225" s="17"/>
      <c r="DMO2225" s="17"/>
      <c r="DMP2225" s="17"/>
      <c r="DMQ2225" s="17"/>
    </row>
    <row r="2226" spans="3044:3059">
      <c r="DMB2226" s="17"/>
      <c r="DMC2226" s="17"/>
      <c r="DMD2226" s="17"/>
      <c r="DME2226" s="17"/>
      <c r="DMF2226" s="17"/>
      <c r="DMG2226" s="17"/>
      <c r="DMH2226" s="17"/>
      <c r="DMI2226" s="17"/>
      <c r="DMJ2226" s="17"/>
      <c r="DMK2226" s="17"/>
      <c r="DML2226" s="17"/>
      <c r="DMM2226" s="17"/>
      <c r="DMN2226" s="17"/>
      <c r="DMO2226" s="17"/>
      <c r="DMP2226" s="17"/>
      <c r="DMQ2226" s="17"/>
    </row>
    <row r="2227" spans="3044:3059">
      <c r="DMB2227" s="17"/>
      <c r="DMC2227" s="17"/>
      <c r="DMD2227" s="17"/>
      <c r="DME2227" s="17"/>
      <c r="DMF2227" s="17"/>
      <c r="DMG2227" s="17"/>
      <c r="DMH2227" s="17"/>
      <c r="DMI2227" s="17"/>
      <c r="DMJ2227" s="17"/>
      <c r="DMK2227" s="17"/>
      <c r="DML2227" s="17"/>
      <c r="DMM2227" s="17"/>
      <c r="DMN2227" s="17"/>
      <c r="DMO2227" s="17"/>
      <c r="DMP2227" s="17"/>
      <c r="DMQ2227" s="17"/>
    </row>
    <row r="2228" spans="3044:3059">
      <c r="DMB2228" s="17"/>
      <c r="DMC2228" s="17"/>
      <c r="DMD2228" s="17"/>
      <c r="DME2228" s="17"/>
      <c r="DMF2228" s="17"/>
      <c r="DMG2228" s="17"/>
      <c r="DMH2228" s="17"/>
      <c r="DMI2228" s="17"/>
      <c r="DMJ2228" s="17"/>
      <c r="DMK2228" s="17"/>
      <c r="DML2228" s="17"/>
      <c r="DMM2228" s="17"/>
      <c r="DMN2228" s="17"/>
      <c r="DMO2228" s="17"/>
      <c r="DMP2228" s="17"/>
      <c r="DMQ2228" s="17"/>
    </row>
    <row r="2229" spans="3044:3059">
      <c r="DMB2229" s="17"/>
      <c r="DMC2229" s="17"/>
      <c r="DMD2229" s="17"/>
      <c r="DME2229" s="17"/>
      <c r="DMF2229" s="17"/>
      <c r="DMG2229" s="17"/>
      <c r="DMH2229" s="17"/>
      <c r="DMI2229" s="17"/>
      <c r="DMJ2229" s="17"/>
      <c r="DMK2229" s="17"/>
      <c r="DML2229" s="17"/>
      <c r="DMM2229" s="17"/>
      <c r="DMN2229" s="17"/>
      <c r="DMO2229" s="17"/>
      <c r="DMP2229" s="17"/>
      <c r="DMQ2229" s="17"/>
    </row>
    <row r="2230" spans="3044:3059">
      <c r="DMB2230" s="17"/>
      <c r="DMC2230" s="17"/>
      <c r="DMD2230" s="17"/>
      <c r="DME2230" s="17"/>
      <c r="DMF2230" s="17"/>
      <c r="DMG2230" s="17"/>
      <c r="DMH2230" s="17"/>
      <c r="DMI2230" s="17"/>
      <c r="DMJ2230" s="17"/>
      <c r="DMK2230" s="17"/>
      <c r="DML2230" s="17"/>
      <c r="DMM2230" s="17"/>
      <c r="DMN2230" s="17"/>
      <c r="DMO2230" s="17"/>
      <c r="DMP2230" s="17"/>
      <c r="DMQ2230" s="17"/>
    </row>
    <row r="2231" spans="3044:3059">
      <c r="DMB2231" s="17"/>
      <c r="DMC2231" s="17"/>
      <c r="DMD2231" s="17"/>
      <c r="DME2231" s="17"/>
      <c r="DMF2231" s="17"/>
      <c r="DMG2231" s="17"/>
      <c r="DMH2231" s="17"/>
      <c r="DMI2231" s="17"/>
      <c r="DMJ2231" s="17"/>
      <c r="DMK2231" s="17"/>
      <c r="DML2231" s="17"/>
      <c r="DMM2231" s="17"/>
      <c r="DMN2231" s="17"/>
      <c r="DMO2231" s="17"/>
      <c r="DMP2231" s="17"/>
      <c r="DMQ2231" s="17"/>
    </row>
    <row r="2232" spans="3044:3059">
      <c r="DMB2232" s="17"/>
      <c r="DMC2232" s="17"/>
      <c r="DMD2232" s="17"/>
      <c r="DME2232" s="17"/>
      <c r="DMF2232" s="17"/>
      <c r="DMG2232" s="17"/>
      <c r="DMH2232" s="17"/>
      <c r="DMI2232" s="17"/>
      <c r="DMJ2232" s="17"/>
      <c r="DMK2232" s="17"/>
      <c r="DML2232" s="17"/>
      <c r="DMM2232" s="17"/>
      <c r="DMN2232" s="17"/>
      <c r="DMO2232" s="17"/>
      <c r="DMP2232" s="17"/>
      <c r="DMQ2232" s="17"/>
    </row>
    <row r="2233" spans="3044:3059">
      <c r="DMB2233" s="17"/>
      <c r="DMC2233" s="17"/>
      <c r="DMD2233" s="17"/>
      <c r="DME2233" s="17"/>
      <c r="DMF2233" s="17"/>
      <c r="DMG2233" s="17"/>
      <c r="DMH2233" s="17"/>
      <c r="DMI2233" s="17"/>
      <c r="DMJ2233" s="17"/>
      <c r="DMK2233" s="17"/>
      <c r="DML2233" s="17"/>
      <c r="DMM2233" s="17"/>
      <c r="DMN2233" s="17"/>
      <c r="DMO2233" s="17"/>
      <c r="DMP2233" s="17"/>
      <c r="DMQ2233" s="17"/>
    </row>
    <row r="2234" spans="3044:3059">
      <c r="DMB2234" s="17"/>
      <c r="DMC2234" s="17"/>
      <c r="DMD2234" s="17"/>
      <c r="DME2234" s="17"/>
      <c r="DMF2234" s="17"/>
      <c r="DMG2234" s="17"/>
      <c r="DMH2234" s="17"/>
      <c r="DMI2234" s="17"/>
      <c r="DMJ2234" s="17"/>
      <c r="DMK2234" s="17"/>
      <c r="DML2234" s="17"/>
      <c r="DMM2234" s="17"/>
      <c r="DMN2234" s="17"/>
      <c r="DMO2234" s="17"/>
      <c r="DMP2234" s="17"/>
      <c r="DMQ2234" s="17"/>
    </row>
    <row r="2235" spans="3044:3059">
      <c r="DMB2235" s="17"/>
      <c r="DMC2235" s="17"/>
      <c r="DMD2235" s="17"/>
      <c r="DME2235" s="17"/>
      <c r="DMF2235" s="17"/>
      <c r="DMG2235" s="17"/>
      <c r="DMH2235" s="17"/>
      <c r="DMI2235" s="17"/>
      <c r="DMJ2235" s="17"/>
      <c r="DMK2235" s="17"/>
      <c r="DML2235" s="17"/>
      <c r="DMM2235" s="17"/>
      <c r="DMN2235" s="17"/>
      <c r="DMO2235" s="17"/>
      <c r="DMP2235" s="17"/>
      <c r="DMQ2235" s="17"/>
    </row>
    <row r="2236" spans="3044:3059">
      <c r="DMB2236" s="17"/>
      <c r="DMC2236" s="17"/>
      <c r="DMD2236" s="17"/>
      <c r="DME2236" s="17"/>
      <c r="DMF2236" s="17"/>
      <c r="DMG2236" s="17"/>
      <c r="DMH2236" s="17"/>
      <c r="DMI2236" s="17"/>
      <c r="DMJ2236" s="17"/>
      <c r="DMK2236" s="17"/>
      <c r="DML2236" s="17"/>
      <c r="DMM2236" s="17"/>
      <c r="DMN2236" s="17"/>
      <c r="DMO2236" s="17"/>
      <c r="DMP2236" s="17"/>
      <c r="DMQ2236" s="17"/>
    </row>
    <row r="2237" spans="3044:3059">
      <c r="DMB2237" s="17"/>
      <c r="DMC2237" s="17"/>
      <c r="DMD2237" s="17"/>
      <c r="DME2237" s="17"/>
      <c r="DMF2237" s="17"/>
      <c r="DMG2237" s="17"/>
      <c r="DMH2237" s="17"/>
      <c r="DMI2237" s="17"/>
      <c r="DMJ2237" s="17"/>
      <c r="DMK2237" s="17"/>
      <c r="DML2237" s="17"/>
      <c r="DMM2237" s="17"/>
      <c r="DMN2237" s="17"/>
      <c r="DMO2237" s="17"/>
      <c r="DMP2237" s="17"/>
      <c r="DMQ2237" s="17"/>
    </row>
    <row r="2238" spans="3044:3059">
      <c r="DMB2238" s="17"/>
      <c r="DMC2238" s="17"/>
      <c r="DMD2238" s="17"/>
      <c r="DME2238" s="17"/>
      <c r="DMF2238" s="17"/>
      <c r="DMG2238" s="17"/>
      <c r="DMH2238" s="17"/>
      <c r="DMI2238" s="17"/>
      <c r="DMJ2238" s="17"/>
      <c r="DMK2238" s="17"/>
      <c r="DML2238" s="17"/>
      <c r="DMM2238" s="17"/>
      <c r="DMN2238" s="17"/>
      <c r="DMO2238" s="17"/>
      <c r="DMP2238" s="17"/>
      <c r="DMQ2238" s="17"/>
    </row>
    <row r="2239" spans="3044:3059">
      <c r="DMB2239" s="17"/>
      <c r="DMC2239" s="17"/>
      <c r="DMD2239" s="17"/>
      <c r="DME2239" s="17"/>
      <c r="DMF2239" s="17"/>
      <c r="DMG2239" s="17"/>
      <c r="DMH2239" s="17"/>
      <c r="DMI2239" s="17"/>
      <c r="DMJ2239" s="17"/>
      <c r="DMK2239" s="17"/>
      <c r="DML2239" s="17"/>
      <c r="DMM2239" s="17"/>
      <c r="DMN2239" s="17"/>
      <c r="DMO2239" s="17"/>
      <c r="DMP2239" s="17"/>
      <c r="DMQ2239" s="17"/>
    </row>
    <row r="2240" spans="3044:3059">
      <c r="DMB2240" s="17"/>
      <c r="DMC2240" s="17"/>
      <c r="DMD2240" s="17"/>
      <c r="DME2240" s="17"/>
      <c r="DMF2240" s="17"/>
      <c r="DMG2240" s="17"/>
      <c r="DMH2240" s="17"/>
      <c r="DMI2240" s="17"/>
      <c r="DMJ2240" s="17"/>
      <c r="DMK2240" s="17"/>
      <c r="DML2240" s="17"/>
      <c r="DMM2240" s="17"/>
      <c r="DMN2240" s="17"/>
      <c r="DMO2240" s="17"/>
      <c r="DMP2240" s="17"/>
      <c r="DMQ2240" s="17"/>
    </row>
    <row r="2241" spans="3044:3059">
      <c r="DMB2241" s="17"/>
      <c r="DMC2241" s="17"/>
      <c r="DMD2241" s="17"/>
      <c r="DME2241" s="17"/>
      <c r="DMF2241" s="17"/>
      <c r="DMG2241" s="17"/>
      <c r="DMH2241" s="17"/>
      <c r="DMI2241" s="17"/>
      <c r="DMJ2241" s="17"/>
      <c r="DMK2241" s="17"/>
      <c r="DML2241" s="17"/>
      <c r="DMM2241" s="17"/>
      <c r="DMN2241" s="17"/>
      <c r="DMO2241" s="17"/>
      <c r="DMP2241" s="17"/>
      <c r="DMQ2241" s="17"/>
    </row>
    <row r="2242" spans="3044:3059">
      <c r="DMB2242" s="17"/>
      <c r="DMC2242" s="17"/>
      <c r="DMD2242" s="17"/>
      <c r="DME2242" s="17"/>
      <c r="DMF2242" s="17"/>
      <c r="DMG2242" s="17"/>
      <c r="DMH2242" s="17"/>
      <c r="DMI2242" s="17"/>
      <c r="DMJ2242" s="17"/>
      <c r="DMK2242" s="17"/>
      <c r="DML2242" s="17"/>
      <c r="DMM2242" s="17"/>
      <c r="DMN2242" s="17"/>
      <c r="DMO2242" s="17"/>
      <c r="DMP2242" s="17"/>
      <c r="DMQ2242" s="17"/>
    </row>
    <row r="2243" spans="3044:3059">
      <c r="DMB2243" s="17"/>
      <c r="DMC2243" s="17"/>
      <c r="DMD2243" s="17"/>
      <c r="DME2243" s="17"/>
      <c r="DMF2243" s="17"/>
      <c r="DMG2243" s="17"/>
      <c r="DMH2243" s="17"/>
      <c r="DMI2243" s="17"/>
      <c r="DMJ2243" s="17"/>
      <c r="DMK2243" s="17"/>
      <c r="DML2243" s="17"/>
      <c r="DMM2243" s="17"/>
      <c r="DMN2243" s="17"/>
      <c r="DMO2243" s="17"/>
      <c r="DMP2243" s="17"/>
      <c r="DMQ2243" s="17"/>
    </row>
    <row r="2244" spans="3044:3059">
      <c r="DMB2244" s="17"/>
      <c r="DMC2244" s="17"/>
      <c r="DMD2244" s="17"/>
      <c r="DME2244" s="17"/>
      <c r="DMF2244" s="17"/>
      <c r="DMG2244" s="17"/>
      <c r="DMH2244" s="17"/>
      <c r="DMI2244" s="17"/>
      <c r="DMJ2244" s="17"/>
      <c r="DMK2244" s="17"/>
      <c r="DML2244" s="17"/>
      <c r="DMM2244" s="17"/>
      <c r="DMN2244" s="17"/>
      <c r="DMO2244" s="17"/>
      <c r="DMP2244" s="17"/>
      <c r="DMQ2244" s="17"/>
    </row>
    <row r="2245" spans="3044:3059">
      <c r="DMB2245" s="17"/>
      <c r="DMC2245" s="17"/>
      <c r="DMD2245" s="17"/>
      <c r="DME2245" s="17"/>
      <c r="DMF2245" s="17"/>
      <c r="DMG2245" s="17"/>
      <c r="DMH2245" s="17"/>
      <c r="DMI2245" s="17"/>
      <c r="DMJ2245" s="17"/>
      <c r="DMK2245" s="17"/>
      <c r="DML2245" s="17"/>
      <c r="DMM2245" s="17"/>
      <c r="DMN2245" s="17"/>
      <c r="DMO2245" s="17"/>
      <c r="DMP2245" s="17"/>
      <c r="DMQ2245" s="17"/>
    </row>
    <row r="2246" spans="3044:3059">
      <c r="DMB2246" s="17"/>
      <c r="DMC2246" s="17"/>
      <c r="DMD2246" s="17"/>
      <c r="DME2246" s="17"/>
      <c r="DMF2246" s="17"/>
      <c r="DMG2246" s="17"/>
      <c r="DMH2246" s="17"/>
      <c r="DMI2246" s="17"/>
      <c r="DMJ2246" s="17"/>
      <c r="DMK2246" s="17"/>
      <c r="DML2246" s="17"/>
      <c r="DMM2246" s="17"/>
      <c r="DMN2246" s="17"/>
      <c r="DMO2246" s="17"/>
      <c r="DMP2246" s="17"/>
      <c r="DMQ2246" s="17"/>
    </row>
    <row r="2247" spans="3044:3059">
      <c r="DMB2247" s="17"/>
      <c r="DMC2247" s="17"/>
      <c r="DMD2247" s="17"/>
      <c r="DME2247" s="17"/>
      <c r="DMF2247" s="17"/>
      <c r="DMG2247" s="17"/>
      <c r="DMH2247" s="17"/>
      <c r="DMI2247" s="17"/>
      <c r="DMJ2247" s="17"/>
      <c r="DMK2247" s="17"/>
      <c r="DML2247" s="17"/>
      <c r="DMM2247" s="17"/>
      <c r="DMN2247" s="17"/>
      <c r="DMO2247" s="17"/>
      <c r="DMP2247" s="17"/>
      <c r="DMQ2247" s="17"/>
    </row>
    <row r="2248" spans="3044:3059">
      <c r="DMB2248" s="17"/>
      <c r="DMC2248" s="17"/>
      <c r="DMD2248" s="17"/>
      <c r="DME2248" s="17"/>
      <c r="DMF2248" s="17"/>
      <c r="DMG2248" s="17"/>
      <c r="DMH2248" s="17"/>
      <c r="DMI2248" s="17"/>
      <c r="DMJ2248" s="17"/>
      <c r="DMK2248" s="17"/>
      <c r="DML2248" s="17"/>
      <c r="DMM2248" s="17"/>
      <c r="DMN2248" s="17"/>
      <c r="DMO2248" s="17"/>
      <c r="DMP2248" s="17"/>
      <c r="DMQ2248" s="17"/>
    </row>
    <row r="2249" spans="3044:3059">
      <c r="DMB2249" s="17"/>
      <c r="DMC2249" s="17"/>
      <c r="DMD2249" s="17"/>
      <c r="DME2249" s="17"/>
      <c r="DMF2249" s="17"/>
      <c r="DMG2249" s="17"/>
      <c r="DMH2249" s="17"/>
      <c r="DMI2249" s="17"/>
      <c r="DMJ2249" s="17"/>
      <c r="DMK2249" s="17"/>
      <c r="DML2249" s="17"/>
      <c r="DMM2249" s="17"/>
      <c r="DMN2249" s="17"/>
      <c r="DMO2249" s="17"/>
      <c r="DMP2249" s="17"/>
      <c r="DMQ2249" s="17"/>
    </row>
    <row r="2250" spans="3044:3059">
      <c r="DMB2250" s="17"/>
      <c r="DMC2250" s="17"/>
      <c r="DMD2250" s="17"/>
      <c r="DME2250" s="17"/>
      <c r="DMF2250" s="17"/>
      <c r="DMG2250" s="17"/>
      <c r="DMH2250" s="17"/>
      <c r="DMI2250" s="17"/>
      <c r="DMJ2250" s="17"/>
      <c r="DMK2250" s="17"/>
      <c r="DML2250" s="17"/>
      <c r="DMM2250" s="17"/>
      <c r="DMN2250" s="17"/>
      <c r="DMO2250" s="17"/>
      <c r="DMP2250" s="17"/>
      <c r="DMQ2250" s="17"/>
    </row>
    <row r="2251" spans="3044:3059">
      <c r="DMB2251" s="17"/>
      <c r="DMC2251" s="17"/>
      <c r="DMD2251" s="17"/>
      <c r="DME2251" s="17"/>
      <c r="DMF2251" s="17"/>
      <c r="DMG2251" s="17"/>
      <c r="DMH2251" s="17"/>
      <c r="DMI2251" s="17"/>
      <c r="DMJ2251" s="17"/>
      <c r="DMK2251" s="17"/>
      <c r="DML2251" s="17"/>
      <c r="DMM2251" s="17"/>
      <c r="DMN2251" s="17"/>
      <c r="DMO2251" s="17"/>
      <c r="DMP2251" s="17"/>
      <c r="DMQ2251" s="17"/>
    </row>
    <row r="2252" spans="3044:3059">
      <c r="DMB2252" s="17"/>
      <c r="DMC2252" s="17"/>
      <c r="DMD2252" s="17"/>
      <c r="DME2252" s="17"/>
      <c r="DMF2252" s="17"/>
      <c r="DMG2252" s="17"/>
      <c r="DMH2252" s="17"/>
      <c r="DMI2252" s="17"/>
      <c r="DMJ2252" s="17"/>
      <c r="DMK2252" s="17"/>
      <c r="DML2252" s="17"/>
      <c r="DMM2252" s="17"/>
      <c r="DMN2252" s="17"/>
      <c r="DMO2252" s="17"/>
      <c r="DMP2252" s="17"/>
      <c r="DMQ2252" s="17"/>
    </row>
    <row r="2253" spans="3044:3059">
      <c r="DMB2253" s="17"/>
      <c r="DMC2253" s="17"/>
      <c r="DMD2253" s="17"/>
      <c r="DME2253" s="17"/>
      <c r="DMF2253" s="17"/>
      <c r="DMG2253" s="17"/>
      <c r="DMH2253" s="17"/>
      <c r="DMI2253" s="17"/>
      <c r="DMJ2253" s="17"/>
      <c r="DMK2253" s="17"/>
      <c r="DML2253" s="17"/>
      <c r="DMM2253" s="17"/>
      <c r="DMN2253" s="17"/>
      <c r="DMO2253" s="17"/>
      <c r="DMP2253" s="17"/>
      <c r="DMQ2253" s="17"/>
    </row>
    <row r="2254" spans="3044:3059">
      <c r="DMB2254" s="17"/>
      <c r="DMC2254" s="17"/>
      <c r="DMD2254" s="17"/>
      <c r="DME2254" s="17"/>
      <c r="DMF2254" s="17"/>
      <c r="DMG2254" s="17"/>
      <c r="DMH2254" s="17"/>
      <c r="DMI2254" s="17"/>
      <c r="DMJ2254" s="17"/>
      <c r="DMK2254" s="17"/>
      <c r="DML2254" s="17"/>
      <c r="DMM2254" s="17"/>
      <c r="DMN2254" s="17"/>
      <c r="DMO2254" s="17"/>
      <c r="DMP2254" s="17"/>
      <c r="DMQ2254" s="17"/>
    </row>
    <row r="2255" spans="3044:3059">
      <c r="DMB2255" s="17"/>
      <c r="DMC2255" s="17"/>
      <c r="DMD2255" s="17"/>
      <c r="DME2255" s="17"/>
      <c r="DMF2255" s="17"/>
      <c r="DMG2255" s="17"/>
      <c r="DMH2255" s="17"/>
      <c r="DMI2255" s="17"/>
      <c r="DMJ2255" s="17"/>
      <c r="DMK2255" s="17"/>
      <c r="DML2255" s="17"/>
      <c r="DMM2255" s="17"/>
      <c r="DMN2255" s="17"/>
      <c r="DMO2255" s="17"/>
      <c r="DMP2255" s="17"/>
      <c r="DMQ2255" s="17"/>
    </row>
    <row r="2256" spans="3044:3059">
      <c r="DMB2256" s="17"/>
      <c r="DMC2256" s="17"/>
      <c r="DMD2256" s="17"/>
      <c r="DME2256" s="17"/>
      <c r="DMF2256" s="17"/>
      <c r="DMG2256" s="17"/>
      <c r="DMH2256" s="17"/>
      <c r="DMI2256" s="17"/>
      <c r="DMJ2256" s="17"/>
      <c r="DMK2256" s="17"/>
      <c r="DML2256" s="17"/>
      <c r="DMM2256" s="17"/>
      <c r="DMN2256" s="17"/>
      <c r="DMO2256" s="17"/>
      <c r="DMP2256" s="17"/>
      <c r="DMQ2256" s="17"/>
    </row>
    <row r="2257" spans="3044:3059">
      <c r="DMB2257" s="17"/>
      <c r="DMC2257" s="17"/>
      <c r="DMD2257" s="17"/>
      <c r="DME2257" s="17"/>
      <c r="DMF2257" s="17"/>
      <c r="DMG2257" s="17"/>
      <c r="DMH2257" s="17"/>
      <c r="DMI2257" s="17"/>
      <c r="DMJ2257" s="17"/>
      <c r="DMK2257" s="17"/>
      <c r="DML2257" s="17"/>
      <c r="DMM2257" s="17"/>
      <c r="DMN2257" s="17"/>
      <c r="DMO2257" s="17"/>
      <c r="DMP2257" s="17"/>
      <c r="DMQ2257" s="17"/>
    </row>
    <row r="2258" spans="3044:3059">
      <c r="DMB2258" s="17"/>
      <c r="DMC2258" s="17"/>
      <c r="DMD2258" s="17"/>
      <c r="DME2258" s="17"/>
      <c r="DMF2258" s="17"/>
      <c r="DMG2258" s="17"/>
      <c r="DMH2258" s="17"/>
      <c r="DMI2258" s="17"/>
      <c r="DMJ2258" s="17"/>
      <c r="DMK2258" s="17"/>
      <c r="DML2258" s="17"/>
      <c r="DMM2258" s="17"/>
      <c r="DMN2258" s="17"/>
      <c r="DMO2258" s="17"/>
      <c r="DMP2258" s="17"/>
      <c r="DMQ2258" s="17"/>
    </row>
    <row r="2259" spans="3044:3059">
      <c r="DMB2259" s="17"/>
      <c r="DMC2259" s="17"/>
      <c r="DMD2259" s="17"/>
      <c r="DME2259" s="17"/>
      <c r="DMF2259" s="17"/>
      <c r="DMG2259" s="17"/>
      <c r="DMH2259" s="17"/>
      <c r="DMI2259" s="17"/>
      <c r="DMJ2259" s="17"/>
      <c r="DMK2259" s="17"/>
      <c r="DML2259" s="17"/>
      <c r="DMM2259" s="17"/>
      <c r="DMN2259" s="17"/>
      <c r="DMO2259" s="17"/>
      <c r="DMP2259" s="17"/>
      <c r="DMQ2259" s="17"/>
    </row>
    <row r="2260" spans="3044:3059">
      <c r="DMB2260" s="17"/>
      <c r="DMC2260" s="17"/>
      <c r="DMD2260" s="17"/>
      <c r="DME2260" s="17"/>
      <c r="DMF2260" s="17"/>
      <c r="DMG2260" s="17"/>
      <c r="DMH2260" s="17"/>
      <c r="DMI2260" s="17"/>
      <c r="DMJ2260" s="17"/>
      <c r="DMK2260" s="17"/>
      <c r="DML2260" s="17"/>
      <c r="DMM2260" s="17"/>
      <c r="DMN2260" s="17"/>
      <c r="DMO2260" s="17"/>
      <c r="DMP2260" s="17"/>
      <c r="DMQ2260" s="17"/>
    </row>
    <row r="2261" spans="3044:3059">
      <c r="DMB2261" s="17"/>
      <c r="DMC2261" s="17"/>
      <c r="DMD2261" s="17"/>
      <c r="DME2261" s="17"/>
      <c r="DMF2261" s="17"/>
      <c r="DMG2261" s="17"/>
      <c r="DMH2261" s="17"/>
      <c r="DMI2261" s="17"/>
      <c r="DMJ2261" s="17"/>
      <c r="DMK2261" s="17"/>
      <c r="DML2261" s="17"/>
      <c r="DMM2261" s="17"/>
      <c r="DMN2261" s="17"/>
      <c r="DMO2261" s="17"/>
      <c r="DMP2261" s="17"/>
      <c r="DMQ2261" s="17"/>
    </row>
    <row r="2262" spans="3044:3059">
      <c r="DMB2262" s="17"/>
      <c r="DMC2262" s="17"/>
      <c r="DMD2262" s="17"/>
      <c r="DME2262" s="17"/>
      <c r="DMF2262" s="17"/>
      <c r="DMG2262" s="17"/>
      <c r="DMH2262" s="17"/>
      <c r="DMI2262" s="17"/>
      <c r="DMJ2262" s="17"/>
      <c r="DMK2262" s="17"/>
      <c r="DML2262" s="17"/>
      <c r="DMM2262" s="17"/>
      <c r="DMN2262" s="17"/>
      <c r="DMO2262" s="17"/>
      <c r="DMP2262" s="17"/>
      <c r="DMQ2262" s="17"/>
    </row>
    <row r="2263" spans="3044:3059">
      <c r="DMB2263" s="17"/>
      <c r="DMC2263" s="17"/>
      <c r="DMD2263" s="17"/>
      <c r="DME2263" s="17"/>
      <c r="DMF2263" s="17"/>
      <c r="DMG2263" s="17"/>
      <c r="DMH2263" s="17"/>
      <c r="DMI2263" s="17"/>
      <c r="DMJ2263" s="17"/>
      <c r="DMK2263" s="17"/>
      <c r="DML2263" s="17"/>
      <c r="DMM2263" s="17"/>
      <c r="DMN2263" s="17"/>
      <c r="DMO2263" s="17"/>
      <c r="DMP2263" s="17"/>
      <c r="DMQ2263" s="17"/>
    </row>
    <row r="2264" spans="3044:3059">
      <c r="DMB2264" s="17"/>
      <c r="DMC2264" s="17"/>
      <c r="DMD2264" s="17"/>
      <c r="DME2264" s="17"/>
      <c r="DMF2264" s="17"/>
      <c r="DMG2264" s="17"/>
      <c r="DMH2264" s="17"/>
      <c r="DMI2264" s="17"/>
      <c r="DMJ2264" s="17"/>
      <c r="DMK2264" s="17"/>
      <c r="DML2264" s="17"/>
      <c r="DMM2264" s="17"/>
      <c r="DMN2264" s="17"/>
      <c r="DMO2264" s="17"/>
      <c r="DMP2264" s="17"/>
      <c r="DMQ2264" s="17"/>
    </row>
    <row r="2265" spans="3044:3059">
      <c r="DMB2265" s="17"/>
      <c r="DMC2265" s="17"/>
      <c r="DMD2265" s="17"/>
      <c r="DME2265" s="17"/>
      <c r="DMF2265" s="17"/>
      <c r="DMG2265" s="17"/>
      <c r="DMH2265" s="17"/>
      <c r="DMI2265" s="17"/>
      <c r="DMJ2265" s="17"/>
      <c r="DMK2265" s="17"/>
      <c r="DML2265" s="17"/>
      <c r="DMM2265" s="17"/>
      <c r="DMN2265" s="17"/>
      <c r="DMO2265" s="17"/>
      <c r="DMP2265" s="17"/>
      <c r="DMQ2265" s="17"/>
    </row>
    <row r="2266" spans="3044:3059">
      <c r="DMB2266" s="17"/>
      <c r="DMC2266" s="17"/>
      <c r="DMD2266" s="17"/>
      <c r="DME2266" s="17"/>
      <c r="DMF2266" s="17"/>
      <c r="DMG2266" s="17"/>
      <c r="DMH2266" s="17"/>
      <c r="DMI2266" s="17"/>
      <c r="DMJ2266" s="17"/>
      <c r="DMK2266" s="17"/>
      <c r="DML2266" s="17"/>
      <c r="DMM2266" s="17"/>
      <c r="DMN2266" s="17"/>
      <c r="DMO2266" s="17"/>
      <c r="DMP2266" s="17"/>
      <c r="DMQ2266" s="17"/>
    </row>
    <row r="2267" spans="3044:3059">
      <c r="DMB2267" s="17"/>
      <c r="DMC2267" s="17"/>
      <c r="DMD2267" s="17"/>
      <c r="DME2267" s="17"/>
      <c r="DMF2267" s="17"/>
      <c r="DMG2267" s="17"/>
      <c r="DMH2267" s="17"/>
      <c r="DMI2267" s="17"/>
      <c r="DMJ2267" s="17"/>
      <c r="DMK2267" s="17"/>
      <c r="DML2267" s="17"/>
      <c r="DMM2267" s="17"/>
      <c r="DMN2267" s="17"/>
      <c r="DMO2267" s="17"/>
      <c r="DMP2267" s="17"/>
      <c r="DMQ2267" s="17"/>
    </row>
    <row r="2268" spans="3044:3059">
      <c r="DMB2268" s="17"/>
      <c r="DMC2268" s="17"/>
      <c r="DMD2268" s="17"/>
      <c r="DME2268" s="17"/>
      <c r="DMF2268" s="17"/>
      <c r="DMG2268" s="17"/>
      <c r="DMH2268" s="17"/>
      <c r="DMI2268" s="17"/>
      <c r="DMJ2268" s="17"/>
      <c r="DMK2268" s="17"/>
      <c r="DML2268" s="17"/>
      <c r="DMM2268" s="17"/>
      <c r="DMN2268" s="17"/>
      <c r="DMO2268" s="17"/>
      <c r="DMP2268" s="17"/>
      <c r="DMQ2268" s="17"/>
    </row>
    <row r="2269" spans="3044:3059">
      <c r="DMB2269" s="17"/>
      <c r="DMC2269" s="17"/>
      <c r="DMD2269" s="17"/>
      <c r="DME2269" s="17"/>
      <c r="DMF2269" s="17"/>
      <c r="DMG2269" s="17"/>
      <c r="DMH2269" s="17"/>
      <c r="DMI2269" s="17"/>
      <c r="DMJ2269" s="17"/>
      <c r="DMK2269" s="17"/>
      <c r="DML2269" s="17"/>
      <c r="DMM2269" s="17"/>
      <c r="DMN2269" s="17"/>
      <c r="DMO2269" s="17"/>
      <c r="DMP2269" s="17"/>
      <c r="DMQ2269" s="17"/>
    </row>
    <row r="2270" spans="3044:3059">
      <c r="DMB2270" s="17"/>
      <c r="DMC2270" s="17"/>
      <c r="DMD2270" s="17"/>
      <c r="DME2270" s="17"/>
      <c r="DMF2270" s="17"/>
      <c r="DMG2270" s="17"/>
      <c r="DMH2270" s="17"/>
      <c r="DMI2270" s="17"/>
      <c r="DMJ2270" s="17"/>
      <c r="DMK2270" s="17"/>
      <c r="DML2270" s="17"/>
      <c r="DMM2270" s="17"/>
      <c r="DMN2270" s="17"/>
      <c r="DMO2270" s="17"/>
      <c r="DMP2270" s="17"/>
      <c r="DMQ2270" s="17"/>
    </row>
    <row r="2271" spans="3044:3059">
      <c r="DMB2271" s="17"/>
      <c r="DMC2271" s="17"/>
      <c r="DMD2271" s="17"/>
      <c r="DME2271" s="17"/>
      <c r="DMF2271" s="17"/>
      <c r="DMG2271" s="17"/>
      <c r="DMH2271" s="17"/>
      <c r="DMI2271" s="17"/>
      <c r="DMJ2271" s="17"/>
      <c r="DMK2271" s="17"/>
      <c r="DML2271" s="17"/>
      <c r="DMM2271" s="17"/>
      <c r="DMN2271" s="17"/>
      <c r="DMO2271" s="17"/>
      <c r="DMP2271" s="17"/>
      <c r="DMQ2271" s="17"/>
    </row>
    <row r="2272" spans="3044:3059">
      <c r="DMB2272" s="17"/>
      <c r="DMC2272" s="17"/>
      <c r="DMD2272" s="17"/>
      <c r="DME2272" s="17"/>
      <c r="DMF2272" s="17"/>
      <c r="DMG2272" s="17"/>
      <c r="DMH2272" s="17"/>
      <c r="DMI2272" s="17"/>
      <c r="DMJ2272" s="17"/>
      <c r="DMK2272" s="17"/>
      <c r="DML2272" s="17"/>
      <c r="DMM2272" s="17"/>
      <c r="DMN2272" s="17"/>
      <c r="DMO2272" s="17"/>
      <c r="DMP2272" s="17"/>
      <c r="DMQ2272" s="17"/>
    </row>
    <row r="2273" spans="3044:3059">
      <c r="DMB2273" s="17"/>
      <c r="DMC2273" s="17"/>
      <c r="DMD2273" s="17"/>
      <c r="DME2273" s="17"/>
      <c r="DMF2273" s="17"/>
      <c r="DMG2273" s="17"/>
      <c r="DMH2273" s="17"/>
      <c r="DMI2273" s="17"/>
      <c r="DMJ2273" s="17"/>
      <c r="DMK2273" s="17"/>
      <c r="DML2273" s="17"/>
      <c r="DMM2273" s="17"/>
      <c r="DMN2273" s="17"/>
      <c r="DMO2273" s="17"/>
      <c r="DMP2273" s="17"/>
      <c r="DMQ2273" s="17"/>
    </row>
    <row r="2274" spans="3044:3059">
      <c r="DMB2274" s="17"/>
      <c r="DMC2274" s="17"/>
      <c r="DMD2274" s="17"/>
      <c r="DME2274" s="17"/>
      <c r="DMF2274" s="17"/>
      <c r="DMG2274" s="17"/>
      <c r="DMH2274" s="17"/>
      <c r="DMI2274" s="17"/>
      <c r="DMJ2274" s="17"/>
      <c r="DMK2274" s="17"/>
      <c r="DML2274" s="17"/>
      <c r="DMM2274" s="17"/>
      <c r="DMN2274" s="17"/>
      <c r="DMO2274" s="17"/>
      <c r="DMP2274" s="17"/>
      <c r="DMQ2274" s="17"/>
    </row>
    <row r="2275" spans="3044:3059">
      <c r="DMB2275" s="17"/>
      <c r="DMC2275" s="17"/>
      <c r="DMD2275" s="17"/>
      <c r="DME2275" s="17"/>
      <c r="DMF2275" s="17"/>
      <c r="DMG2275" s="17"/>
      <c r="DMH2275" s="17"/>
      <c r="DMI2275" s="17"/>
      <c r="DMJ2275" s="17"/>
      <c r="DMK2275" s="17"/>
      <c r="DML2275" s="17"/>
      <c r="DMM2275" s="17"/>
      <c r="DMN2275" s="17"/>
      <c r="DMO2275" s="17"/>
      <c r="DMP2275" s="17"/>
      <c r="DMQ2275" s="17"/>
    </row>
    <row r="2276" spans="3044:3059">
      <c r="DMB2276" s="17"/>
      <c r="DMC2276" s="17"/>
      <c r="DMD2276" s="17"/>
      <c r="DME2276" s="17"/>
      <c r="DMF2276" s="17"/>
      <c r="DMG2276" s="17"/>
      <c r="DMH2276" s="17"/>
      <c r="DMI2276" s="17"/>
      <c r="DMJ2276" s="17"/>
      <c r="DMK2276" s="17"/>
      <c r="DML2276" s="17"/>
      <c r="DMM2276" s="17"/>
      <c r="DMN2276" s="17"/>
      <c r="DMO2276" s="17"/>
      <c r="DMP2276" s="17"/>
      <c r="DMQ2276" s="17"/>
    </row>
    <row r="2277" spans="3044:3059">
      <c r="DMB2277" s="17"/>
      <c r="DMC2277" s="17"/>
      <c r="DMD2277" s="17"/>
      <c r="DME2277" s="17"/>
      <c r="DMF2277" s="17"/>
      <c r="DMG2277" s="17"/>
      <c r="DMH2277" s="17"/>
      <c r="DMI2277" s="17"/>
      <c r="DMJ2277" s="17"/>
      <c r="DMK2277" s="17"/>
      <c r="DML2277" s="17"/>
      <c r="DMM2277" s="17"/>
      <c r="DMN2277" s="17"/>
      <c r="DMO2277" s="17"/>
      <c r="DMP2277" s="17"/>
      <c r="DMQ2277" s="17"/>
    </row>
    <row r="2278" spans="3044:3059">
      <c r="DMB2278" s="17"/>
      <c r="DMC2278" s="17"/>
      <c r="DMD2278" s="17"/>
      <c r="DME2278" s="17"/>
      <c r="DMF2278" s="17"/>
      <c r="DMG2278" s="17"/>
      <c r="DMH2278" s="17"/>
      <c r="DMI2278" s="17"/>
      <c r="DMJ2278" s="17"/>
      <c r="DMK2278" s="17"/>
      <c r="DML2278" s="17"/>
      <c r="DMM2278" s="17"/>
      <c r="DMN2278" s="17"/>
      <c r="DMO2278" s="17"/>
      <c r="DMP2278" s="17"/>
      <c r="DMQ2278" s="17"/>
    </row>
    <row r="2279" spans="3044:3059">
      <c r="DMB2279" s="17"/>
      <c r="DMC2279" s="17"/>
      <c r="DMD2279" s="17"/>
      <c r="DME2279" s="17"/>
      <c r="DMF2279" s="17"/>
      <c r="DMG2279" s="17"/>
      <c r="DMH2279" s="17"/>
      <c r="DMI2279" s="17"/>
      <c r="DMJ2279" s="17"/>
      <c r="DMK2279" s="17"/>
      <c r="DML2279" s="17"/>
      <c r="DMM2279" s="17"/>
      <c r="DMN2279" s="17"/>
      <c r="DMO2279" s="17"/>
      <c r="DMP2279" s="17"/>
      <c r="DMQ2279" s="17"/>
    </row>
    <row r="2280" spans="3044:3059">
      <c r="DMB2280" s="17"/>
      <c r="DMC2280" s="17"/>
      <c r="DMD2280" s="17"/>
      <c r="DME2280" s="17"/>
      <c r="DMF2280" s="17"/>
      <c r="DMG2280" s="17"/>
      <c r="DMH2280" s="17"/>
      <c r="DMI2280" s="17"/>
      <c r="DMJ2280" s="17"/>
      <c r="DMK2280" s="17"/>
      <c r="DML2280" s="17"/>
      <c r="DMM2280" s="17"/>
      <c r="DMN2280" s="17"/>
      <c r="DMO2280" s="17"/>
      <c r="DMP2280" s="17"/>
      <c r="DMQ2280" s="17"/>
    </row>
    <row r="2281" spans="3044:3059">
      <c r="DMB2281" s="17"/>
      <c r="DMC2281" s="17"/>
      <c r="DMD2281" s="17"/>
      <c r="DME2281" s="17"/>
      <c r="DMF2281" s="17"/>
      <c r="DMG2281" s="17"/>
      <c r="DMH2281" s="17"/>
      <c r="DMI2281" s="17"/>
      <c r="DMJ2281" s="17"/>
      <c r="DMK2281" s="17"/>
      <c r="DML2281" s="17"/>
      <c r="DMM2281" s="17"/>
      <c r="DMN2281" s="17"/>
      <c r="DMO2281" s="17"/>
      <c r="DMP2281" s="17"/>
      <c r="DMQ2281" s="17"/>
    </row>
    <row r="2282" spans="3044:3059">
      <c r="DMB2282" s="17"/>
      <c r="DMC2282" s="17"/>
      <c r="DMD2282" s="17"/>
      <c r="DME2282" s="17"/>
      <c r="DMF2282" s="17"/>
      <c r="DMG2282" s="17"/>
      <c r="DMH2282" s="17"/>
      <c r="DMI2282" s="17"/>
      <c r="DMJ2282" s="17"/>
      <c r="DMK2282" s="17"/>
      <c r="DML2282" s="17"/>
      <c r="DMM2282" s="17"/>
      <c r="DMN2282" s="17"/>
      <c r="DMO2282" s="17"/>
      <c r="DMP2282" s="17"/>
      <c r="DMQ2282" s="17"/>
    </row>
    <row r="2283" spans="3044:3059">
      <c r="DMB2283" s="17"/>
      <c r="DMC2283" s="17"/>
      <c r="DMD2283" s="17"/>
      <c r="DME2283" s="17"/>
      <c r="DMF2283" s="17"/>
      <c r="DMG2283" s="17"/>
      <c r="DMH2283" s="17"/>
      <c r="DMI2283" s="17"/>
      <c r="DMJ2283" s="17"/>
      <c r="DMK2283" s="17"/>
      <c r="DML2283" s="17"/>
      <c r="DMM2283" s="17"/>
      <c r="DMN2283" s="17"/>
      <c r="DMO2283" s="17"/>
      <c r="DMP2283" s="17"/>
      <c r="DMQ2283" s="17"/>
    </row>
    <row r="2284" spans="3044:3059">
      <c r="DMB2284" s="17"/>
      <c r="DMC2284" s="17"/>
      <c r="DMD2284" s="17"/>
      <c r="DME2284" s="17"/>
      <c r="DMF2284" s="17"/>
      <c r="DMG2284" s="17"/>
      <c r="DMH2284" s="17"/>
      <c r="DMI2284" s="17"/>
      <c r="DMJ2284" s="17"/>
      <c r="DMK2284" s="17"/>
      <c r="DML2284" s="17"/>
      <c r="DMM2284" s="17"/>
      <c r="DMN2284" s="17"/>
      <c r="DMO2284" s="17"/>
      <c r="DMP2284" s="17"/>
      <c r="DMQ2284" s="17"/>
    </row>
    <row r="2285" spans="3044:3059">
      <c r="DMB2285" s="17"/>
      <c r="DMC2285" s="17"/>
      <c r="DMD2285" s="17"/>
      <c r="DME2285" s="17"/>
      <c r="DMF2285" s="17"/>
      <c r="DMG2285" s="17"/>
      <c r="DMH2285" s="17"/>
      <c r="DMI2285" s="17"/>
      <c r="DMJ2285" s="17"/>
      <c r="DMK2285" s="17"/>
      <c r="DML2285" s="17"/>
      <c r="DMM2285" s="17"/>
      <c r="DMN2285" s="17"/>
      <c r="DMO2285" s="17"/>
      <c r="DMP2285" s="17"/>
      <c r="DMQ2285" s="17"/>
    </row>
    <row r="2286" spans="3044:3059">
      <c r="DMB2286" s="17"/>
      <c r="DMC2286" s="17"/>
      <c r="DMD2286" s="17"/>
      <c r="DME2286" s="17"/>
      <c r="DMF2286" s="17"/>
      <c r="DMG2286" s="17"/>
      <c r="DMH2286" s="17"/>
      <c r="DMI2286" s="17"/>
      <c r="DMJ2286" s="17"/>
      <c r="DMK2286" s="17"/>
      <c r="DML2286" s="17"/>
      <c r="DMM2286" s="17"/>
      <c r="DMN2286" s="17"/>
      <c r="DMO2286" s="17"/>
      <c r="DMP2286" s="17"/>
      <c r="DMQ2286" s="17"/>
    </row>
    <row r="2287" spans="3044:3059">
      <c r="DMB2287" s="17"/>
      <c r="DMC2287" s="17"/>
      <c r="DMD2287" s="17"/>
      <c r="DME2287" s="17"/>
      <c r="DMF2287" s="17"/>
      <c r="DMG2287" s="17"/>
      <c r="DMH2287" s="17"/>
      <c r="DMI2287" s="17"/>
      <c r="DMJ2287" s="17"/>
      <c r="DMK2287" s="17"/>
      <c r="DML2287" s="17"/>
      <c r="DMM2287" s="17"/>
      <c r="DMN2287" s="17"/>
      <c r="DMO2287" s="17"/>
      <c r="DMP2287" s="17"/>
      <c r="DMQ2287" s="17"/>
    </row>
    <row r="2288" spans="3044:3059">
      <c r="DMB2288" s="17"/>
      <c r="DMC2288" s="17"/>
      <c r="DMD2288" s="17"/>
      <c r="DME2288" s="17"/>
      <c r="DMF2288" s="17"/>
      <c r="DMG2288" s="17"/>
      <c r="DMH2288" s="17"/>
      <c r="DMI2288" s="17"/>
      <c r="DMJ2288" s="17"/>
      <c r="DMK2288" s="17"/>
      <c r="DML2288" s="17"/>
      <c r="DMM2288" s="17"/>
      <c r="DMN2288" s="17"/>
      <c r="DMO2288" s="17"/>
      <c r="DMP2288" s="17"/>
      <c r="DMQ2288" s="17"/>
    </row>
    <row r="2289" spans="3044:3059">
      <c r="DMB2289" s="17"/>
      <c r="DMC2289" s="17"/>
      <c r="DMD2289" s="17"/>
      <c r="DME2289" s="17"/>
      <c r="DMF2289" s="17"/>
      <c r="DMG2289" s="17"/>
      <c r="DMH2289" s="17"/>
      <c r="DMI2289" s="17"/>
      <c r="DMJ2289" s="17"/>
      <c r="DMK2289" s="17"/>
      <c r="DML2289" s="17"/>
      <c r="DMM2289" s="17"/>
      <c r="DMN2289" s="17"/>
      <c r="DMO2289" s="17"/>
      <c r="DMP2289" s="17"/>
      <c r="DMQ2289" s="17"/>
    </row>
    <row r="2290" spans="3044:3059">
      <c r="DMB2290" s="17"/>
      <c r="DMC2290" s="17"/>
      <c r="DMD2290" s="17"/>
      <c r="DME2290" s="17"/>
      <c r="DMF2290" s="17"/>
      <c r="DMG2290" s="17"/>
      <c r="DMH2290" s="17"/>
      <c r="DMI2290" s="17"/>
      <c r="DMJ2290" s="17"/>
      <c r="DMK2290" s="17"/>
      <c r="DML2290" s="17"/>
      <c r="DMM2290" s="17"/>
      <c r="DMN2290" s="17"/>
      <c r="DMO2290" s="17"/>
      <c r="DMP2290" s="17"/>
      <c r="DMQ2290" s="17"/>
    </row>
    <row r="2291" spans="3044:3059">
      <c r="DMB2291" s="17"/>
      <c r="DMC2291" s="17"/>
      <c r="DMD2291" s="17"/>
      <c r="DME2291" s="17"/>
      <c r="DMF2291" s="17"/>
      <c r="DMG2291" s="17"/>
      <c r="DMH2291" s="17"/>
      <c r="DMI2291" s="17"/>
      <c r="DMJ2291" s="17"/>
      <c r="DMK2291" s="17"/>
      <c r="DML2291" s="17"/>
      <c r="DMM2291" s="17"/>
      <c r="DMN2291" s="17"/>
      <c r="DMO2291" s="17"/>
      <c r="DMP2291" s="17"/>
      <c r="DMQ2291" s="17"/>
    </row>
    <row r="2292" spans="3044:3059">
      <c r="DMB2292" s="17"/>
      <c r="DMC2292" s="17"/>
      <c r="DMD2292" s="17"/>
      <c r="DME2292" s="17"/>
      <c r="DMF2292" s="17"/>
      <c r="DMG2292" s="17"/>
      <c r="DMH2292" s="17"/>
      <c r="DMI2292" s="17"/>
      <c r="DMJ2292" s="17"/>
      <c r="DMK2292" s="17"/>
      <c r="DML2292" s="17"/>
      <c r="DMM2292" s="17"/>
      <c r="DMN2292" s="17"/>
      <c r="DMO2292" s="17"/>
      <c r="DMP2292" s="17"/>
      <c r="DMQ2292" s="17"/>
    </row>
    <row r="2293" spans="3044:3059">
      <c r="DMB2293" s="17"/>
      <c r="DMC2293" s="17"/>
      <c r="DMD2293" s="17"/>
      <c r="DME2293" s="17"/>
      <c r="DMF2293" s="17"/>
      <c r="DMG2293" s="17"/>
      <c r="DMH2293" s="17"/>
      <c r="DMI2293" s="17"/>
      <c r="DMJ2293" s="17"/>
      <c r="DMK2293" s="17"/>
      <c r="DML2293" s="17"/>
      <c r="DMM2293" s="17"/>
      <c r="DMN2293" s="17"/>
      <c r="DMO2293" s="17"/>
      <c r="DMP2293" s="17"/>
      <c r="DMQ2293" s="17"/>
    </row>
    <row r="2294" spans="3044:3059">
      <c r="DMB2294" s="17"/>
      <c r="DMC2294" s="17"/>
      <c r="DMD2294" s="17"/>
      <c r="DME2294" s="17"/>
      <c r="DMF2294" s="17"/>
      <c r="DMG2294" s="17"/>
      <c r="DMH2294" s="17"/>
      <c r="DMI2294" s="17"/>
      <c r="DMJ2294" s="17"/>
      <c r="DMK2294" s="17"/>
      <c r="DML2294" s="17"/>
      <c r="DMM2294" s="17"/>
      <c r="DMN2294" s="17"/>
      <c r="DMO2294" s="17"/>
      <c r="DMP2294" s="17"/>
      <c r="DMQ2294" s="17"/>
    </row>
    <row r="2295" spans="3044:3059">
      <c r="DMB2295" s="17"/>
      <c r="DMC2295" s="17"/>
      <c r="DMD2295" s="17"/>
      <c r="DME2295" s="17"/>
      <c r="DMF2295" s="17"/>
      <c r="DMG2295" s="17"/>
      <c r="DMH2295" s="17"/>
      <c r="DMI2295" s="17"/>
      <c r="DMJ2295" s="17"/>
      <c r="DMK2295" s="17"/>
      <c r="DML2295" s="17"/>
      <c r="DMM2295" s="17"/>
      <c r="DMN2295" s="17"/>
      <c r="DMO2295" s="17"/>
      <c r="DMP2295" s="17"/>
      <c r="DMQ2295" s="17"/>
    </row>
    <row r="2296" spans="3044:3059">
      <c r="DMB2296" s="17"/>
      <c r="DMC2296" s="17"/>
      <c r="DMD2296" s="17"/>
      <c r="DME2296" s="17"/>
      <c r="DMF2296" s="17"/>
      <c r="DMG2296" s="17"/>
      <c r="DMH2296" s="17"/>
      <c r="DMI2296" s="17"/>
      <c r="DMJ2296" s="17"/>
      <c r="DMK2296" s="17"/>
      <c r="DML2296" s="17"/>
      <c r="DMM2296" s="17"/>
      <c r="DMN2296" s="17"/>
      <c r="DMO2296" s="17"/>
      <c r="DMP2296" s="17"/>
      <c r="DMQ2296" s="17"/>
    </row>
    <row r="2297" spans="3044:3059">
      <c r="DMB2297" s="17"/>
      <c r="DMC2297" s="17"/>
      <c r="DMD2297" s="17"/>
      <c r="DME2297" s="17"/>
      <c r="DMF2297" s="17"/>
      <c r="DMG2297" s="17"/>
      <c r="DMH2297" s="17"/>
      <c r="DMI2297" s="17"/>
      <c r="DMJ2297" s="17"/>
      <c r="DMK2297" s="17"/>
      <c r="DML2297" s="17"/>
      <c r="DMM2297" s="17"/>
      <c r="DMN2297" s="17"/>
      <c r="DMO2297" s="17"/>
      <c r="DMP2297" s="17"/>
      <c r="DMQ2297" s="17"/>
    </row>
    <row r="2298" spans="3044:3059">
      <c r="DMB2298" s="17"/>
      <c r="DMC2298" s="17"/>
      <c r="DMD2298" s="17"/>
      <c r="DME2298" s="17"/>
      <c r="DMF2298" s="17"/>
      <c r="DMG2298" s="17"/>
      <c r="DMH2298" s="17"/>
      <c r="DMI2298" s="17"/>
      <c r="DMJ2298" s="17"/>
      <c r="DMK2298" s="17"/>
      <c r="DML2298" s="17"/>
      <c r="DMM2298" s="17"/>
      <c r="DMN2298" s="17"/>
      <c r="DMO2298" s="17"/>
      <c r="DMP2298" s="17"/>
      <c r="DMQ2298" s="17"/>
    </row>
    <row r="2299" spans="3044:3059">
      <c r="DMB2299" s="17"/>
      <c r="DMC2299" s="17"/>
      <c r="DMD2299" s="17"/>
      <c r="DME2299" s="17"/>
      <c r="DMF2299" s="17"/>
      <c r="DMG2299" s="17"/>
      <c r="DMH2299" s="17"/>
      <c r="DMI2299" s="17"/>
      <c r="DMJ2299" s="17"/>
      <c r="DMK2299" s="17"/>
      <c r="DML2299" s="17"/>
      <c r="DMM2299" s="17"/>
      <c r="DMN2299" s="17"/>
      <c r="DMO2299" s="17"/>
      <c r="DMP2299" s="17"/>
      <c r="DMQ2299" s="17"/>
    </row>
    <row r="2300" spans="3044:3059">
      <c r="DMB2300" s="17"/>
      <c r="DMC2300" s="17"/>
      <c r="DMD2300" s="17"/>
      <c r="DME2300" s="17"/>
      <c r="DMF2300" s="17"/>
      <c r="DMG2300" s="17"/>
      <c r="DMH2300" s="17"/>
      <c r="DMI2300" s="17"/>
      <c r="DMJ2300" s="17"/>
      <c r="DMK2300" s="17"/>
      <c r="DML2300" s="17"/>
      <c r="DMM2300" s="17"/>
      <c r="DMN2300" s="17"/>
      <c r="DMO2300" s="17"/>
      <c r="DMP2300" s="17"/>
      <c r="DMQ2300" s="17"/>
    </row>
    <row r="2301" spans="3044:3059">
      <c r="DMB2301" s="17"/>
      <c r="DMC2301" s="17"/>
      <c r="DMD2301" s="17"/>
      <c r="DME2301" s="17"/>
      <c r="DMF2301" s="17"/>
      <c r="DMG2301" s="17"/>
      <c r="DMH2301" s="17"/>
      <c r="DMI2301" s="17"/>
      <c r="DMJ2301" s="17"/>
      <c r="DMK2301" s="17"/>
      <c r="DML2301" s="17"/>
      <c r="DMM2301" s="17"/>
      <c r="DMN2301" s="17"/>
      <c r="DMO2301" s="17"/>
      <c r="DMP2301" s="17"/>
      <c r="DMQ2301" s="17"/>
    </row>
    <row r="2302" spans="3044:3059">
      <c r="DMB2302" s="17"/>
      <c r="DMC2302" s="17"/>
      <c r="DMD2302" s="17"/>
      <c r="DME2302" s="17"/>
      <c r="DMF2302" s="17"/>
      <c r="DMG2302" s="17"/>
      <c r="DMH2302" s="17"/>
      <c r="DMI2302" s="17"/>
      <c r="DMJ2302" s="17"/>
      <c r="DMK2302" s="17"/>
      <c r="DML2302" s="17"/>
      <c r="DMM2302" s="17"/>
      <c r="DMN2302" s="17"/>
      <c r="DMO2302" s="17"/>
      <c r="DMP2302" s="17"/>
      <c r="DMQ2302" s="17"/>
    </row>
    <row r="2303" spans="3044:3059">
      <c r="DMB2303" s="17"/>
      <c r="DMC2303" s="17"/>
      <c r="DMD2303" s="17"/>
      <c r="DME2303" s="17"/>
      <c r="DMF2303" s="17"/>
      <c r="DMG2303" s="17"/>
      <c r="DMH2303" s="17"/>
      <c r="DMI2303" s="17"/>
      <c r="DMJ2303" s="17"/>
      <c r="DMK2303" s="17"/>
      <c r="DML2303" s="17"/>
      <c r="DMM2303" s="17"/>
      <c r="DMN2303" s="17"/>
      <c r="DMO2303" s="17"/>
      <c r="DMP2303" s="17"/>
      <c r="DMQ2303" s="17"/>
    </row>
    <row r="2304" spans="3044:3059">
      <c r="DMB2304" s="17"/>
      <c r="DMC2304" s="17"/>
      <c r="DMD2304" s="17"/>
      <c r="DME2304" s="17"/>
      <c r="DMF2304" s="17"/>
      <c r="DMG2304" s="17"/>
      <c r="DMH2304" s="17"/>
      <c r="DMI2304" s="17"/>
      <c r="DMJ2304" s="17"/>
      <c r="DMK2304" s="17"/>
      <c r="DML2304" s="17"/>
      <c r="DMM2304" s="17"/>
      <c r="DMN2304" s="17"/>
      <c r="DMO2304" s="17"/>
      <c r="DMP2304" s="17"/>
      <c r="DMQ2304" s="17"/>
    </row>
    <row r="2305" spans="3044:3059">
      <c r="DMB2305" s="17"/>
      <c r="DMC2305" s="17"/>
      <c r="DMD2305" s="17"/>
      <c r="DME2305" s="17"/>
      <c r="DMF2305" s="17"/>
      <c r="DMG2305" s="17"/>
      <c r="DMH2305" s="17"/>
      <c r="DMI2305" s="17"/>
      <c r="DMJ2305" s="17"/>
      <c r="DMK2305" s="17"/>
      <c r="DML2305" s="17"/>
      <c r="DMM2305" s="17"/>
      <c r="DMN2305" s="17"/>
      <c r="DMO2305" s="17"/>
      <c r="DMP2305" s="17"/>
      <c r="DMQ2305" s="17"/>
    </row>
    <row r="2306" spans="3044:3059">
      <c r="DMB2306" s="17"/>
      <c r="DMC2306" s="17"/>
      <c r="DMD2306" s="17"/>
      <c r="DME2306" s="17"/>
      <c r="DMF2306" s="17"/>
      <c r="DMG2306" s="17"/>
      <c r="DMH2306" s="17"/>
      <c r="DMI2306" s="17"/>
      <c r="DMJ2306" s="17"/>
      <c r="DMK2306" s="17"/>
      <c r="DML2306" s="17"/>
      <c r="DMM2306" s="17"/>
      <c r="DMN2306" s="17"/>
      <c r="DMO2306" s="17"/>
      <c r="DMP2306" s="17"/>
      <c r="DMQ2306" s="17"/>
    </row>
    <row r="2307" spans="3044:3059">
      <c r="DMB2307" s="17"/>
      <c r="DMC2307" s="17"/>
      <c r="DMD2307" s="17"/>
      <c r="DME2307" s="17"/>
      <c r="DMF2307" s="17"/>
      <c r="DMG2307" s="17"/>
      <c r="DMH2307" s="17"/>
      <c r="DMI2307" s="17"/>
      <c r="DMJ2307" s="17"/>
      <c r="DMK2307" s="17"/>
      <c r="DML2307" s="17"/>
      <c r="DMM2307" s="17"/>
      <c r="DMN2307" s="17"/>
      <c r="DMO2307" s="17"/>
      <c r="DMP2307" s="17"/>
      <c r="DMQ2307" s="17"/>
    </row>
    <row r="2308" spans="3044:3059">
      <c r="DMB2308" s="17"/>
      <c r="DMC2308" s="17"/>
      <c r="DMD2308" s="17"/>
      <c r="DME2308" s="17"/>
      <c r="DMF2308" s="17"/>
      <c r="DMG2308" s="17"/>
      <c r="DMH2308" s="17"/>
      <c r="DMI2308" s="17"/>
      <c r="DMJ2308" s="17"/>
      <c r="DMK2308" s="17"/>
      <c r="DML2308" s="17"/>
      <c r="DMM2308" s="17"/>
      <c r="DMN2308" s="17"/>
      <c r="DMO2308" s="17"/>
      <c r="DMP2308" s="17"/>
      <c r="DMQ2308" s="17"/>
    </row>
    <row r="2309" spans="3044:3059">
      <c r="DMB2309" s="17"/>
      <c r="DMC2309" s="17"/>
      <c r="DMD2309" s="17"/>
      <c r="DME2309" s="17"/>
      <c r="DMF2309" s="17"/>
      <c r="DMG2309" s="17"/>
      <c r="DMH2309" s="17"/>
      <c r="DMI2309" s="17"/>
      <c r="DMJ2309" s="17"/>
      <c r="DMK2309" s="17"/>
      <c r="DML2309" s="17"/>
      <c r="DMM2309" s="17"/>
      <c r="DMN2309" s="17"/>
      <c r="DMO2309" s="17"/>
      <c r="DMP2309" s="17"/>
      <c r="DMQ2309" s="17"/>
    </row>
    <row r="2310" spans="3044:3059">
      <c r="DMB2310" s="17"/>
      <c r="DMC2310" s="17"/>
      <c r="DMD2310" s="17"/>
      <c r="DME2310" s="17"/>
      <c r="DMF2310" s="17"/>
      <c r="DMG2310" s="17"/>
      <c r="DMH2310" s="17"/>
      <c r="DMI2310" s="17"/>
      <c r="DMJ2310" s="17"/>
      <c r="DMK2310" s="17"/>
      <c r="DML2310" s="17"/>
      <c r="DMM2310" s="17"/>
      <c r="DMN2310" s="17"/>
      <c r="DMO2310" s="17"/>
      <c r="DMP2310" s="17"/>
      <c r="DMQ2310" s="17"/>
    </row>
    <row r="2311" spans="3044:3059">
      <c r="DMB2311" s="17"/>
      <c r="DMC2311" s="17"/>
      <c r="DMD2311" s="17"/>
      <c r="DME2311" s="17"/>
      <c r="DMF2311" s="17"/>
      <c r="DMG2311" s="17"/>
      <c r="DMH2311" s="17"/>
      <c r="DMI2311" s="17"/>
      <c r="DMJ2311" s="17"/>
      <c r="DMK2311" s="17"/>
      <c r="DML2311" s="17"/>
      <c r="DMM2311" s="17"/>
      <c r="DMN2311" s="17"/>
      <c r="DMO2311" s="17"/>
      <c r="DMP2311" s="17"/>
      <c r="DMQ2311" s="17"/>
    </row>
    <row r="2312" spans="3044:3059">
      <c r="DMB2312" s="17"/>
      <c r="DMC2312" s="17"/>
      <c r="DMD2312" s="17"/>
      <c r="DME2312" s="17"/>
      <c r="DMF2312" s="17"/>
      <c r="DMG2312" s="17"/>
      <c r="DMH2312" s="17"/>
      <c r="DMI2312" s="17"/>
      <c r="DMJ2312" s="17"/>
      <c r="DMK2312" s="17"/>
      <c r="DML2312" s="17"/>
      <c r="DMM2312" s="17"/>
      <c r="DMN2312" s="17"/>
      <c r="DMO2312" s="17"/>
      <c r="DMP2312" s="17"/>
      <c r="DMQ2312" s="17"/>
    </row>
    <row r="2313" spans="3044:3059">
      <c r="DMB2313" s="17"/>
      <c r="DMC2313" s="17"/>
      <c r="DMD2313" s="17"/>
      <c r="DME2313" s="17"/>
      <c r="DMF2313" s="17"/>
      <c r="DMG2313" s="17"/>
      <c r="DMH2313" s="17"/>
      <c r="DMI2313" s="17"/>
      <c r="DMJ2313" s="17"/>
      <c r="DMK2313" s="17"/>
      <c r="DML2313" s="17"/>
      <c r="DMM2313" s="17"/>
      <c r="DMN2313" s="17"/>
      <c r="DMO2313" s="17"/>
      <c r="DMP2313" s="17"/>
      <c r="DMQ2313" s="17"/>
    </row>
    <row r="2314" spans="3044:3059">
      <c r="DMB2314" s="17"/>
      <c r="DMC2314" s="17"/>
      <c r="DMD2314" s="17"/>
      <c r="DME2314" s="17"/>
      <c r="DMF2314" s="17"/>
      <c r="DMG2314" s="17"/>
      <c r="DMH2314" s="17"/>
      <c r="DMI2314" s="17"/>
      <c r="DMJ2314" s="17"/>
      <c r="DMK2314" s="17"/>
      <c r="DML2314" s="17"/>
      <c r="DMM2314" s="17"/>
      <c r="DMN2314" s="17"/>
      <c r="DMO2314" s="17"/>
      <c r="DMP2314" s="17"/>
      <c r="DMQ2314" s="17"/>
    </row>
    <row r="2315" spans="3044:3059">
      <c r="DMB2315" s="17"/>
      <c r="DMC2315" s="17"/>
      <c r="DMD2315" s="17"/>
      <c r="DME2315" s="17"/>
      <c r="DMF2315" s="17"/>
      <c r="DMG2315" s="17"/>
      <c r="DMH2315" s="17"/>
      <c r="DMI2315" s="17"/>
      <c r="DMJ2315" s="17"/>
      <c r="DMK2315" s="17"/>
      <c r="DML2315" s="17"/>
      <c r="DMM2315" s="17"/>
      <c r="DMN2315" s="17"/>
      <c r="DMO2315" s="17"/>
      <c r="DMP2315" s="17"/>
      <c r="DMQ2315" s="17"/>
    </row>
    <row r="2316" spans="3044:3059">
      <c r="DMB2316" s="17"/>
      <c r="DMC2316" s="17"/>
      <c r="DMD2316" s="17"/>
      <c r="DME2316" s="17"/>
      <c r="DMF2316" s="17"/>
      <c r="DMG2316" s="17"/>
      <c r="DMH2316" s="17"/>
      <c r="DMI2316" s="17"/>
      <c r="DMJ2316" s="17"/>
      <c r="DMK2316" s="17"/>
      <c r="DML2316" s="17"/>
      <c r="DMM2316" s="17"/>
      <c r="DMN2316" s="17"/>
      <c r="DMO2316" s="17"/>
      <c r="DMP2316" s="17"/>
      <c r="DMQ2316" s="17"/>
    </row>
    <row r="2317" spans="3044:3059">
      <c r="DMB2317" s="17"/>
      <c r="DMC2317" s="17"/>
      <c r="DMD2317" s="17"/>
      <c r="DME2317" s="17"/>
      <c r="DMF2317" s="17"/>
      <c r="DMG2317" s="17"/>
      <c r="DMH2317" s="17"/>
      <c r="DMI2317" s="17"/>
      <c r="DMJ2317" s="17"/>
      <c r="DMK2317" s="17"/>
      <c r="DML2317" s="17"/>
      <c r="DMM2317" s="17"/>
      <c r="DMN2317" s="17"/>
      <c r="DMO2317" s="17"/>
      <c r="DMP2317" s="17"/>
      <c r="DMQ2317" s="17"/>
    </row>
    <row r="2318" spans="3044:3059">
      <c r="DMB2318" s="17"/>
      <c r="DMC2318" s="17"/>
      <c r="DMD2318" s="17"/>
      <c r="DME2318" s="17"/>
      <c r="DMF2318" s="17"/>
      <c r="DMG2318" s="17"/>
      <c r="DMH2318" s="17"/>
      <c r="DMI2318" s="17"/>
      <c r="DMJ2318" s="17"/>
      <c r="DMK2318" s="17"/>
      <c r="DML2318" s="17"/>
      <c r="DMM2318" s="17"/>
      <c r="DMN2318" s="17"/>
      <c r="DMO2318" s="17"/>
      <c r="DMP2318" s="17"/>
      <c r="DMQ2318" s="17"/>
    </row>
    <row r="2319" spans="3044:3059">
      <c r="DMB2319" s="17"/>
      <c r="DMC2319" s="17"/>
      <c r="DMD2319" s="17"/>
      <c r="DME2319" s="17"/>
      <c r="DMF2319" s="17"/>
      <c r="DMG2319" s="17"/>
      <c r="DMH2319" s="17"/>
      <c r="DMI2319" s="17"/>
      <c r="DMJ2319" s="17"/>
      <c r="DMK2319" s="17"/>
      <c r="DML2319" s="17"/>
      <c r="DMM2319" s="17"/>
      <c r="DMN2319" s="17"/>
      <c r="DMO2319" s="17"/>
      <c r="DMP2319" s="17"/>
      <c r="DMQ2319" s="17"/>
    </row>
    <row r="2320" spans="3044:3059">
      <c r="DMB2320" s="17"/>
      <c r="DMC2320" s="17"/>
      <c r="DMD2320" s="17"/>
      <c r="DME2320" s="17"/>
      <c r="DMF2320" s="17"/>
      <c r="DMG2320" s="17"/>
      <c r="DMH2320" s="17"/>
      <c r="DMI2320" s="17"/>
      <c r="DMJ2320" s="17"/>
      <c r="DMK2320" s="17"/>
      <c r="DML2320" s="17"/>
      <c r="DMM2320" s="17"/>
      <c r="DMN2320" s="17"/>
      <c r="DMO2320" s="17"/>
      <c r="DMP2320" s="17"/>
      <c r="DMQ2320" s="17"/>
    </row>
    <row r="2321" spans="3044:3059">
      <c r="DMB2321" s="17"/>
      <c r="DMC2321" s="17"/>
      <c r="DMD2321" s="17"/>
      <c r="DME2321" s="17"/>
      <c r="DMF2321" s="17"/>
      <c r="DMG2321" s="17"/>
      <c r="DMH2321" s="17"/>
      <c r="DMI2321" s="17"/>
      <c r="DMJ2321" s="17"/>
      <c r="DMK2321" s="17"/>
      <c r="DML2321" s="17"/>
      <c r="DMM2321" s="17"/>
      <c r="DMN2321" s="17"/>
      <c r="DMO2321" s="17"/>
      <c r="DMP2321" s="17"/>
      <c r="DMQ2321" s="17"/>
    </row>
    <row r="2322" spans="3044:3059">
      <c r="DMB2322" s="17"/>
      <c r="DMC2322" s="17"/>
      <c r="DMD2322" s="17"/>
      <c r="DME2322" s="17"/>
      <c r="DMF2322" s="17"/>
      <c r="DMG2322" s="17"/>
      <c r="DMH2322" s="17"/>
      <c r="DMI2322" s="17"/>
      <c r="DMJ2322" s="17"/>
      <c r="DMK2322" s="17"/>
      <c r="DML2322" s="17"/>
      <c r="DMM2322" s="17"/>
      <c r="DMN2322" s="17"/>
      <c r="DMO2322" s="17"/>
      <c r="DMP2322" s="17"/>
      <c r="DMQ2322" s="17"/>
    </row>
    <row r="2323" spans="3044:3059">
      <c r="DMB2323" s="17"/>
      <c r="DMC2323" s="17"/>
      <c r="DMD2323" s="17"/>
      <c r="DME2323" s="17"/>
      <c r="DMF2323" s="17"/>
      <c r="DMG2323" s="17"/>
      <c r="DMH2323" s="17"/>
      <c r="DMI2323" s="17"/>
      <c r="DMJ2323" s="17"/>
      <c r="DMK2323" s="17"/>
      <c r="DML2323" s="17"/>
      <c r="DMM2323" s="17"/>
      <c r="DMN2323" s="17"/>
      <c r="DMO2323" s="17"/>
      <c r="DMP2323" s="17"/>
      <c r="DMQ2323" s="17"/>
    </row>
    <row r="2324" spans="3044:3059">
      <c r="DMB2324" s="17"/>
      <c r="DMC2324" s="17"/>
      <c r="DMD2324" s="17"/>
      <c r="DME2324" s="17"/>
      <c r="DMF2324" s="17"/>
      <c r="DMG2324" s="17"/>
      <c r="DMH2324" s="17"/>
      <c r="DMI2324" s="17"/>
      <c r="DMJ2324" s="17"/>
      <c r="DMK2324" s="17"/>
      <c r="DML2324" s="17"/>
      <c r="DMM2324" s="17"/>
      <c r="DMN2324" s="17"/>
      <c r="DMO2324" s="17"/>
      <c r="DMP2324" s="17"/>
      <c r="DMQ2324" s="17"/>
    </row>
    <row r="2325" spans="3044:3059">
      <c r="DMB2325" s="17"/>
      <c r="DMC2325" s="17"/>
      <c r="DMD2325" s="17"/>
      <c r="DME2325" s="17"/>
      <c r="DMF2325" s="17"/>
      <c r="DMG2325" s="17"/>
      <c r="DMH2325" s="17"/>
      <c r="DMI2325" s="17"/>
      <c r="DMJ2325" s="17"/>
      <c r="DMK2325" s="17"/>
      <c r="DML2325" s="17"/>
      <c r="DMM2325" s="17"/>
      <c r="DMN2325" s="17"/>
      <c r="DMO2325" s="17"/>
      <c r="DMP2325" s="17"/>
      <c r="DMQ2325" s="17"/>
    </row>
    <row r="2326" spans="3044:3059">
      <c r="DMB2326" s="17"/>
      <c r="DMC2326" s="17"/>
      <c r="DMD2326" s="17"/>
      <c r="DME2326" s="17"/>
      <c r="DMF2326" s="17"/>
      <c r="DMG2326" s="17"/>
      <c r="DMH2326" s="17"/>
      <c r="DMI2326" s="17"/>
      <c r="DMJ2326" s="17"/>
      <c r="DMK2326" s="17"/>
      <c r="DML2326" s="17"/>
      <c r="DMM2326" s="17"/>
      <c r="DMN2326" s="17"/>
      <c r="DMO2326" s="17"/>
      <c r="DMP2326" s="17"/>
      <c r="DMQ2326" s="17"/>
    </row>
    <row r="2327" spans="3044:3059">
      <c r="DMB2327" s="17"/>
      <c r="DMC2327" s="17"/>
      <c r="DMD2327" s="17"/>
      <c r="DME2327" s="17"/>
      <c r="DMF2327" s="17"/>
      <c r="DMG2327" s="17"/>
      <c r="DMH2327" s="17"/>
      <c r="DMI2327" s="17"/>
      <c r="DMJ2327" s="17"/>
      <c r="DMK2327" s="17"/>
      <c r="DML2327" s="17"/>
      <c r="DMM2327" s="17"/>
      <c r="DMN2327" s="17"/>
      <c r="DMO2327" s="17"/>
      <c r="DMP2327" s="17"/>
      <c r="DMQ2327" s="17"/>
    </row>
    <row r="2328" spans="3044:3059">
      <c r="DMB2328" s="17"/>
      <c r="DMC2328" s="17"/>
      <c r="DMD2328" s="17"/>
      <c r="DME2328" s="17"/>
      <c r="DMF2328" s="17"/>
      <c r="DMG2328" s="17"/>
      <c r="DMH2328" s="17"/>
      <c r="DMI2328" s="17"/>
      <c r="DMJ2328" s="17"/>
      <c r="DMK2328" s="17"/>
      <c r="DML2328" s="17"/>
      <c r="DMM2328" s="17"/>
      <c r="DMN2328" s="17"/>
      <c r="DMO2328" s="17"/>
      <c r="DMP2328" s="17"/>
      <c r="DMQ2328" s="17"/>
    </row>
    <row r="2329" spans="3044:3059">
      <c r="DMB2329" s="17"/>
      <c r="DMC2329" s="17"/>
      <c r="DMD2329" s="17"/>
      <c r="DME2329" s="17"/>
      <c r="DMF2329" s="17"/>
      <c r="DMG2329" s="17"/>
      <c r="DMH2329" s="17"/>
      <c r="DMI2329" s="17"/>
      <c r="DMJ2329" s="17"/>
      <c r="DMK2329" s="17"/>
      <c r="DML2329" s="17"/>
      <c r="DMM2329" s="17"/>
      <c r="DMN2329" s="17"/>
      <c r="DMO2329" s="17"/>
      <c r="DMP2329" s="17"/>
      <c r="DMQ2329" s="17"/>
    </row>
    <row r="2330" spans="3044:3059">
      <c r="DMB2330" s="17"/>
      <c r="DMC2330" s="17"/>
      <c r="DMD2330" s="17"/>
      <c r="DME2330" s="17"/>
      <c r="DMF2330" s="17"/>
      <c r="DMG2330" s="17"/>
      <c r="DMH2330" s="17"/>
      <c r="DMI2330" s="17"/>
      <c r="DMJ2330" s="17"/>
      <c r="DMK2330" s="17"/>
      <c r="DML2330" s="17"/>
      <c r="DMM2330" s="17"/>
      <c r="DMN2330" s="17"/>
      <c r="DMO2330" s="17"/>
      <c r="DMP2330" s="17"/>
      <c r="DMQ2330" s="17"/>
    </row>
    <row r="2331" spans="3044:3059">
      <c r="DMB2331" s="17"/>
      <c r="DMC2331" s="17"/>
      <c r="DMD2331" s="17"/>
      <c r="DME2331" s="17"/>
      <c r="DMF2331" s="17"/>
      <c r="DMG2331" s="17"/>
      <c r="DMH2331" s="17"/>
      <c r="DMI2331" s="17"/>
      <c r="DMJ2331" s="17"/>
      <c r="DMK2331" s="17"/>
      <c r="DML2331" s="17"/>
      <c r="DMM2331" s="17"/>
      <c r="DMN2331" s="17"/>
      <c r="DMO2331" s="17"/>
      <c r="DMP2331" s="17"/>
      <c r="DMQ2331" s="17"/>
    </row>
    <row r="2332" spans="3044:3059">
      <c r="DMB2332" s="17"/>
      <c r="DMC2332" s="17"/>
      <c r="DMD2332" s="17"/>
      <c r="DME2332" s="17"/>
      <c r="DMF2332" s="17"/>
      <c r="DMG2332" s="17"/>
      <c r="DMH2332" s="17"/>
      <c r="DMI2332" s="17"/>
      <c r="DMJ2332" s="17"/>
      <c r="DMK2332" s="17"/>
      <c r="DML2332" s="17"/>
      <c r="DMM2332" s="17"/>
      <c r="DMN2332" s="17"/>
      <c r="DMO2332" s="17"/>
      <c r="DMP2332" s="17"/>
      <c r="DMQ2332" s="17"/>
    </row>
    <row r="2333" spans="3044:3059">
      <c r="DMB2333" s="17"/>
      <c r="DMC2333" s="17"/>
      <c r="DMD2333" s="17"/>
      <c r="DME2333" s="17"/>
      <c r="DMF2333" s="17"/>
      <c r="DMG2333" s="17"/>
      <c r="DMH2333" s="17"/>
      <c r="DMI2333" s="17"/>
      <c r="DMJ2333" s="17"/>
      <c r="DMK2333" s="17"/>
      <c r="DML2333" s="17"/>
      <c r="DMM2333" s="17"/>
      <c r="DMN2333" s="17"/>
      <c r="DMO2333" s="17"/>
      <c r="DMP2333" s="17"/>
      <c r="DMQ2333" s="17"/>
    </row>
    <row r="2334" spans="3044:3059">
      <c r="DMB2334" s="17"/>
      <c r="DMC2334" s="17"/>
      <c r="DMD2334" s="17"/>
      <c r="DME2334" s="17"/>
      <c r="DMF2334" s="17"/>
      <c r="DMG2334" s="17"/>
      <c r="DMH2334" s="17"/>
      <c r="DMI2334" s="17"/>
      <c r="DMJ2334" s="17"/>
      <c r="DMK2334" s="17"/>
      <c r="DML2334" s="17"/>
      <c r="DMM2334" s="17"/>
      <c r="DMN2334" s="17"/>
      <c r="DMO2334" s="17"/>
      <c r="DMP2334" s="17"/>
      <c r="DMQ2334" s="17"/>
    </row>
    <row r="2335" spans="3044:3059">
      <c r="DMB2335" s="17"/>
      <c r="DMC2335" s="17"/>
      <c r="DMD2335" s="17"/>
      <c r="DME2335" s="17"/>
      <c r="DMF2335" s="17"/>
      <c r="DMG2335" s="17"/>
      <c r="DMH2335" s="17"/>
      <c r="DMI2335" s="17"/>
      <c r="DMJ2335" s="17"/>
      <c r="DMK2335" s="17"/>
      <c r="DML2335" s="17"/>
      <c r="DMM2335" s="17"/>
      <c r="DMN2335" s="17"/>
      <c r="DMO2335" s="17"/>
      <c r="DMP2335" s="17"/>
      <c r="DMQ2335" s="17"/>
    </row>
    <row r="2336" spans="3044:3059">
      <c r="DMB2336" s="17"/>
      <c r="DMC2336" s="17"/>
      <c r="DMD2336" s="17"/>
      <c r="DME2336" s="17"/>
      <c r="DMF2336" s="17"/>
      <c r="DMG2336" s="17"/>
      <c r="DMH2336" s="17"/>
      <c r="DMI2336" s="17"/>
      <c r="DMJ2336" s="17"/>
      <c r="DMK2336" s="17"/>
      <c r="DML2336" s="17"/>
      <c r="DMM2336" s="17"/>
      <c r="DMN2336" s="17"/>
      <c r="DMO2336" s="17"/>
      <c r="DMP2336" s="17"/>
      <c r="DMQ2336" s="17"/>
    </row>
    <row r="2337" spans="3044:3059">
      <c r="DMB2337" s="17"/>
      <c r="DMC2337" s="17"/>
      <c r="DMD2337" s="17"/>
      <c r="DME2337" s="17"/>
      <c r="DMF2337" s="17"/>
      <c r="DMG2337" s="17"/>
      <c r="DMH2337" s="17"/>
      <c r="DMI2337" s="17"/>
      <c r="DMJ2337" s="17"/>
      <c r="DMK2337" s="17"/>
      <c r="DML2337" s="17"/>
      <c r="DMM2337" s="17"/>
      <c r="DMN2337" s="17"/>
      <c r="DMO2337" s="17"/>
      <c r="DMP2337" s="17"/>
      <c r="DMQ2337" s="17"/>
    </row>
    <row r="2338" spans="3044:3059">
      <c r="DMB2338" s="17"/>
      <c r="DMC2338" s="17"/>
      <c r="DMD2338" s="17"/>
      <c r="DME2338" s="17"/>
      <c r="DMF2338" s="17"/>
      <c r="DMG2338" s="17"/>
      <c r="DMH2338" s="17"/>
      <c r="DMI2338" s="17"/>
      <c r="DMJ2338" s="17"/>
      <c r="DMK2338" s="17"/>
      <c r="DML2338" s="17"/>
      <c r="DMM2338" s="17"/>
      <c r="DMN2338" s="17"/>
      <c r="DMO2338" s="17"/>
      <c r="DMP2338" s="17"/>
      <c r="DMQ2338" s="17"/>
    </row>
    <row r="2339" spans="3044:3059">
      <c r="DMB2339" s="17"/>
      <c r="DMC2339" s="17"/>
      <c r="DMD2339" s="17"/>
      <c r="DME2339" s="17"/>
      <c r="DMF2339" s="17"/>
      <c r="DMG2339" s="17"/>
      <c r="DMH2339" s="17"/>
      <c r="DMI2339" s="17"/>
      <c r="DMJ2339" s="17"/>
      <c r="DMK2339" s="17"/>
      <c r="DML2339" s="17"/>
      <c r="DMM2339" s="17"/>
      <c r="DMN2339" s="17"/>
      <c r="DMO2339" s="17"/>
      <c r="DMP2339" s="17"/>
      <c r="DMQ2339" s="17"/>
    </row>
    <row r="2340" spans="3044:3059">
      <c r="DMB2340" s="17"/>
      <c r="DMC2340" s="17"/>
      <c r="DMD2340" s="17"/>
      <c r="DME2340" s="17"/>
      <c r="DMF2340" s="17"/>
      <c r="DMG2340" s="17"/>
      <c r="DMH2340" s="17"/>
      <c r="DMI2340" s="17"/>
      <c r="DMJ2340" s="17"/>
      <c r="DMK2340" s="17"/>
      <c r="DML2340" s="17"/>
      <c r="DMM2340" s="17"/>
      <c r="DMN2340" s="17"/>
      <c r="DMO2340" s="17"/>
      <c r="DMP2340" s="17"/>
      <c r="DMQ2340" s="17"/>
    </row>
    <row r="2341" spans="3044:3059">
      <c r="DMB2341" s="17"/>
      <c r="DMC2341" s="17"/>
      <c r="DMD2341" s="17"/>
      <c r="DME2341" s="17"/>
      <c r="DMF2341" s="17"/>
      <c r="DMG2341" s="17"/>
      <c r="DMH2341" s="17"/>
      <c r="DMI2341" s="17"/>
      <c r="DMJ2341" s="17"/>
      <c r="DMK2341" s="17"/>
      <c r="DML2341" s="17"/>
      <c r="DMM2341" s="17"/>
      <c r="DMN2341" s="17"/>
      <c r="DMO2341" s="17"/>
      <c r="DMP2341" s="17"/>
      <c r="DMQ2341" s="17"/>
    </row>
    <row r="2342" spans="3044:3059">
      <c r="DMB2342" s="17"/>
      <c r="DMC2342" s="17"/>
      <c r="DMD2342" s="17"/>
      <c r="DME2342" s="17"/>
      <c r="DMF2342" s="17"/>
      <c r="DMG2342" s="17"/>
      <c r="DMH2342" s="17"/>
      <c r="DMI2342" s="17"/>
      <c r="DMJ2342" s="17"/>
      <c r="DMK2342" s="17"/>
      <c r="DML2342" s="17"/>
      <c r="DMM2342" s="17"/>
      <c r="DMN2342" s="17"/>
      <c r="DMO2342" s="17"/>
      <c r="DMP2342" s="17"/>
      <c r="DMQ2342" s="17"/>
    </row>
    <row r="2343" spans="3044:3059">
      <c r="DMB2343" s="17"/>
      <c r="DMC2343" s="17"/>
      <c r="DMD2343" s="17"/>
      <c r="DME2343" s="17"/>
      <c r="DMF2343" s="17"/>
      <c r="DMG2343" s="17"/>
      <c r="DMH2343" s="17"/>
      <c r="DMI2343" s="17"/>
      <c r="DMJ2343" s="17"/>
      <c r="DMK2343" s="17"/>
      <c r="DML2343" s="17"/>
      <c r="DMM2343" s="17"/>
      <c r="DMN2343" s="17"/>
      <c r="DMO2343" s="17"/>
      <c r="DMP2343" s="17"/>
      <c r="DMQ2343" s="17"/>
    </row>
    <row r="2344" spans="3044:3059">
      <c r="DMB2344" s="17"/>
      <c r="DMC2344" s="17"/>
      <c r="DMD2344" s="17"/>
      <c r="DME2344" s="17"/>
      <c r="DMF2344" s="17"/>
      <c r="DMG2344" s="17"/>
      <c r="DMH2344" s="17"/>
      <c r="DMI2344" s="17"/>
      <c r="DMJ2344" s="17"/>
      <c r="DMK2344" s="17"/>
      <c r="DML2344" s="17"/>
      <c r="DMM2344" s="17"/>
      <c r="DMN2344" s="17"/>
      <c r="DMO2344" s="17"/>
      <c r="DMP2344" s="17"/>
      <c r="DMQ2344" s="17"/>
    </row>
    <row r="2345" spans="3044:3059">
      <c r="DMB2345" s="17"/>
      <c r="DMC2345" s="17"/>
      <c r="DMD2345" s="17"/>
      <c r="DME2345" s="17"/>
      <c r="DMF2345" s="17"/>
      <c r="DMG2345" s="17"/>
      <c r="DMH2345" s="17"/>
      <c r="DMI2345" s="17"/>
      <c r="DMJ2345" s="17"/>
      <c r="DMK2345" s="17"/>
      <c r="DML2345" s="17"/>
      <c r="DMM2345" s="17"/>
      <c r="DMN2345" s="17"/>
      <c r="DMO2345" s="17"/>
      <c r="DMP2345" s="17"/>
      <c r="DMQ2345" s="17"/>
    </row>
    <row r="2346" spans="3044:3059">
      <c r="DMB2346" s="17"/>
      <c r="DMC2346" s="17"/>
      <c r="DMD2346" s="17"/>
      <c r="DME2346" s="17"/>
      <c r="DMF2346" s="17"/>
      <c r="DMG2346" s="17"/>
      <c r="DMH2346" s="17"/>
      <c r="DMI2346" s="17"/>
      <c r="DMJ2346" s="17"/>
      <c r="DMK2346" s="17"/>
      <c r="DML2346" s="17"/>
      <c r="DMM2346" s="17"/>
      <c r="DMN2346" s="17"/>
      <c r="DMO2346" s="17"/>
      <c r="DMP2346" s="17"/>
      <c r="DMQ2346" s="17"/>
    </row>
    <row r="2347" spans="3044:3059">
      <c r="DMB2347" s="17"/>
      <c r="DMC2347" s="17"/>
      <c r="DMD2347" s="17"/>
      <c r="DME2347" s="17"/>
      <c r="DMF2347" s="17"/>
      <c r="DMG2347" s="17"/>
      <c r="DMH2347" s="17"/>
      <c r="DMI2347" s="17"/>
      <c r="DMJ2347" s="17"/>
      <c r="DMK2347" s="17"/>
      <c r="DML2347" s="17"/>
      <c r="DMM2347" s="17"/>
      <c r="DMN2347" s="17"/>
      <c r="DMO2347" s="17"/>
      <c r="DMP2347" s="17"/>
      <c r="DMQ2347" s="17"/>
    </row>
    <row r="2348" spans="3044:3059">
      <c r="DMB2348" s="17"/>
      <c r="DMC2348" s="17"/>
      <c r="DMD2348" s="17"/>
      <c r="DME2348" s="17"/>
      <c r="DMF2348" s="17"/>
      <c r="DMG2348" s="17"/>
      <c r="DMH2348" s="17"/>
      <c r="DMI2348" s="17"/>
      <c r="DMJ2348" s="17"/>
      <c r="DMK2348" s="17"/>
      <c r="DML2348" s="17"/>
      <c r="DMM2348" s="17"/>
      <c r="DMN2348" s="17"/>
      <c r="DMO2348" s="17"/>
      <c r="DMP2348" s="17"/>
      <c r="DMQ2348" s="17"/>
    </row>
    <row r="2349" spans="3044:3059">
      <c r="DMB2349" s="17"/>
      <c r="DMC2349" s="17"/>
      <c r="DMD2349" s="17"/>
      <c r="DME2349" s="17"/>
      <c r="DMF2349" s="17"/>
      <c r="DMG2349" s="17"/>
      <c r="DMH2349" s="17"/>
      <c r="DMI2349" s="17"/>
      <c r="DMJ2349" s="17"/>
      <c r="DMK2349" s="17"/>
      <c r="DML2349" s="17"/>
      <c r="DMM2349" s="17"/>
      <c r="DMN2349" s="17"/>
      <c r="DMO2349" s="17"/>
      <c r="DMP2349" s="17"/>
      <c r="DMQ2349" s="17"/>
    </row>
    <row r="2350" spans="3044:3059">
      <c r="DMB2350" s="17"/>
      <c r="DMC2350" s="17"/>
      <c r="DMD2350" s="17"/>
      <c r="DME2350" s="17"/>
      <c r="DMF2350" s="17"/>
      <c r="DMG2350" s="17"/>
      <c r="DMH2350" s="17"/>
      <c r="DMI2350" s="17"/>
      <c r="DMJ2350" s="17"/>
      <c r="DMK2350" s="17"/>
      <c r="DML2350" s="17"/>
      <c r="DMM2350" s="17"/>
      <c r="DMN2350" s="17"/>
      <c r="DMO2350" s="17"/>
      <c r="DMP2350" s="17"/>
      <c r="DMQ2350" s="17"/>
    </row>
    <row r="2351" spans="3044:3059">
      <c r="DMB2351" s="17"/>
      <c r="DMC2351" s="17"/>
      <c r="DMD2351" s="17"/>
      <c r="DME2351" s="17"/>
      <c r="DMF2351" s="17"/>
      <c r="DMG2351" s="17"/>
      <c r="DMH2351" s="17"/>
      <c r="DMI2351" s="17"/>
      <c r="DMJ2351" s="17"/>
      <c r="DMK2351" s="17"/>
      <c r="DML2351" s="17"/>
      <c r="DMM2351" s="17"/>
      <c r="DMN2351" s="17"/>
      <c r="DMO2351" s="17"/>
      <c r="DMP2351" s="17"/>
      <c r="DMQ2351" s="17"/>
    </row>
    <row r="2352" spans="3044:3059">
      <c r="DMB2352" s="17"/>
      <c r="DMC2352" s="17"/>
      <c r="DMD2352" s="17"/>
      <c r="DME2352" s="17"/>
      <c r="DMF2352" s="17"/>
      <c r="DMG2352" s="17"/>
      <c r="DMH2352" s="17"/>
      <c r="DMI2352" s="17"/>
      <c r="DMJ2352" s="17"/>
      <c r="DMK2352" s="17"/>
      <c r="DML2352" s="17"/>
      <c r="DMM2352" s="17"/>
      <c r="DMN2352" s="17"/>
      <c r="DMO2352" s="17"/>
      <c r="DMP2352" s="17"/>
      <c r="DMQ2352" s="17"/>
    </row>
    <row r="2353" spans="3044:3059">
      <c r="DMB2353" s="17"/>
      <c r="DMC2353" s="17"/>
      <c r="DMD2353" s="17"/>
      <c r="DME2353" s="17"/>
      <c r="DMF2353" s="17"/>
      <c r="DMG2353" s="17"/>
      <c r="DMH2353" s="17"/>
      <c r="DMI2353" s="17"/>
      <c r="DMJ2353" s="17"/>
      <c r="DMK2353" s="17"/>
      <c r="DML2353" s="17"/>
      <c r="DMM2353" s="17"/>
      <c r="DMN2353" s="17"/>
      <c r="DMO2353" s="17"/>
      <c r="DMP2353" s="17"/>
      <c r="DMQ2353" s="17"/>
    </row>
    <row r="2354" spans="3044:3059">
      <c r="DMB2354" s="17"/>
      <c r="DMC2354" s="17"/>
      <c r="DMD2354" s="17"/>
      <c r="DME2354" s="17"/>
      <c r="DMF2354" s="17"/>
      <c r="DMG2354" s="17"/>
      <c r="DMH2354" s="17"/>
      <c r="DMI2354" s="17"/>
      <c r="DMJ2354" s="17"/>
      <c r="DMK2354" s="17"/>
      <c r="DML2354" s="17"/>
      <c r="DMM2354" s="17"/>
      <c r="DMN2354" s="17"/>
      <c r="DMO2354" s="17"/>
      <c r="DMP2354" s="17"/>
      <c r="DMQ2354" s="17"/>
    </row>
    <row r="2355" spans="3044:3059">
      <c r="DMB2355" s="17"/>
      <c r="DMC2355" s="17"/>
      <c r="DMD2355" s="17"/>
      <c r="DME2355" s="17"/>
      <c r="DMF2355" s="17"/>
      <c r="DMG2355" s="17"/>
      <c r="DMH2355" s="17"/>
      <c r="DMI2355" s="17"/>
      <c r="DMJ2355" s="17"/>
      <c r="DMK2355" s="17"/>
      <c r="DML2355" s="17"/>
      <c r="DMM2355" s="17"/>
      <c r="DMN2355" s="17"/>
      <c r="DMO2355" s="17"/>
      <c r="DMP2355" s="17"/>
      <c r="DMQ2355" s="17"/>
    </row>
    <row r="2356" spans="3044:3059">
      <c r="DMB2356" s="17"/>
      <c r="DMC2356" s="17"/>
      <c r="DMD2356" s="17"/>
      <c r="DME2356" s="17"/>
      <c r="DMF2356" s="17"/>
      <c r="DMG2356" s="17"/>
      <c r="DMH2356" s="17"/>
      <c r="DMI2356" s="17"/>
      <c r="DMJ2356" s="17"/>
      <c r="DMK2356" s="17"/>
      <c r="DML2356" s="17"/>
      <c r="DMM2356" s="17"/>
      <c r="DMN2356" s="17"/>
      <c r="DMO2356" s="17"/>
      <c r="DMP2356" s="17"/>
      <c r="DMQ2356" s="17"/>
    </row>
    <row r="2357" spans="3044:3059">
      <c r="DMB2357" s="17"/>
      <c r="DMC2357" s="17"/>
      <c r="DMD2357" s="17"/>
      <c r="DME2357" s="17"/>
      <c r="DMF2357" s="17"/>
      <c r="DMG2357" s="17"/>
      <c r="DMH2357" s="17"/>
      <c r="DMI2357" s="17"/>
      <c r="DMJ2357" s="17"/>
      <c r="DMK2357" s="17"/>
      <c r="DML2357" s="17"/>
      <c r="DMM2357" s="17"/>
      <c r="DMN2357" s="17"/>
      <c r="DMO2357" s="17"/>
      <c r="DMP2357" s="17"/>
      <c r="DMQ2357" s="17"/>
    </row>
    <row r="2358" spans="3044:3059">
      <c r="DMB2358" s="17"/>
      <c r="DMC2358" s="17"/>
      <c r="DMD2358" s="17"/>
      <c r="DME2358" s="17"/>
      <c r="DMF2358" s="17"/>
      <c r="DMG2358" s="17"/>
      <c r="DMH2358" s="17"/>
      <c r="DMI2358" s="17"/>
      <c r="DMJ2358" s="17"/>
      <c r="DMK2358" s="17"/>
      <c r="DML2358" s="17"/>
      <c r="DMM2358" s="17"/>
      <c r="DMN2358" s="17"/>
      <c r="DMO2358" s="17"/>
      <c r="DMP2358" s="17"/>
      <c r="DMQ2358" s="17"/>
    </row>
    <row r="2359" spans="3044:3059">
      <c r="DMB2359" s="17"/>
      <c r="DMC2359" s="17"/>
      <c r="DMD2359" s="17"/>
      <c r="DME2359" s="17"/>
      <c r="DMF2359" s="17"/>
      <c r="DMG2359" s="17"/>
      <c r="DMH2359" s="17"/>
      <c r="DMI2359" s="17"/>
      <c r="DMJ2359" s="17"/>
      <c r="DMK2359" s="17"/>
      <c r="DML2359" s="17"/>
      <c r="DMM2359" s="17"/>
      <c r="DMN2359" s="17"/>
      <c r="DMO2359" s="17"/>
      <c r="DMP2359" s="17"/>
      <c r="DMQ2359" s="17"/>
    </row>
    <row r="2360" spans="3044:3059">
      <c r="DMB2360" s="17"/>
      <c r="DMC2360" s="17"/>
      <c r="DMD2360" s="17"/>
      <c r="DME2360" s="17"/>
      <c r="DMF2360" s="17"/>
      <c r="DMG2360" s="17"/>
      <c r="DMH2360" s="17"/>
      <c r="DMI2360" s="17"/>
      <c r="DMJ2360" s="17"/>
      <c r="DMK2360" s="17"/>
      <c r="DML2360" s="17"/>
      <c r="DMM2360" s="17"/>
      <c r="DMN2360" s="17"/>
      <c r="DMO2360" s="17"/>
      <c r="DMP2360" s="17"/>
      <c r="DMQ2360" s="17"/>
    </row>
    <row r="2361" spans="3044:3059">
      <c r="DMB2361" s="17"/>
      <c r="DMC2361" s="17"/>
      <c r="DMD2361" s="17"/>
      <c r="DME2361" s="17"/>
      <c r="DMF2361" s="17"/>
      <c r="DMG2361" s="17"/>
      <c r="DMH2361" s="17"/>
      <c r="DMI2361" s="17"/>
      <c r="DMJ2361" s="17"/>
      <c r="DMK2361" s="17"/>
      <c r="DML2361" s="17"/>
      <c r="DMM2361" s="17"/>
      <c r="DMN2361" s="17"/>
      <c r="DMO2361" s="17"/>
      <c r="DMP2361" s="17"/>
      <c r="DMQ2361" s="17"/>
    </row>
    <row r="2362" spans="3044:3059">
      <c r="DMB2362" s="17"/>
      <c r="DMC2362" s="17"/>
      <c r="DMD2362" s="17"/>
      <c r="DME2362" s="17"/>
      <c r="DMF2362" s="17"/>
      <c r="DMG2362" s="17"/>
      <c r="DMH2362" s="17"/>
      <c r="DMI2362" s="17"/>
      <c r="DMJ2362" s="17"/>
      <c r="DMK2362" s="17"/>
      <c r="DML2362" s="17"/>
      <c r="DMM2362" s="17"/>
      <c r="DMN2362" s="17"/>
      <c r="DMO2362" s="17"/>
      <c r="DMP2362" s="17"/>
      <c r="DMQ2362" s="17"/>
    </row>
    <row r="2363" spans="3044:3059">
      <c r="DMB2363" s="17"/>
      <c r="DMC2363" s="17"/>
      <c r="DMD2363" s="17"/>
      <c r="DME2363" s="17"/>
      <c r="DMF2363" s="17"/>
      <c r="DMG2363" s="17"/>
      <c r="DMH2363" s="17"/>
      <c r="DMI2363" s="17"/>
      <c r="DMJ2363" s="17"/>
      <c r="DMK2363" s="17"/>
      <c r="DML2363" s="17"/>
      <c r="DMM2363" s="17"/>
      <c r="DMN2363" s="17"/>
      <c r="DMO2363" s="17"/>
      <c r="DMP2363" s="17"/>
      <c r="DMQ2363" s="17"/>
    </row>
    <row r="2364" spans="3044:3059">
      <c r="DMB2364" s="17"/>
      <c r="DMC2364" s="17"/>
      <c r="DMD2364" s="17"/>
      <c r="DME2364" s="17"/>
      <c r="DMF2364" s="17"/>
      <c r="DMG2364" s="17"/>
      <c r="DMH2364" s="17"/>
      <c r="DMI2364" s="17"/>
      <c r="DMJ2364" s="17"/>
      <c r="DMK2364" s="17"/>
      <c r="DML2364" s="17"/>
      <c r="DMM2364" s="17"/>
      <c r="DMN2364" s="17"/>
      <c r="DMO2364" s="17"/>
      <c r="DMP2364" s="17"/>
      <c r="DMQ2364" s="17"/>
    </row>
    <row r="2365" spans="3044:3059">
      <c r="DMB2365" s="17"/>
      <c r="DMC2365" s="17"/>
      <c r="DMD2365" s="17"/>
      <c r="DME2365" s="17"/>
      <c r="DMF2365" s="17"/>
      <c r="DMG2365" s="17"/>
      <c r="DMH2365" s="17"/>
      <c r="DMI2365" s="17"/>
      <c r="DMJ2365" s="17"/>
      <c r="DMK2365" s="17"/>
      <c r="DML2365" s="17"/>
      <c r="DMM2365" s="17"/>
      <c r="DMN2365" s="17"/>
      <c r="DMO2365" s="17"/>
      <c r="DMP2365" s="17"/>
      <c r="DMQ2365" s="17"/>
    </row>
    <row r="2366" spans="3044:3059">
      <c r="DMB2366" s="17"/>
      <c r="DMC2366" s="17"/>
      <c r="DMD2366" s="17"/>
      <c r="DME2366" s="17"/>
      <c r="DMF2366" s="17"/>
      <c r="DMG2366" s="17"/>
      <c r="DMH2366" s="17"/>
      <c r="DMI2366" s="17"/>
      <c r="DMJ2366" s="17"/>
      <c r="DMK2366" s="17"/>
      <c r="DML2366" s="17"/>
      <c r="DMM2366" s="17"/>
      <c r="DMN2366" s="17"/>
      <c r="DMO2366" s="17"/>
      <c r="DMP2366" s="17"/>
      <c r="DMQ2366" s="17"/>
    </row>
    <row r="2367" spans="3044:3059">
      <c r="DMB2367" s="17"/>
      <c r="DMC2367" s="17"/>
      <c r="DMD2367" s="17"/>
      <c r="DME2367" s="17"/>
      <c r="DMF2367" s="17"/>
      <c r="DMG2367" s="17"/>
      <c r="DMH2367" s="17"/>
      <c r="DMI2367" s="17"/>
      <c r="DMJ2367" s="17"/>
      <c r="DMK2367" s="17"/>
      <c r="DML2367" s="17"/>
      <c r="DMM2367" s="17"/>
      <c r="DMN2367" s="17"/>
      <c r="DMO2367" s="17"/>
      <c r="DMP2367" s="17"/>
      <c r="DMQ2367" s="17"/>
    </row>
    <row r="2368" spans="3044:3059">
      <c r="DMB2368" s="17"/>
      <c r="DMC2368" s="17"/>
      <c r="DMD2368" s="17"/>
      <c r="DME2368" s="17"/>
      <c r="DMF2368" s="17"/>
      <c r="DMG2368" s="17"/>
      <c r="DMH2368" s="17"/>
      <c r="DMI2368" s="17"/>
      <c r="DMJ2368" s="17"/>
      <c r="DMK2368" s="17"/>
      <c r="DML2368" s="17"/>
      <c r="DMM2368" s="17"/>
      <c r="DMN2368" s="17"/>
      <c r="DMO2368" s="17"/>
      <c r="DMP2368" s="17"/>
      <c r="DMQ2368" s="17"/>
    </row>
    <row r="2369" spans="3044:3059">
      <c r="DMB2369" s="17"/>
      <c r="DMC2369" s="17"/>
      <c r="DMD2369" s="17"/>
      <c r="DME2369" s="17"/>
      <c r="DMF2369" s="17"/>
      <c r="DMG2369" s="17"/>
      <c r="DMH2369" s="17"/>
      <c r="DMI2369" s="17"/>
      <c r="DMJ2369" s="17"/>
      <c r="DMK2369" s="17"/>
      <c r="DML2369" s="17"/>
      <c r="DMM2369" s="17"/>
      <c r="DMN2369" s="17"/>
      <c r="DMO2369" s="17"/>
      <c r="DMP2369" s="17"/>
      <c r="DMQ2369" s="17"/>
    </row>
    <row r="2370" spans="3044:3059">
      <c r="DMB2370" s="17"/>
      <c r="DMC2370" s="17"/>
      <c r="DMD2370" s="17"/>
      <c r="DME2370" s="17"/>
      <c r="DMF2370" s="17"/>
      <c r="DMG2370" s="17"/>
      <c r="DMH2370" s="17"/>
      <c r="DMI2370" s="17"/>
      <c r="DMJ2370" s="17"/>
      <c r="DMK2370" s="17"/>
      <c r="DML2370" s="17"/>
      <c r="DMM2370" s="17"/>
      <c r="DMN2370" s="17"/>
      <c r="DMO2370" s="17"/>
      <c r="DMP2370" s="17"/>
      <c r="DMQ2370" s="17"/>
    </row>
    <row r="2371" spans="3044:3059">
      <c r="DMB2371" s="17"/>
      <c r="DMC2371" s="17"/>
      <c r="DMD2371" s="17"/>
      <c r="DME2371" s="17"/>
      <c r="DMF2371" s="17"/>
      <c r="DMG2371" s="17"/>
      <c r="DMH2371" s="17"/>
      <c r="DMI2371" s="17"/>
      <c r="DMJ2371" s="17"/>
      <c r="DMK2371" s="17"/>
      <c r="DML2371" s="17"/>
      <c r="DMM2371" s="17"/>
      <c r="DMN2371" s="17"/>
      <c r="DMO2371" s="17"/>
      <c r="DMP2371" s="17"/>
      <c r="DMQ2371" s="17"/>
    </row>
    <row r="2372" spans="3044:3059">
      <c r="DMB2372" s="17"/>
      <c r="DMC2372" s="17"/>
      <c r="DMD2372" s="17"/>
      <c r="DME2372" s="17"/>
      <c r="DMF2372" s="17"/>
      <c r="DMG2372" s="17"/>
      <c r="DMH2372" s="17"/>
      <c r="DMI2372" s="17"/>
      <c r="DMJ2372" s="17"/>
      <c r="DMK2372" s="17"/>
      <c r="DML2372" s="17"/>
      <c r="DMM2372" s="17"/>
      <c r="DMN2372" s="17"/>
      <c r="DMO2372" s="17"/>
      <c r="DMP2372" s="17"/>
      <c r="DMQ2372" s="17"/>
    </row>
    <row r="2373" spans="3044:3059">
      <c r="DMB2373" s="17"/>
      <c r="DMC2373" s="17"/>
      <c r="DMD2373" s="17"/>
      <c r="DME2373" s="17"/>
      <c r="DMF2373" s="17"/>
      <c r="DMG2373" s="17"/>
      <c r="DMH2373" s="17"/>
      <c r="DMI2373" s="17"/>
      <c r="DMJ2373" s="17"/>
      <c r="DMK2373" s="17"/>
      <c r="DML2373" s="17"/>
      <c r="DMM2373" s="17"/>
      <c r="DMN2373" s="17"/>
      <c r="DMO2373" s="17"/>
      <c r="DMP2373" s="17"/>
      <c r="DMQ2373" s="17"/>
    </row>
    <row r="2374" spans="3044:3059">
      <c r="DMB2374" s="17"/>
      <c r="DMC2374" s="17"/>
      <c r="DMD2374" s="17"/>
      <c r="DME2374" s="17"/>
      <c r="DMF2374" s="17"/>
      <c r="DMG2374" s="17"/>
      <c r="DMH2374" s="17"/>
      <c r="DMI2374" s="17"/>
      <c r="DMJ2374" s="17"/>
      <c r="DMK2374" s="17"/>
      <c r="DML2374" s="17"/>
      <c r="DMM2374" s="17"/>
      <c r="DMN2374" s="17"/>
      <c r="DMO2374" s="17"/>
      <c r="DMP2374" s="17"/>
      <c r="DMQ2374" s="17"/>
    </row>
    <row r="2375" spans="3044:3059">
      <c r="DMB2375" s="17"/>
      <c r="DMC2375" s="17"/>
      <c r="DMD2375" s="17"/>
      <c r="DME2375" s="17"/>
      <c r="DMF2375" s="17"/>
      <c r="DMG2375" s="17"/>
      <c r="DMH2375" s="17"/>
      <c r="DMI2375" s="17"/>
      <c r="DMJ2375" s="17"/>
      <c r="DMK2375" s="17"/>
      <c r="DML2375" s="17"/>
      <c r="DMM2375" s="17"/>
      <c r="DMN2375" s="17"/>
      <c r="DMO2375" s="17"/>
      <c r="DMP2375" s="17"/>
      <c r="DMQ2375" s="17"/>
    </row>
    <row r="2376" spans="3044:3059">
      <c r="DMB2376" s="17"/>
      <c r="DMC2376" s="17"/>
      <c r="DMD2376" s="17"/>
      <c r="DME2376" s="17"/>
      <c r="DMF2376" s="17"/>
      <c r="DMG2376" s="17"/>
      <c r="DMH2376" s="17"/>
      <c r="DMI2376" s="17"/>
      <c r="DMJ2376" s="17"/>
      <c r="DMK2376" s="17"/>
      <c r="DML2376" s="17"/>
      <c r="DMM2376" s="17"/>
      <c r="DMN2376" s="17"/>
      <c r="DMO2376" s="17"/>
      <c r="DMP2376" s="17"/>
      <c r="DMQ2376" s="17"/>
    </row>
    <row r="2377" spans="3044:3059">
      <c r="DMB2377" s="17"/>
      <c r="DMC2377" s="17"/>
      <c r="DMD2377" s="17"/>
      <c r="DME2377" s="17"/>
      <c r="DMF2377" s="17"/>
      <c r="DMG2377" s="17"/>
      <c r="DMH2377" s="17"/>
      <c r="DMI2377" s="17"/>
      <c r="DMJ2377" s="17"/>
      <c r="DMK2377" s="17"/>
      <c r="DML2377" s="17"/>
      <c r="DMM2377" s="17"/>
      <c r="DMN2377" s="17"/>
      <c r="DMO2377" s="17"/>
      <c r="DMP2377" s="17"/>
      <c r="DMQ2377" s="17"/>
    </row>
    <row r="2378" spans="3044:3059">
      <c r="DMB2378" s="17"/>
      <c r="DMC2378" s="17"/>
      <c r="DMD2378" s="17"/>
      <c r="DME2378" s="17"/>
      <c r="DMF2378" s="17"/>
      <c r="DMG2378" s="17"/>
      <c r="DMH2378" s="17"/>
      <c r="DMI2378" s="17"/>
      <c r="DMJ2378" s="17"/>
      <c r="DMK2378" s="17"/>
      <c r="DML2378" s="17"/>
      <c r="DMM2378" s="17"/>
      <c r="DMN2378" s="17"/>
      <c r="DMO2378" s="17"/>
      <c r="DMP2378" s="17"/>
      <c r="DMQ2378" s="17"/>
    </row>
    <row r="2379" spans="3044:3059">
      <c r="DMB2379" s="17"/>
      <c r="DMC2379" s="17"/>
      <c r="DMD2379" s="17"/>
      <c r="DME2379" s="17"/>
      <c r="DMF2379" s="17"/>
      <c r="DMG2379" s="17"/>
      <c r="DMH2379" s="17"/>
      <c r="DMI2379" s="17"/>
      <c r="DMJ2379" s="17"/>
      <c r="DMK2379" s="17"/>
      <c r="DML2379" s="17"/>
      <c r="DMM2379" s="17"/>
      <c r="DMN2379" s="17"/>
      <c r="DMO2379" s="17"/>
      <c r="DMP2379" s="17"/>
      <c r="DMQ2379" s="17"/>
    </row>
    <row r="2380" spans="3044:3059">
      <c r="DMB2380" s="17"/>
      <c r="DMC2380" s="17"/>
      <c r="DMD2380" s="17"/>
      <c r="DME2380" s="17"/>
      <c r="DMF2380" s="17"/>
      <c r="DMG2380" s="17"/>
      <c r="DMH2380" s="17"/>
      <c r="DMI2380" s="17"/>
      <c r="DMJ2380" s="17"/>
      <c r="DMK2380" s="17"/>
      <c r="DML2380" s="17"/>
      <c r="DMM2380" s="17"/>
      <c r="DMN2380" s="17"/>
      <c r="DMO2380" s="17"/>
      <c r="DMP2380" s="17"/>
      <c r="DMQ2380" s="17"/>
    </row>
    <row r="2381" spans="3044:3059">
      <c r="DMB2381" s="17"/>
      <c r="DMC2381" s="17"/>
      <c r="DMD2381" s="17"/>
      <c r="DME2381" s="17"/>
      <c r="DMF2381" s="17"/>
      <c r="DMG2381" s="17"/>
      <c r="DMH2381" s="17"/>
      <c r="DMI2381" s="17"/>
      <c r="DMJ2381" s="17"/>
      <c r="DMK2381" s="17"/>
      <c r="DML2381" s="17"/>
      <c r="DMM2381" s="17"/>
      <c r="DMN2381" s="17"/>
      <c r="DMO2381" s="17"/>
      <c r="DMP2381" s="17"/>
      <c r="DMQ2381" s="17"/>
    </row>
    <row r="2382" spans="3044:3059">
      <c r="DMB2382" s="17"/>
      <c r="DMC2382" s="17"/>
      <c r="DMD2382" s="17"/>
      <c r="DME2382" s="17"/>
      <c r="DMF2382" s="17"/>
      <c r="DMG2382" s="17"/>
      <c r="DMH2382" s="17"/>
      <c r="DMI2382" s="17"/>
      <c r="DMJ2382" s="17"/>
      <c r="DMK2382" s="17"/>
      <c r="DML2382" s="17"/>
      <c r="DMM2382" s="17"/>
      <c r="DMN2382" s="17"/>
      <c r="DMO2382" s="17"/>
      <c r="DMP2382" s="17"/>
      <c r="DMQ2382" s="17"/>
    </row>
    <row r="2383" spans="3044:3059">
      <c r="DMB2383" s="17"/>
      <c r="DMC2383" s="17"/>
      <c r="DMD2383" s="17"/>
      <c r="DME2383" s="17"/>
      <c r="DMF2383" s="17"/>
      <c r="DMG2383" s="17"/>
      <c r="DMH2383" s="17"/>
      <c r="DMI2383" s="17"/>
      <c r="DMJ2383" s="17"/>
      <c r="DMK2383" s="17"/>
      <c r="DML2383" s="17"/>
      <c r="DMM2383" s="17"/>
      <c r="DMN2383" s="17"/>
      <c r="DMO2383" s="17"/>
      <c r="DMP2383" s="17"/>
      <c r="DMQ2383" s="17"/>
    </row>
    <row r="2384" spans="3044:3059">
      <c r="DMB2384" s="17"/>
      <c r="DMC2384" s="17"/>
      <c r="DMD2384" s="17"/>
      <c r="DME2384" s="17"/>
      <c r="DMF2384" s="17"/>
      <c r="DMG2384" s="17"/>
      <c r="DMH2384" s="17"/>
      <c r="DMI2384" s="17"/>
      <c r="DMJ2384" s="17"/>
      <c r="DMK2384" s="17"/>
      <c r="DML2384" s="17"/>
      <c r="DMM2384" s="17"/>
      <c r="DMN2384" s="17"/>
      <c r="DMO2384" s="17"/>
      <c r="DMP2384" s="17"/>
      <c r="DMQ2384" s="17"/>
    </row>
    <row r="2385" spans="3044:3059">
      <c r="DMB2385" s="17"/>
      <c r="DMC2385" s="17"/>
      <c r="DMD2385" s="17"/>
      <c r="DME2385" s="17"/>
      <c r="DMF2385" s="17"/>
      <c r="DMG2385" s="17"/>
      <c r="DMH2385" s="17"/>
      <c r="DMI2385" s="17"/>
      <c r="DMJ2385" s="17"/>
      <c r="DMK2385" s="17"/>
      <c r="DML2385" s="17"/>
      <c r="DMM2385" s="17"/>
      <c r="DMN2385" s="17"/>
      <c r="DMO2385" s="17"/>
      <c r="DMP2385" s="17"/>
      <c r="DMQ2385" s="17"/>
    </row>
    <row r="2386" spans="3044:3059">
      <c r="DMB2386" s="17"/>
      <c r="DMC2386" s="17"/>
      <c r="DMD2386" s="17"/>
      <c r="DME2386" s="17"/>
      <c r="DMF2386" s="17"/>
      <c r="DMG2386" s="17"/>
      <c r="DMH2386" s="17"/>
      <c r="DMI2386" s="17"/>
      <c r="DMJ2386" s="17"/>
      <c r="DMK2386" s="17"/>
      <c r="DML2386" s="17"/>
      <c r="DMM2386" s="17"/>
      <c r="DMN2386" s="17"/>
      <c r="DMO2386" s="17"/>
      <c r="DMP2386" s="17"/>
      <c r="DMQ2386" s="17"/>
    </row>
    <row r="2387" spans="3044:3059">
      <c r="DMB2387" s="17"/>
      <c r="DMC2387" s="17"/>
      <c r="DMD2387" s="17"/>
      <c r="DME2387" s="17"/>
      <c r="DMF2387" s="17"/>
      <c r="DMG2387" s="17"/>
      <c r="DMH2387" s="17"/>
      <c r="DMI2387" s="17"/>
      <c r="DMJ2387" s="17"/>
      <c r="DMK2387" s="17"/>
      <c r="DML2387" s="17"/>
      <c r="DMM2387" s="17"/>
      <c r="DMN2387" s="17"/>
      <c r="DMO2387" s="17"/>
      <c r="DMP2387" s="17"/>
      <c r="DMQ2387" s="17"/>
    </row>
    <row r="2388" spans="3044:3059">
      <c r="DMB2388" s="17"/>
      <c r="DMC2388" s="17"/>
      <c r="DMD2388" s="17"/>
      <c r="DME2388" s="17"/>
      <c r="DMF2388" s="17"/>
      <c r="DMG2388" s="17"/>
      <c r="DMH2388" s="17"/>
      <c r="DMI2388" s="17"/>
      <c r="DMJ2388" s="17"/>
      <c r="DMK2388" s="17"/>
      <c r="DML2388" s="17"/>
      <c r="DMM2388" s="17"/>
      <c r="DMN2388" s="17"/>
      <c r="DMO2388" s="17"/>
      <c r="DMP2388" s="17"/>
      <c r="DMQ2388" s="17"/>
    </row>
    <row r="2389" spans="3044:3059">
      <c r="DMB2389" s="17"/>
      <c r="DMC2389" s="17"/>
      <c r="DMD2389" s="17"/>
      <c r="DME2389" s="17"/>
      <c r="DMF2389" s="17"/>
      <c r="DMG2389" s="17"/>
      <c r="DMH2389" s="17"/>
      <c r="DMI2389" s="17"/>
      <c r="DMJ2389" s="17"/>
      <c r="DMK2389" s="17"/>
      <c r="DML2389" s="17"/>
      <c r="DMM2389" s="17"/>
      <c r="DMN2389" s="17"/>
      <c r="DMO2389" s="17"/>
      <c r="DMP2389" s="17"/>
      <c r="DMQ2389" s="17"/>
    </row>
    <row r="2390" spans="3044:3059">
      <c r="DMB2390" s="17"/>
      <c r="DMC2390" s="17"/>
      <c r="DMD2390" s="17"/>
      <c r="DME2390" s="17"/>
      <c r="DMF2390" s="17"/>
      <c r="DMG2390" s="17"/>
      <c r="DMH2390" s="17"/>
      <c r="DMI2390" s="17"/>
      <c r="DMJ2390" s="17"/>
      <c r="DMK2390" s="17"/>
      <c r="DML2390" s="17"/>
      <c r="DMM2390" s="17"/>
      <c r="DMN2390" s="17"/>
      <c r="DMO2390" s="17"/>
      <c r="DMP2390" s="17"/>
      <c r="DMQ2390" s="17"/>
    </row>
    <row r="2391" spans="3044:3059">
      <c r="DMB2391" s="17"/>
      <c r="DMC2391" s="17"/>
      <c r="DMD2391" s="17"/>
      <c r="DME2391" s="17"/>
      <c r="DMF2391" s="17"/>
      <c r="DMG2391" s="17"/>
      <c r="DMH2391" s="17"/>
      <c r="DMI2391" s="17"/>
      <c r="DMJ2391" s="17"/>
      <c r="DMK2391" s="17"/>
      <c r="DML2391" s="17"/>
      <c r="DMM2391" s="17"/>
      <c r="DMN2391" s="17"/>
      <c r="DMO2391" s="17"/>
      <c r="DMP2391" s="17"/>
      <c r="DMQ2391" s="17"/>
    </row>
    <row r="2392" spans="3044:3059">
      <c r="DMB2392" s="17"/>
      <c r="DMC2392" s="17"/>
      <c r="DMD2392" s="17"/>
      <c r="DME2392" s="17"/>
      <c r="DMF2392" s="17"/>
      <c r="DMG2392" s="17"/>
      <c r="DMH2392" s="17"/>
      <c r="DMI2392" s="17"/>
      <c r="DMJ2392" s="17"/>
      <c r="DMK2392" s="17"/>
      <c r="DML2392" s="17"/>
      <c r="DMM2392" s="17"/>
      <c r="DMN2392" s="17"/>
      <c r="DMO2392" s="17"/>
      <c r="DMP2392" s="17"/>
      <c r="DMQ2392" s="17"/>
    </row>
    <row r="2393" spans="3044:3059">
      <c r="DMB2393" s="17"/>
      <c r="DMC2393" s="17"/>
      <c r="DMD2393" s="17"/>
      <c r="DME2393" s="17"/>
      <c r="DMF2393" s="17"/>
      <c r="DMG2393" s="17"/>
      <c r="DMH2393" s="17"/>
      <c r="DMI2393" s="17"/>
      <c r="DMJ2393" s="17"/>
      <c r="DMK2393" s="17"/>
      <c r="DML2393" s="17"/>
      <c r="DMM2393" s="17"/>
      <c r="DMN2393" s="17"/>
      <c r="DMO2393" s="17"/>
      <c r="DMP2393" s="17"/>
      <c r="DMQ2393" s="17"/>
    </row>
    <row r="2394" spans="3044:3059">
      <c r="DMB2394" s="17"/>
      <c r="DMC2394" s="17"/>
      <c r="DMD2394" s="17"/>
      <c r="DME2394" s="17"/>
      <c r="DMF2394" s="17"/>
      <c r="DMG2394" s="17"/>
      <c r="DMH2394" s="17"/>
      <c r="DMI2394" s="17"/>
      <c r="DMJ2394" s="17"/>
      <c r="DMK2394" s="17"/>
      <c r="DML2394" s="17"/>
      <c r="DMM2394" s="17"/>
      <c r="DMN2394" s="17"/>
      <c r="DMO2394" s="17"/>
      <c r="DMP2394" s="17"/>
      <c r="DMQ2394" s="17"/>
    </row>
    <row r="2395" spans="3044:3059">
      <c r="DMB2395" s="17"/>
      <c r="DMC2395" s="17"/>
      <c r="DMD2395" s="17"/>
      <c r="DME2395" s="17"/>
      <c r="DMF2395" s="17"/>
      <c r="DMG2395" s="17"/>
      <c r="DMH2395" s="17"/>
      <c r="DMI2395" s="17"/>
      <c r="DMJ2395" s="17"/>
      <c r="DMK2395" s="17"/>
      <c r="DML2395" s="17"/>
      <c r="DMM2395" s="17"/>
      <c r="DMN2395" s="17"/>
      <c r="DMO2395" s="17"/>
      <c r="DMP2395" s="17"/>
      <c r="DMQ2395" s="17"/>
    </row>
    <row r="2396" spans="3044:3059">
      <c r="DMB2396" s="17"/>
      <c r="DMC2396" s="17"/>
      <c r="DMD2396" s="17"/>
      <c r="DME2396" s="17"/>
      <c r="DMF2396" s="17"/>
      <c r="DMG2396" s="17"/>
      <c r="DMH2396" s="17"/>
      <c r="DMI2396" s="17"/>
      <c r="DMJ2396" s="17"/>
      <c r="DMK2396" s="17"/>
      <c r="DML2396" s="17"/>
      <c r="DMM2396" s="17"/>
      <c r="DMN2396" s="17"/>
      <c r="DMO2396" s="17"/>
      <c r="DMP2396" s="17"/>
      <c r="DMQ2396" s="17"/>
    </row>
    <row r="2397" spans="3044:3059">
      <c r="DMB2397" s="17"/>
      <c r="DMC2397" s="17"/>
      <c r="DMD2397" s="17"/>
      <c r="DME2397" s="17"/>
      <c r="DMF2397" s="17"/>
      <c r="DMG2397" s="17"/>
      <c r="DMH2397" s="17"/>
      <c r="DMI2397" s="17"/>
      <c r="DMJ2397" s="17"/>
      <c r="DMK2397" s="17"/>
      <c r="DML2397" s="17"/>
      <c r="DMM2397" s="17"/>
      <c r="DMN2397" s="17"/>
      <c r="DMO2397" s="17"/>
      <c r="DMP2397" s="17"/>
      <c r="DMQ2397" s="17"/>
    </row>
    <row r="2398" spans="3044:3059">
      <c r="DMB2398" s="17"/>
      <c r="DMC2398" s="17"/>
      <c r="DMD2398" s="17"/>
      <c r="DME2398" s="17"/>
      <c r="DMF2398" s="17"/>
      <c r="DMG2398" s="17"/>
      <c r="DMH2398" s="17"/>
      <c r="DMI2398" s="17"/>
      <c r="DMJ2398" s="17"/>
      <c r="DMK2398" s="17"/>
      <c r="DML2398" s="17"/>
      <c r="DMM2398" s="17"/>
      <c r="DMN2398" s="17"/>
      <c r="DMO2398" s="17"/>
      <c r="DMP2398" s="17"/>
      <c r="DMQ2398" s="17"/>
    </row>
    <row r="2399" spans="3044:3059">
      <c r="DMB2399" s="17"/>
      <c r="DMC2399" s="17"/>
      <c r="DMD2399" s="17"/>
      <c r="DME2399" s="17"/>
      <c r="DMF2399" s="17"/>
      <c r="DMG2399" s="17"/>
      <c r="DMH2399" s="17"/>
      <c r="DMI2399" s="17"/>
      <c r="DMJ2399" s="17"/>
      <c r="DMK2399" s="17"/>
      <c r="DML2399" s="17"/>
      <c r="DMM2399" s="17"/>
      <c r="DMN2399" s="17"/>
      <c r="DMO2399" s="17"/>
      <c r="DMP2399" s="17"/>
      <c r="DMQ2399" s="17"/>
    </row>
    <row r="2400" spans="3044:3059">
      <c r="DMB2400" s="17"/>
      <c r="DMC2400" s="17"/>
      <c r="DMD2400" s="17"/>
      <c r="DME2400" s="17"/>
      <c r="DMF2400" s="17"/>
      <c r="DMG2400" s="17"/>
      <c r="DMH2400" s="17"/>
      <c r="DMI2400" s="17"/>
      <c r="DMJ2400" s="17"/>
      <c r="DMK2400" s="17"/>
      <c r="DML2400" s="17"/>
      <c r="DMM2400" s="17"/>
      <c r="DMN2400" s="17"/>
      <c r="DMO2400" s="17"/>
      <c r="DMP2400" s="17"/>
      <c r="DMQ2400" s="17"/>
    </row>
    <row r="2401" spans="3044:3059">
      <c r="DMB2401" s="17"/>
      <c r="DMC2401" s="17"/>
      <c r="DMD2401" s="17"/>
      <c r="DME2401" s="17"/>
      <c r="DMF2401" s="17"/>
      <c r="DMG2401" s="17"/>
      <c r="DMH2401" s="17"/>
      <c r="DMI2401" s="17"/>
      <c r="DMJ2401" s="17"/>
      <c r="DMK2401" s="17"/>
      <c r="DML2401" s="17"/>
      <c r="DMM2401" s="17"/>
      <c r="DMN2401" s="17"/>
      <c r="DMO2401" s="17"/>
      <c r="DMP2401" s="17"/>
      <c r="DMQ2401" s="17"/>
    </row>
    <row r="2402" spans="3044:3059">
      <c r="DMB2402" s="17"/>
      <c r="DMC2402" s="17"/>
      <c r="DMD2402" s="17"/>
      <c r="DME2402" s="17"/>
      <c r="DMF2402" s="17"/>
      <c r="DMG2402" s="17"/>
      <c r="DMH2402" s="17"/>
      <c r="DMI2402" s="17"/>
      <c r="DMJ2402" s="17"/>
      <c r="DMK2402" s="17"/>
      <c r="DML2402" s="17"/>
      <c r="DMM2402" s="17"/>
      <c r="DMN2402" s="17"/>
      <c r="DMO2402" s="17"/>
      <c r="DMP2402" s="17"/>
      <c r="DMQ2402" s="17"/>
    </row>
    <row r="2403" spans="3044:3059">
      <c r="DMB2403" s="17"/>
      <c r="DMC2403" s="17"/>
      <c r="DMD2403" s="17"/>
      <c r="DME2403" s="17"/>
      <c r="DMF2403" s="17"/>
      <c r="DMG2403" s="17"/>
      <c r="DMH2403" s="17"/>
      <c r="DMI2403" s="17"/>
      <c r="DMJ2403" s="17"/>
      <c r="DMK2403" s="17"/>
      <c r="DML2403" s="17"/>
      <c r="DMM2403" s="17"/>
      <c r="DMN2403" s="17"/>
      <c r="DMO2403" s="17"/>
      <c r="DMP2403" s="17"/>
      <c r="DMQ2403" s="17"/>
    </row>
    <row r="2404" spans="3044:3059">
      <c r="DMB2404" s="17"/>
      <c r="DMC2404" s="17"/>
      <c r="DMD2404" s="17"/>
      <c r="DME2404" s="17"/>
      <c r="DMF2404" s="17"/>
      <c r="DMG2404" s="17"/>
      <c r="DMH2404" s="17"/>
      <c r="DMI2404" s="17"/>
      <c r="DMJ2404" s="17"/>
      <c r="DMK2404" s="17"/>
      <c r="DML2404" s="17"/>
      <c r="DMM2404" s="17"/>
      <c r="DMN2404" s="17"/>
      <c r="DMO2404" s="17"/>
      <c r="DMP2404" s="17"/>
      <c r="DMQ2404" s="17"/>
    </row>
    <row r="2405" spans="3044:3059">
      <c r="DMB2405" s="17"/>
      <c r="DMC2405" s="17"/>
      <c r="DMD2405" s="17"/>
      <c r="DME2405" s="17"/>
      <c r="DMF2405" s="17"/>
      <c r="DMG2405" s="17"/>
      <c r="DMH2405" s="17"/>
      <c r="DMI2405" s="17"/>
      <c r="DMJ2405" s="17"/>
      <c r="DMK2405" s="17"/>
      <c r="DML2405" s="17"/>
      <c r="DMM2405" s="17"/>
      <c r="DMN2405" s="17"/>
      <c r="DMO2405" s="17"/>
      <c r="DMP2405" s="17"/>
      <c r="DMQ2405" s="17"/>
    </row>
    <row r="2406" spans="3044:3059">
      <c r="DMB2406" s="17"/>
      <c r="DMC2406" s="17"/>
      <c r="DMD2406" s="17"/>
      <c r="DME2406" s="17"/>
      <c r="DMF2406" s="17"/>
      <c r="DMG2406" s="17"/>
      <c r="DMH2406" s="17"/>
      <c r="DMI2406" s="17"/>
      <c r="DMJ2406" s="17"/>
      <c r="DMK2406" s="17"/>
      <c r="DML2406" s="17"/>
      <c r="DMM2406" s="17"/>
      <c r="DMN2406" s="17"/>
      <c r="DMO2406" s="17"/>
      <c r="DMP2406" s="17"/>
      <c r="DMQ2406" s="17"/>
    </row>
    <row r="2407" spans="3044:3059">
      <c r="DMB2407" s="17"/>
      <c r="DMC2407" s="17"/>
      <c r="DMD2407" s="17"/>
      <c r="DME2407" s="17"/>
      <c r="DMF2407" s="17"/>
      <c r="DMG2407" s="17"/>
      <c r="DMH2407" s="17"/>
      <c r="DMI2407" s="17"/>
      <c r="DMJ2407" s="17"/>
      <c r="DMK2407" s="17"/>
      <c r="DML2407" s="17"/>
      <c r="DMM2407" s="17"/>
      <c r="DMN2407" s="17"/>
      <c r="DMO2407" s="17"/>
      <c r="DMP2407" s="17"/>
      <c r="DMQ2407" s="17"/>
    </row>
    <row r="2408" spans="3044:3059">
      <c r="DMB2408" s="17"/>
      <c r="DMC2408" s="17"/>
      <c r="DMD2408" s="17"/>
      <c r="DME2408" s="17"/>
      <c r="DMF2408" s="17"/>
      <c r="DMG2408" s="17"/>
      <c r="DMH2408" s="17"/>
      <c r="DMI2408" s="17"/>
      <c r="DMJ2408" s="17"/>
      <c r="DMK2408" s="17"/>
      <c r="DML2408" s="17"/>
      <c r="DMM2408" s="17"/>
      <c r="DMN2408" s="17"/>
      <c r="DMO2408" s="17"/>
      <c r="DMP2408" s="17"/>
      <c r="DMQ2408" s="17"/>
    </row>
    <row r="2409" spans="3044:3059">
      <c r="DMB2409" s="17"/>
      <c r="DMC2409" s="17"/>
      <c r="DMD2409" s="17"/>
      <c r="DME2409" s="17"/>
      <c r="DMF2409" s="17"/>
      <c r="DMG2409" s="17"/>
      <c r="DMH2409" s="17"/>
      <c r="DMI2409" s="17"/>
      <c r="DMJ2409" s="17"/>
      <c r="DMK2409" s="17"/>
      <c r="DML2409" s="17"/>
      <c r="DMM2409" s="17"/>
      <c r="DMN2409" s="17"/>
      <c r="DMO2409" s="17"/>
      <c r="DMP2409" s="17"/>
      <c r="DMQ2409" s="17"/>
    </row>
    <row r="2410" spans="3044:3059">
      <c r="DMB2410" s="17"/>
      <c r="DMC2410" s="17"/>
      <c r="DMD2410" s="17"/>
      <c r="DME2410" s="17"/>
      <c r="DMF2410" s="17"/>
      <c r="DMG2410" s="17"/>
      <c r="DMH2410" s="17"/>
      <c r="DMI2410" s="17"/>
      <c r="DMJ2410" s="17"/>
      <c r="DMK2410" s="17"/>
      <c r="DML2410" s="17"/>
      <c r="DMM2410" s="17"/>
      <c r="DMN2410" s="17"/>
      <c r="DMO2410" s="17"/>
      <c r="DMP2410" s="17"/>
      <c r="DMQ2410" s="17"/>
    </row>
    <row r="2411" spans="3044:3059">
      <c r="DMB2411" s="17"/>
      <c r="DMC2411" s="17"/>
      <c r="DMD2411" s="17"/>
      <c r="DME2411" s="17"/>
      <c r="DMF2411" s="17"/>
      <c r="DMG2411" s="17"/>
      <c r="DMH2411" s="17"/>
      <c r="DMI2411" s="17"/>
      <c r="DMJ2411" s="17"/>
      <c r="DMK2411" s="17"/>
      <c r="DML2411" s="17"/>
      <c r="DMM2411" s="17"/>
      <c r="DMN2411" s="17"/>
      <c r="DMO2411" s="17"/>
      <c r="DMP2411" s="17"/>
      <c r="DMQ2411" s="17"/>
    </row>
    <row r="2412" spans="3044:3059">
      <c r="DMB2412" s="17"/>
      <c r="DMC2412" s="17"/>
      <c r="DMD2412" s="17"/>
      <c r="DME2412" s="17"/>
      <c r="DMF2412" s="17"/>
      <c r="DMG2412" s="17"/>
      <c r="DMH2412" s="17"/>
      <c r="DMI2412" s="17"/>
      <c r="DMJ2412" s="17"/>
      <c r="DMK2412" s="17"/>
      <c r="DML2412" s="17"/>
      <c r="DMM2412" s="17"/>
      <c r="DMN2412" s="17"/>
      <c r="DMO2412" s="17"/>
      <c r="DMP2412" s="17"/>
      <c r="DMQ2412" s="17"/>
    </row>
    <row r="2413" spans="3044:3059">
      <c r="DMB2413" s="17"/>
      <c r="DMC2413" s="17"/>
      <c r="DMD2413" s="17"/>
      <c r="DME2413" s="17"/>
      <c r="DMF2413" s="17"/>
      <c r="DMG2413" s="17"/>
      <c r="DMH2413" s="17"/>
      <c r="DMI2413" s="17"/>
      <c r="DMJ2413" s="17"/>
      <c r="DMK2413" s="17"/>
      <c r="DML2413" s="17"/>
      <c r="DMM2413" s="17"/>
      <c r="DMN2413" s="17"/>
      <c r="DMO2413" s="17"/>
      <c r="DMP2413" s="17"/>
      <c r="DMQ2413" s="17"/>
    </row>
    <row r="2414" spans="3044:3059">
      <c r="DMB2414" s="17"/>
      <c r="DMC2414" s="17"/>
      <c r="DMD2414" s="17"/>
      <c r="DME2414" s="17"/>
      <c r="DMF2414" s="17"/>
      <c r="DMG2414" s="17"/>
      <c r="DMH2414" s="17"/>
      <c r="DMI2414" s="17"/>
      <c r="DMJ2414" s="17"/>
      <c r="DMK2414" s="17"/>
      <c r="DML2414" s="17"/>
      <c r="DMM2414" s="17"/>
      <c r="DMN2414" s="17"/>
      <c r="DMO2414" s="17"/>
      <c r="DMP2414" s="17"/>
      <c r="DMQ2414" s="17"/>
    </row>
    <row r="2415" spans="3044:3059">
      <c r="DMB2415" s="17"/>
      <c r="DMC2415" s="17"/>
      <c r="DMD2415" s="17"/>
      <c r="DME2415" s="17"/>
      <c r="DMF2415" s="17"/>
      <c r="DMG2415" s="17"/>
      <c r="DMH2415" s="17"/>
      <c r="DMI2415" s="17"/>
      <c r="DMJ2415" s="17"/>
      <c r="DMK2415" s="17"/>
      <c r="DML2415" s="17"/>
      <c r="DMM2415" s="17"/>
      <c r="DMN2415" s="17"/>
      <c r="DMO2415" s="17"/>
      <c r="DMP2415" s="17"/>
      <c r="DMQ2415" s="17"/>
    </row>
    <row r="2416" spans="3044:3059">
      <c r="DMB2416" s="17"/>
      <c r="DMC2416" s="17"/>
      <c r="DMD2416" s="17"/>
      <c r="DME2416" s="17"/>
      <c r="DMF2416" s="17"/>
      <c r="DMG2416" s="17"/>
      <c r="DMH2416" s="17"/>
      <c r="DMI2416" s="17"/>
      <c r="DMJ2416" s="17"/>
      <c r="DMK2416" s="17"/>
      <c r="DML2416" s="17"/>
      <c r="DMM2416" s="17"/>
      <c r="DMN2416" s="17"/>
      <c r="DMO2416" s="17"/>
      <c r="DMP2416" s="17"/>
      <c r="DMQ2416" s="17"/>
    </row>
    <row r="2417" spans="3044:3059">
      <c r="DMB2417" s="17"/>
      <c r="DMC2417" s="17"/>
      <c r="DMD2417" s="17"/>
      <c r="DME2417" s="17"/>
      <c r="DMF2417" s="17"/>
      <c r="DMG2417" s="17"/>
      <c r="DMH2417" s="17"/>
      <c r="DMI2417" s="17"/>
      <c r="DMJ2417" s="17"/>
      <c r="DMK2417" s="17"/>
      <c r="DML2417" s="17"/>
      <c r="DMM2417" s="17"/>
      <c r="DMN2417" s="17"/>
      <c r="DMO2417" s="17"/>
      <c r="DMP2417" s="17"/>
      <c r="DMQ2417" s="17"/>
    </row>
    <row r="2418" spans="3044:3059">
      <c r="DMB2418" s="17"/>
      <c r="DMC2418" s="17"/>
      <c r="DMD2418" s="17"/>
      <c r="DME2418" s="17"/>
      <c r="DMF2418" s="17"/>
      <c r="DMG2418" s="17"/>
      <c r="DMH2418" s="17"/>
      <c r="DMI2418" s="17"/>
      <c r="DMJ2418" s="17"/>
      <c r="DMK2418" s="17"/>
      <c r="DML2418" s="17"/>
      <c r="DMM2418" s="17"/>
      <c r="DMN2418" s="17"/>
      <c r="DMO2418" s="17"/>
      <c r="DMP2418" s="17"/>
      <c r="DMQ2418" s="17"/>
    </row>
    <row r="2419" spans="3044:3059">
      <c r="DMB2419" s="17"/>
      <c r="DMC2419" s="17"/>
      <c r="DMD2419" s="17"/>
      <c r="DME2419" s="17"/>
      <c r="DMF2419" s="17"/>
      <c r="DMG2419" s="17"/>
      <c r="DMH2419" s="17"/>
      <c r="DMI2419" s="17"/>
      <c r="DMJ2419" s="17"/>
      <c r="DMK2419" s="17"/>
      <c r="DML2419" s="17"/>
      <c r="DMM2419" s="17"/>
      <c r="DMN2419" s="17"/>
      <c r="DMO2419" s="17"/>
      <c r="DMP2419" s="17"/>
      <c r="DMQ2419" s="17"/>
    </row>
    <row r="2420" spans="3044:3059">
      <c r="DMB2420" s="17"/>
      <c r="DMC2420" s="17"/>
      <c r="DMD2420" s="17"/>
      <c r="DME2420" s="17"/>
      <c r="DMF2420" s="17"/>
      <c r="DMG2420" s="17"/>
      <c r="DMH2420" s="17"/>
      <c r="DMI2420" s="17"/>
      <c r="DMJ2420" s="17"/>
      <c r="DMK2420" s="17"/>
      <c r="DML2420" s="17"/>
      <c r="DMM2420" s="17"/>
      <c r="DMN2420" s="17"/>
      <c r="DMO2420" s="17"/>
      <c r="DMP2420" s="17"/>
      <c r="DMQ2420" s="17"/>
    </row>
    <row r="2421" spans="3044:3059">
      <c r="DMB2421" s="17"/>
      <c r="DMC2421" s="17"/>
      <c r="DMD2421" s="17"/>
      <c r="DME2421" s="17"/>
      <c r="DMF2421" s="17"/>
      <c r="DMG2421" s="17"/>
      <c r="DMH2421" s="17"/>
      <c r="DMI2421" s="17"/>
      <c r="DMJ2421" s="17"/>
      <c r="DMK2421" s="17"/>
      <c r="DML2421" s="17"/>
      <c r="DMM2421" s="17"/>
      <c r="DMN2421" s="17"/>
      <c r="DMO2421" s="17"/>
      <c r="DMP2421" s="17"/>
      <c r="DMQ2421" s="17"/>
    </row>
    <row r="2422" spans="3044:3059">
      <c r="DMB2422" s="17"/>
      <c r="DMC2422" s="17"/>
      <c r="DMD2422" s="17"/>
      <c r="DME2422" s="17"/>
      <c r="DMF2422" s="17"/>
      <c r="DMG2422" s="17"/>
      <c r="DMH2422" s="17"/>
      <c r="DMI2422" s="17"/>
      <c r="DMJ2422" s="17"/>
      <c r="DMK2422" s="17"/>
      <c r="DML2422" s="17"/>
      <c r="DMM2422" s="17"/>
      <c r="DMN2422" s="17"/>
      <c r="DMO2422" s="17"/>
      <c r="DMP2422" s="17"/>
      <c r="DMQ2422" s="17"/>
    </row>
    <row r="2423" spans="3044:3059">
      <c r="DMB2423" s="17"/>
      <c r="DMC2423" s="17"/>
      <c r="DMD2423" s="17"/>
      <c r="DME2423" s="17"/>
      <c r="DMF2423" s="17"/>
      <c r="DMG2423" s="17"/>
      <c r="DMH2423" s="17"/>
      <c r="DMI2423" s="17"/>
      <c r="DMJ2423" s="17"/>
      <c r="DMK2423" s="17"/>
      <c r="DML2423" s="17"/>
      <c r="DMM2423" s="17"/>
      <c r="DMN2423" s="17"/>
      <c r="DMO2423" s="17"/>
      <c r="DMP2423" s="17"/>
      <c r="DMQ2423" s="17"/>
    </row>
    <row r="2424" spans="3044:3059">
      <c r="DMB2424" s="17"/>
      <c r="DMC2424" s="17"/>
      <c r="DMD2424" s="17"/>
      <c r="DME2424" s="17"/>
      <c r="DMF2424" s="17"/>
      <c r="DMG2424" s="17"/>
      <c r="DMH2424" s="17"/>
      <c r="DMI2424" s="17"/>
      <c r="DMJ2424" s="17"/>
      <c r="DMK2424" s="17"/>
      <c r="DML2424" s="17"/>
      <c r="DMM2424" s="17"/>
      <c r="DMN2424" s="17"/>
      <c r="DMO2424" s="17"/>
      <c r="DMP2424" s="17"/>
      <c r="DMQ2424" s="17"/>
    </row>
    <row r="2425" spans="3044:3059">
      <c r="DMB2425" s="17"/>
      <c r="DMC2425" s="17"/>
      <c r="DMD2425" s="17"/>
      <c r="DME2425" s="17"/>
      <c r="DMF2425" s="17"/>
      <c r="DMG2425" s="17"/>
      <c r="DMH2425" s="17"/>
      <c r="DMI2425" s="17"/>
      <c r="DMJ2425" s="17"/>
      <c r="DMK2425" s="17"/>
      <c r="DML2425" s="17"/>
      <c r="DMM2425" s="17"/>
      <c r="DMN2425" s="17"/>
      <c r="DMO2425" s="17"/>
      <c r="DMP2425" s="17"/>
      <c r="DMQ2425" s="17"/>
    </row>
    <row r="2426" spans="3044:3059">
      <c r="DMB2426" s="17"/>
      <c r="DMC2426" s="17"/>
      <c r="DMD2426" s="17"/>
      <c r="DME2426" s="17"/>
      <c r="DMF2426" s="17"/>
      <c r="DMG2426" s="17"/>
      <c r="DMH2426" s="17"/>
      <c r="DMI2426" s="17"/>
      <c r="DMJ2426" s="17"/>
      <c r="DMK2426" s="17"/>
      <c r="DML2426" s="17"/>
      <c r="DMM2426" s="17"/>
      <c r="DMN2426" s="17"/>
      <c r="DMO2426" s="17"/>
      <c r="DMP2426" s="17"/>
      <c r="DMQ2426" s="17"/>
    </row>
    <row r="2427" spans="3044:3059">
      <c r="DMB2427" s="17"/>
      <c r="DMC2427" s="17"/>
      <c r="DMD2427" s="17"/>
      <c r="DME2427" s="17"/>
      <c r="DMF2427" s="17"/>
      <c r="DMG2427" s="17"/>
      <c r="DMH2427" s="17"/>
      <c r="DMI2427" s="17"/>
      <c r="DMJ2427" s="17"/>
      <c r="DMK2427" s="17"/>
      <c r="DML2427" s="17"/>
      <c r="DMM2427" s="17"/>
      <c r="DMN2427" s="17"/>
      <c r="DMO2427" s="17"/>
      <c r="DMP2427" s="17"/>
      <c r="DMQ2427" s="17"/>
    </row>
    <row r="2428" spans="3044:3059">
      <c r="DMB2428" s="17"/>
      <c r="DMC2428" s="17"/>
      <c r="DMD2428" s="17"/>
      <c r="DME2428" s="17"/>
      <c r="DMF2428" s="17"/>
      <c r="DMG2428" s="17"/>
      <c r="DMH2428" s="17"/>
      <c r="DMI2428" s="17"/>
      <c r="DMJ2428" s="17"/>
      <c r="DMK2428" s="17"/>
      <c r="DML2428" s="17"/>
      <c r="DMM2428" s="17"/>
      <c r="DMN2428" s="17"/>
      <c r="DMO2428" s="17"/>
      <c r="DMP2428" s="17"/>
      <c r="DMQ2428" s="17"/>
    </row>
    <row r="2429" spans="3044:3059">
      <c r="DMB2429" s="17"/>
      <c r="DMC2429" s="17"/>
      <c r="DMD2429" s="17"/>
      <c r="DME2429" s="17"/>
      <c r="DMF2429" s="17"/>
      <c r="DMG2429" s="17"/>
      <c r="DMH2429" s="17"/>
      <c r="DMI2429" s="17"/>
      <c r="DMJ2429" s="17"/>
      <c r="DMK2429" s="17"/>
      <c r="DML2429" s="17"/>
      <c r="DMM2429" s="17"/>
      <c r="DMN2429" s="17"/>
      <c r="DMO2429" s="17"/>
      <c r="DMP2429" s="17"/>
      <c r="DMQ2429" s="17"/>
    </row>
    <row r="2430" spans="3044:3059">
      <c r="DMB2430" s="17"/>
      <c r="DMC2430" s="17"/>
      <c r="DMD2430" s="17"/>
      <c r="DME2430" s="17"/>
      <c r="DMF2430" s="17"/>
      <c r="DMG2430" s="17"/>
      <c r="DMH2430" s="17"/>
      <c r="DMI2430" s="17"/>
      <c r="DMJ2430" s="17"/>
      <c r="DMK2430" s="17"/>
      <c r="DML2430" s="17"/>
      <c r="DMM2430" s="17"/>
      <c r="DMN2430" s="17"/>
      <c r="DMO2430" s="17"/>
      <c r="DMP2430" s="17"/>
      <c r="DMQ2430" s="17"/>
    </row>
    <row r="2431" spans="3044:3059">
      <c r="DMB2431" s="17"/>
      <c r="DMC2431" s="17"/>
      <c r="DMD2431" s="17"/>
      <c r="DME2431" s="17"/>
      <c r="DMF2431" s="17"/>
      <c r="DMG2431" s="17"/>
      <c r="DMH2431" s="17"/>
      <c r="DMI2431" s="17"/>
      <c r="DMJ2431" s="17"/>
      <c r="DMK2431" s="17"/>
      <c r="DML2431" s="17"/>
      <c r="DMM2431" s="17"/>
      <c r="DMN2431" s="17"/>
      <c r="DMO2431" s="17"/>
      <c r="DMP2431" s="17"/>
      <c r="DMQ2431" s="17"/>
    </row>
    <row r="2432" spans="3044:3059">
      <c r="DMB2432" s="17"/>
      <c r="DMC2432" s="17"/>
      <c r="DMD2432" s="17"/>
      <c r="DME2432" s="17"/>
      <c r="DMF2432" s="17"/>
      <c r="DMG2432" s="17"/>
      <c r="DMH2432" s="17"/>
      <c r="DMI2432" s="17"/>
      <c r="DMJ2432" s="17"/>
      <c r="DMK2432" s="17"/>
      <c r="DML2432" s="17"/>
      <c r="DMM2432" s="17"/>
      <c r="DMN2432" s="17"/>
      <c r="DMO2432" s="17"/>
      <c r="DMP2432" s="17"/>
      <c r="DMQ2432" s="17"/>
    </row>
    <row r="2433" spans="3044:3059">
      <c r="DMB2433" s="17"/>
      <c r="DMC2433" s="17"/>
      <c r="DMD2433" s="17"/>
      <c r="DME2433" s="17"/>
      <c r="DMF2433" s="17"/>
      <c r="DMG2433" s="17"/>
      <c r="DMH2433" s="17"/>
      <c r="DMI2433" s="17"/>
      <c r="DMJ2433" s="17"/>
      <c r="DMK2433" s="17"/>
      <c r="DML2433" s="17"/>
      <c r="DMM2433" s="17"/>
      <c r="DMN2433" s="17"/>
      <c r="DMO2433" s="17"/>
      <c r="DMP2433" s="17"/>
      <c r="DMQ2433" s="17"/>
    </row>
    <row r="2434" spans="3044:3059">
      <c r="DMB2434" s="17"/>
      <c r="DMC2434" s="17"/>
      <c r="DMD2434" s="17"/>
      <c r="DME2434" s="17"/>
      <c r="DMF2434" s="17"/>
      <c r="DMG2434" s="17"/>
      <c r="DMH2434" s="17"/>
      <c r="DMI2434" s="17"/>
      <c r="DMJ2434" s="17"/>
      <c r="DMK2434" s="17"/>
      <c r="DML2434" s="17"/>
      <c r="DMM2434" s="17"/>
      <c r="DMN2434" s="17"/>
      <c r="DMO2434" s="17"/>
      <c r="DMP2434" s="17"/>
      <c r="DMQ2434" s="17"/>
    </row>
    <row r="2435" spans="3044:3059">
      <c r="DMB2435" s="17"/>
      <c r="DMC2435" s="17"/>
      <c r="DMD2435" s="17"/>
      <c r="DME2435" s="17"/>
      <c r="DMF2435" s="17"/>
      <c r="DMG2435" s="17"/>
      <c r="DMH2435" s="17"/>
      <c r="DMI2435" s="17"/>
      <c r="DMJ2435" s="17"/>
      <c r="DMK2435" s="17"/>
      <c r="DML2435" s="17"/>
      <c r="DMM2435" s="17"/>
      <c r="DMN2435" s="17"/>
      <c r="DMO2435" s="17"/>
      <c r="DMP2435" s="17"/>
      <c r="DMQ2435" s="17"/>
    </row>
    <row r="2436" spans="3044:3059">
      <c r="DMB2436" s="17"/>
      <c r="DMC2436" s="17"/>
      <c r="DMD2436" s="17"/>
      <c r="DME2436" s="17"/>
      <c r="DMF2436" s="17"/>
      <c r="DMG2436" s="17"/>
      <c r="DMH2436" s="17"/>
      <c r="DMI2436" s="17"/>
      <c r="DMJ2436" s="17"/>
      <c r="DMK2436" s="17"/>
      <c r="DML2436" s="17"/>
      <c r="DMM2436" s="17"/>
      <c r="DMN2436" s="17"/>
      <c r="DMO2436" s="17"/>
      <c r="DMP2436" s="17"/>
      <c r="DMQ2436" s="17"/>
    </row>
    <row r="2437" spans="3044:3059">
      <c r="DMB2437" s="17"/>
      <c r="DMC2437" s="17"/>
      <c r="DMD2437" s="17"/>
      <c r="DME2437" s="17"/>
      <c r="DMF2437" s="17"/>
      <c r="DMG2437" s="17"/>
      <c r="DMH2437" s="17"/>
      <c r="DMI2437" s="17"/>
      <c r="DMJ2437" s="17"/>
      <c r="DMK2437" s="17"/>
      <c r="DML2437" s="17"/>
      <c r="DMM2437" s="17"/>
      <c r="DMN2437" s="17"/>
      <c r="DMO2437" s="17"/>
      <c r="DMP2437" s="17"/>
      <c r="DMQ2437" s="17"/>
    </row>
    <row r="2438" spans="3044:3059">
      <c r="DMB2438" s="17"/>
      <c r="DMC2438" s="17"/>
      <c r="DMD2438" s="17"/>
      <c r="DME2438" s="17"/>
      <c r="DMF2438" s="17"/>
      <c r="DMG2438" s="17"/>
      <c r="DMH2438" s="17"/>
      <c r="DMI2438" s="17"/>
      <c r="DMJ2438" s="17"/>
      <c r="DMK2438" s="17"/>
      <c r="DML2438" s="17"/>
      <c r="DMM2438" s="17"/>
      <c r="DMN2438" s="17"/>
      <c r="DMO2438" s="17"/>
      <c r="DMP2438" s="17"/>
      <c r="DMQ2438" s="17"/>
    </row>
    <row r="2439" spans="3044:3059">
      <c r="DMB2439" s="17"/>
      <c r="DMC2439" s="17"/>
      <c r="DMD2439" s="17"/>
      <c r="DME2439" s="17"/>
      <c r="DMF2439" s="17"/>
      <c r="DMG2439" s="17"/>
      <c r="DMH2439" s="17"/>
      <c r="DMI2439" s="17"/>
      <c r="DMJ2439" s="17"/>
      <c r="DMK2439" s="17"/>
      <c r="DML2439" s="17"/>
      <c r="DMM2439" s="17"/>
      <c r="DMN2439" s="17"/>
      <c r="DMO2439" s="17"/>
      <c r="DMP2439" s="17"/>
      <c r="DMQ2439" s="17"/>
    </row>
    <row r="2440" spans="3044:3059">
      <c r="DMB2440" s="17"/>
      <c r="DMC2440" s="17"/>
      <c r="DMD2440" s="17"/>
      <c r="DME2440" s="17"/>
      <c r="DMF2440" s="17"/>
      <c r="DMG2440" s="17"/>
      <c r="DMH2440" s="17"/>
      <c r="DMI2440" s="17"/>
      <c r="DMJ2440" s="17"/>
      <c r="DMK2440" s="17"/>
      <c r="DML2440" s="17"/>
      <c r="DMM2440" s="17"/>
      <c r="DMN2440" s="17"/>
      <c r="DMO2440" s="17"/>
      <c r="DMP2440" s="17"/>
      <c r="DMQ2440" s="17"/>
    </row>
    <row r="2441" spans="3044:3059">
      <c r="DMB2441" s="17"/>
      <c r="DMC2441" s="17"/>
      <c r="DMD2441" s="17"/>
      <c r="DME2441" s="17"/>
      <c r="DMF2441" s="17"/>
      <c r="DMG2441" s="17"/>
      <c r="DMH2441" s="17"/>
      <c r="DMI2441" s="17"/>
      <c r="DMJ2441" s="17"/>
      <c r="DMK2441" s="17"/>
      <c r="DML2441" s="17"/>
      <c r="DMM2441" s="17"/>
      <c r="DMN2441" s="17"/>
      <c r="DMO2441" s="17"/>
      <c r="DMP2441" s="17"/>
      <c r="DMQ2441" s="17"/>
    </row>
    <row r="2442" spans="3044:3059">
      <c r="DMB2442" s="17"/>
      <c r="DMC2442" s="17"/>
      <c r="DMD2442" s="17"/>
      <c r="DME2442" s="17"/>
      <c r="DMF2442" s="17"/>
      <c r="DMG2442" s="17"/>
      <c r="DMH2442" s="17"/>
      <c r="DMI2442" s="17"/>
      <c r="DMJ2442" s="17"/>
      <c r="DMK2442" s="17"/>
      <c r="DML2442" s="17"/>
      <c r="DMM2442" s="17"/>
      <c r="DMN2442" s="17"/>
      <c r="DMO2442" s="17"/>
      <c r="DMP2442" s="17"/>
      <c r="DMQ2442" s="17"/>
    </row>
    <row r="2443" spans="3044:3059">
      <c r="DMB2443" s="17"/>
      <c r="DMC2443" s="17"/>
      <c r="DMD2443" s="17"/>
      <c r="DME2443" s="17"/>
      <c r="DMF2443" s="17"/>
      <c r="DMG2443" s="17"/>
      <c r="DMH2443" s="17"/>
      <c r="DMI2443" s="17"/>
      <c r="DMJ2443" s="17"/>
      <c r="DMK2443" s="17"/>
      <c r="DML2443" s="17"/>
      <c r="DMM2443" s="17"/>
      <c r="DMN2443" s="17"/>
      <c r="DMO2443" s="17"/>
      <c r="DMP2443" s="17"/>
      <c r="DMQ2443" s="17"/>
    </row>
    <row r="2444" spans="3044:3059">
      <c r="DMB2444" s="17"/>
      <c r="DMC2444" s="17"/>
      <c r="DMD2444" s="17"/>
      <c r="DME2444" s="17"/>
      <c r="DMF2444" s="17"/>
      <c r="DMG2444" s="17"/>
      <c r="DMH2444" s="17"/>
      <c r="DMI2444" s="17"/>
      <c r="DMJ2444" s="17"/>
      <c r="DMK2444" s="17"/>
      <c r="DML2444" s="17"/>
      <c r="DMM2444" s="17"/>
      <c r="DMN2444" s="17"/>
      <c r="DMO2444" s="17"/>
      <c r="DMP2444" s="17"/>
      <c r="DMQ2444" s="17"/>
    </row>
    <row r="2445" spans="3044:3059">
      <c r="DMB2445" s="17"/>
      <c r="DMC2445" s="17"/>
      <c r="DMD2445" s="17"/>
      <c r="DME2445" s="17"/>
      <c r="DMF2445" s="17"/>
      <c r="DMG2445" s="17"/>
      <c r="DMH2445" s="17"/>
      <c r="DMI2445" s="17"/>
      <c r="DMJ2445" s="17"/>
      <c r="DMK2445" s="17"/>
      <c r="DML2445" s="17"/>
      <c r="DMM2445" s="17"/>
      <c r="DMN2445" s="17"/>
      <c r="DMO2445" s="17"/>
      <c r="DMP2445" s="17"/>
      <c r="DMQ2445" s="17"/>
    </row>
    <row r="2446" spans="3044:3059">
      <c r="DMB2446" s="17"/>
      <c r="DMC2446" s="17"/>
      <c r="DMD2446" s="17"/>
      <c r="DME2446" s="17"/>
      <c r="DMF2446" s="17"/>
      <c r="DMG2446" s="17"/>
      <c r="DMH2446" s="17"/>
      <c r="DMI2446" s="17"/>
      <c r="DMJ2446" s="17"/>
      <c r="DMK2446" s="17"/>
      <c r="DML2446" s="17"/>
      <c r="DMM2446" s="17"/>
      <c r="DMN2446" s="17"/>
      <c r="DMO2446" s="17"/>
      <c r="DMP2446" s="17"/>
      <c r="DMQ2446" s="17"/>
    </row>
    <row r="2447" spans="3044:3059">
      <c r="DMB2447" s="17"/>
      <c r="DMC2447" s="17"/>
      <c r="DMD2447" s="17"/>
      <c r="DME2447" s="17"/>
      <c r="DMF2447" s="17"/>
      <c r="DMG2447" s="17"/>
      <c r="DMH2447" s="17"/>
      <c r="DMI2447" s="17"/>
      <c r="DMJ2447" s="17"/>
      <c r="DMK2447" s="17"/>
      <c r="DML2447" s="17"/>
      <c r="DMM2447" s="17"/>
      <c r="DMN2447" s="17"/>
      <c r="DMO2447" s="17"/>
      <c r="DMP2447" s="17"/>
      <c r="DMQ2447" s="17"/>
    </row>
    <row r="2448" spans="3044:3059">
      <c r="DMB2448" s="17"/>
      <c r="DMC2448" s="17"/>
      <c r="DMD2448" s="17"/>
      <c r="DME2448" s="17"/>
      <c r="DMF2448" s="17"/>
      <c r="DMG2448" s="17"/>
      <c r="DMH2448" s="17"/>
      <c r="DMI2448" s="17"/>
      <c r="DMJ2448" s="17"/>
      <c r="DMK2448" s="17"/>
      <c r="DML2448" s="17"/>
      <c r="DMM2448" s="17"/>
      <c r="DMN2448" s="17"/>
      <c r="DMO2448" s="17"/>
      <c r="DMP2448" s="17"/>
      <c r="DMQ2448" s="17"/>
    </row>
    <row r="2449" spans="3044:3059">
      <c r="DMB2449" s="17"/>
      <c r="DMC2449" s="17"/>
      <c r="DMD2449" s="17"/>
      <c r="DME2449" s="17"/>
      <c r="DMF2449" s="17"/>
      <c r="DMG2449" s="17"/>
      <c r="DMH2449" s="17"/>
      <c r="DMI2449" s="17"/>
      <c r="DMJ2449" s="17"/>
      <c r="DMK2449" s="17"/>
      <c r="DML2449" s="17"/>
      <c r="DMM2449" s="17"/>
      <c r="DMN2449" s="17"/>
      <c r="DMO2449" s="17"/>
      <c r="DMP2449" s="17"/>
      <c r="DMQ2449" s="17"/>
    </row>
    <row r="2450" spans="3044:3059">
      <c r="DMB2450" s="17"/>
      <c r="DMC2450" s="17"/>
      <c r="DMD2450" s="17"/>
      <c r="DME2450" s="17"/>
      <c r="DMF2450" s="17"/>
      <c r="DMG2450" s="17"/>
      <c r="DMH2450" s="17"/>
      <c r="DMI2450" s="17"/>
      <c r="DMJ2450" s="17"/>
      <c r="DMK2450" s="17"/>
      <c r="DML2450" s="17"/>
      <c r="DMM2450" s="17"/>
      <c r="DMN2450" s="17"/>
      <c r="DMO2450" s="17"/>
      <c r="DMP2450" s="17"/>
      <c r="DMQ2450" s="17"/>
    </row>
    <row r="2451" spans="3044:3059">
      <c r="DMB2451" s="17"/>
      <c r="DMC2451" s="17"/>
      <c r="DMD2451" s="17"/>
      <c r="DME2451" s="17"/>
      <c r="DMF2451" s="17"/>
      <c r="DMG2451" s="17"/>
      <c r="DMH2451" s="17"/>
      <c r="DMI2451" s="17"/>
      <c r="DMJ2451" s="17"/>
      <c r="DMK2451" s="17"/>
      <c r="DML2451" s="17"/>
      <c r="DMM2451" s="17"/>
      <c r="DMN2451" s="17"/>
      <c r="DMO2451" s="17"/>
      <c r="DMP2451" s="17"/>
      <c r="DMQ2451" s="17"/>
    </row>
    <row r="2452" spans="3044:3059">
      <c r="DMB2452" s="17"/>
      <c r="DMC2452" s="17"/>
      <c r="DMD2452" s="17"/>
      <c r="DME2452" s="17"/>
      <c r="DMF2452" s="17"/>
      <c r="DMG2452" s="17"/>
      <c r="DMH2452" s="17"/>
      <c r="DMI2452" s="17"/>
      <c r="DMJ2452" s="17"/>
      <c r="DMK2452" s="17"/>
      <c r="DML2452" s="17"/>
      <c r="DMM2452" s="17"/>
      <c r="DMN2452" s="17"/>
      <c r="DMO2452" s="17"/>
      <c r="DMP2452" s="17"/>
      <c r="DMQ2452" s="17"/>
    </row>
    <row r="2453" spans="3044:3059">
      <c r="DMB2453" s="17"/>
      <c r="DMC2453" s="17"/>
      <c r="DMD2453" s="17"/>
      <c r="DME2453" s="17"/>
      <c r="DMF2453" s="17"/>
      <c r="DMG2453" s="17"/>
      <c r="DMH2453" s="17"/>
      <c r="DMI2453" s="17"/>
      <c r="DMJ2453" s="17"/>
      <c r="DMK2453" s="17"/>
      <c r="DML2453" s="17"/>
      <c r="DMM2453" s="17"/>
      <c r="DMN2453" s="17"/>
      <c r="DMO2453" s="17"/>
      <c r="DMP2453" s="17"/>
      <c r="DMQ2453" s="17"/>
    </row>
    <row r="2454" spans="3044:3059">
      <c r="DMB2454" s="17"/>
      <c r="DMC2454" s="17"/>
      <c r="DMD2454" s="17"/>
      <c r="DME2454" s="17"/>
      <c r="DMF2454" s="17"/>
      <c r="DMG2454" s="17"/>
      <c r="DMH2454" s="17"/>
      <c r="DMI2454" s="17"/>
      <c r="DMJ2454" s="17"/>
      <c r="DMK2454" s="17"/>
      <c r="DML2454" s="17"/>
      <c r="DMM2454" s="17"/>
      <c r="DMN2454" s="17"/>
      <c r="DMO2454" s="17"/>
      <c r="DMP2454" s="17"/>
      <c r="DMQ2454" s="17"/>
    </row>
    <row r="2455" spans="3044:3059">
      <c r="DMB2455" s="17"/>
      <c r="DMC2455" s="17"/>
      <c r="DMD2455" s="17"/>
      <c r="DME2455" s="17"/>
      <c r="DMF2455" s="17"/>
      <c r="DMG2455" s="17"/>
      <c r="DMH2455" s="17"/>
      <c r="DMI2455" s="17"/>
      <c r="DMJ2455" s="17"/>
      <c r="DMK2455" s="17"/>
      <c r="DML2455" s="17"/>
      <c r="DMM2455" s="17"/>
      <c r="DMN2455" s="17"/>
      <c r="DMO2455" s="17"/>
      <c r="DMP2455" s="17"/>
      <c r="DMQ2455" s="17"/>
    </row>
    <row r="2456" spans="3044:3059">
      <c r="DMB2456" s="17"/>
      <c r="DMC2456" s="17"/>
      <c r="DMD2456" s="17"/>
      <c r="DME2456" s="17"/>
      <c r="DMF2456" s="17"/>
      <c r="DMG2456" s="17"/>
      <c r="DMH2456" s="17"/>
      <c r="DMI2456" s="17"/>
      <c r="DMJ2456" s="17"/>
      <c r="DMK2456" s="17"/>
      <c r="DML2456" s="17"/>
      <c r="DMM2456" s="17"/>
      <c r="DMN2456" s="17"/>
      <c r="DMO2456" s="17"/>
      <c r="DMP2456" s="17"/>
      <c r="DMQ2456" s="17"/>
    </row>
    <row r="2457" spans="3044:3059">
      <c r="DMB2457" s="17"/>
      <c r="DMC2457" s="17"/>
      <c r="DMD2457" s="17"/>
      <c r="DME2457" s="17"/>
      <c r="DMF2457" s="17"/>
      <c r="DMG2457" s="17"/>
      <c r="DMH2457" s="17"/>
      <c r="DMI2457" s="17"/>
      <c r="DMJ2457" s="17"/>
      <c r="DMK2457" s="17"/>
      <c r="DML2457" s="17"/>
      <c r="DMM2457" s="17"/>
      <c r="DMN2457" s="17"/>
      <c r="DMO2457" s="17"/>
      <c r="DMP2457" s="17"/>
      <c r="DMQ2457" s="17"/>
    </row>
    <row r="2458" spans="3044:3059">
      <c r="DMB2458" s="17"/>
      <c r="DMC2458" s="17"/>
      <c r="DMD2458" s="17"/>
      <c r="DME2458" s="17"/>
      <c r="DMF2458" s="17"/>
      <c r="DMG2458" s="17"/>
      <c r="DMH2458" s="17"/>
      <c r="DMI2458" s="17"/>
      <c r="DMJ2458" s="17"/>
      <c r="DMK2458" s="17"/>
      <c r="DML2458" s="17"/>
      <c r="DMM2458" s="17"/>
      <c r="DMN2458" s="17"/>
      <c r="DMO2458" s="17"/>
      <c r="DMP2458" s="17"/>
      <c r="DMQ2458" s="17"/>
    </row>
    <row r="2459" spans="3044:3059">
      <c r="DMB2459" s="17"/>
      <c r="DMC2459" s="17"/>
      <c r="DMD2459" s="17"/>
      <c r="DME2459" s="17"/>
      <c r="DMF2459" s="17"/>
      <c r="DMG2459" s="17"/>
      <c r="DMH2459" s="17"/>
      <c r="DMI2459" s="17"/>
      <c r="DMJ2459" s="17"/>
      <c r="DMK2459" s="17"/>
      <c r="DML2459" s="17"/>
      <c r="DMM2459" s="17"/>
      <c r="DMN2459" s="17"/>
      <c r="DMO2459" s="17"/>
      <c r="DMP2459" s="17"/>
      <c r="DMQ2459" s="17"/>
    </row>
    <row r="2460" spans="3044:3059">
      <c r="DMB2460" s="17"/>
      <c r="DMC2460" s="17"/>
      <c r="DMD2460" s="17"/>
      <c r="DME2460" s="17"/>
      <c r="DMF2460" s="17"/>
      <c r="DMG2460" s="17"/>
      <c r="DMH2460" s="17"/>
      <c r="DMI2460" s="17"/>
      <c r="DMJ2460" s="17"/>
      <c r="DMK2460" s="17"/>
      <c r="DML2460" s="17"/>
      <c r="DMM2460" s="17"/>
      <c r="DMN2460" s="17"/>
      <c r="DMO2460" s="17"/>
      <c r="DMP2460" s="17"/>
      <c r="DMQ2460" s="17"/>
    </row>
    <row r="2461" spans="3044:3059">
      <c r="DMB2461" s="17"/>
      <c r="DMC2461" s="17"/>
      <c r="DMD2461" s="17"/>
      <c r="DME2461" s="17"/>
      <c r="DMF2461" s="17"/>
      <c r="DMG2461" s="17"/>
      <c r="DMH2461" s="17"/>
      <c r="DMI2461" s="17"/>
      <c r="DMJ2461" s="17"/>
      <c r="DMK2461" s="17"/>
      <c r="DML2461" s="17"/>
      <c r="DMM2461" s="17"/>
      <c r="DMN2461" s="17"/>
      <c r="DMO2461" s="17"/>
      <c r="DMP2461" s="17"/>
      <c r="DMQ2461" s="17"/>
    </row>
    <row r="2462" spans="3044:3059">
      <c r="DMB2462" s="17"/>
      <c r="DMC2462" s="17"/>
      <c r="DMD2462" s="17"/>
      <c r="DME2462" s="17"/>
      <c r="DMF2462" s="17"/>
      <c r="DMG2462" s="17"/>
      <c r="DMH2462" s="17"/>
      <c r="DMI2462" s="17"/>
      <c r="DMJ2462" s="17"/>
      <c r="DMK2462" s="17"/>
      <c r="DML2462" s="17"/>
      <c r="DMM2462" s="17"/>
      <c r="DMN2462" s="17"/>
      <c r="DMO2462" s="17"/>
      <c r="DMP2462" s="17"/>
      <c r="DMQ2462" s="17"/>
    </row>
    <row r="2463" spans="3044:3059">
      <c r="DMB2463" s="17"/>
      <c r="DMC2463" s="17"/>
      <c r="DMD2463" s="17"/>
      <c r="DME2463" s="17"/>
      <c r="DMF2463" s="17"/>
      <c r="DMG2463" s="17"/>
      <c r="DMH2463" s="17"/>
      <c r="DMI2463" s="17"/>
      <c r="DMJ2463" s="17"/>
      <c r="DMK2463" s="17"/>
      <c r="DML2463" s="17"/>
      <c r="DMM2463" s="17"/>
      <c r="DMN2463" s="17"/>
      <c r="DMO2463" s="17"/>
      <c r="DMP2463" s="17"/>
      <c r="DMQ2463" s="17"/>
    </row>
    <row r="2464" spans="3044:3059">
      <c r="DMB2464" s="17"/>
      <c r="DMC2464" s="17"/>
      <c r="DMD2464" s="17"/>
      <c r="DME2464" s="17"/>
      <c r="DMF2464" s="17"/>
      <c r="DMG2464" s="17"/>
      <c r="DMH2464" s="17"/>
      <c r="DMI2464" s="17"/>
      <c r="DMJ2464" s="17"/>
      <c r="DMK2464" s="17"/>
      <c r="DML2464" s="17"/>
      <c r="DMM2464" s="17"/>
      <c r="DMN2464" s="17"/>
      <c r="DMO2464" s="17"/>
      <c r="DMP2464" s="17"/>
      <c r="DMQ2464" s="17"/>
    </row>
    <row r="2465" spans="3044:3059">
      <c r="DMB2465" s="17"/>
      <c r="DMC2465" s="17"/>
      <c r="DMD2465" s="17"/>
      <c r="DME2465" s="17"/>
      <c r="DMF2465" s="17"/>
      <c r="DMG2465" s="17"/>
      <c r="DMH2465" s="17"/>
      <c r="DMI2465" s="17"/>
      <c r="DMJ2465" s="17"/>
      <c r="DMK2465" s="17"/>
      <c r="DML2465" s="17"/>
      <c r="DMM2465" s="17"/>
      <c r="DMN2465" s="17"/>
      <c r="DMO2465" s="17"/>
      <c r="DMP2465" s="17"/>
      <c r="DMQ2465" s="17"/>
    </row>
    <row r="2466" spans="3044:3059">
      <c r="DMB2466" s="17"/>
      <c r="DMC2466" s="17"/>
      <c r="DMD2466" s="17"/>
      <c r="DME2466" s="17"/>
      <c r="DMF2466" s="17"/>
      <c r="DMG2466" s="17"/>
      <c r="DMH2466" s="17"/>
      <c r="DMI2466" s="17"/>
      <c r="DMJ2466" s="17"/>
      <c r="DMK2466" s="17"/>
      <c r="DML2466" s="17"/>
      <c r="DMM2466" s="17"/>
      <c r="DMN2466" s="17"/>
      <c r="DMO2466" s="17"/>
      <c r="DMP2466" s="17"/>
      <c r="DMQ2466" s="17"/>
    </row>
    <row r="2467" spans="3044:3059">
      <c r="DMB2467" s="17"/>
      <c r="DMC2467" s="17"/>
      <c r="DMD2467" s="17"/>
      <c r="DME2467" s="17"/>
      <c r="DMF2467" s="17"/>
      <c r="DMG2467" s="17"/>
      <c r="DMH2467" s="17"/>
      <c r="DMI2467" s="17"/>
      <c r="DMJ2467" s="17"/>
      <c r="DMK2467" s="17"/>
      <c r="DML2467" s="17"/>
      <c r="DMM2467" s="17"/>
      <c r="DMN2467" s="17"/>
      <c r="DMO2467" s="17"/>
      <c r="DMP2467" s="17"/>
      <c r="DMQ2467" s="17"/>
    </row>
    <row r="2468" spans="3044:3059">
      <c r="DMB2468" s="17"/>
      <c r="DMC2468" s="17"/>
      <c r="DMD2468" s="17"/>
      <c r="DME2468" s="17"/>
      <c r="DMF2468" s="17"/>
      <c r="DMG2468" s="17"/>
      <c r="DMH2468" s="17"/>
      <c r="DMI2468" s="17"/>
      <c r="DMJ2468" s="17"/>
      <c r="DMK2468" s="17"/>
      <c r="DML2468" s="17"/>
      <c r="DMM2468" s="17"/>
      <c r="DMN2468" s="17"/>
      <c r="DMO2468" s="17"/>
      <c r="DMP2468" s="17"/>
      <c r="DMQ2468" s="17"/>
    </row>
    <row r="2469" spans="3044:3059">
      <c r="DMB2469" s="17"/>
      <c r="DMC2469" s="17"/>
      <c r="DMD2469" s="17"/>
      <c r="DME2469" s="17"/>
      <c r="DMF2469" s="17"/>
      <c r="DMG2469" s="17"/>
      <c r="DMH2469" s="17"/>
      <c r="DMI2469" s="17"/>
      <c r="DMJ2469" s="17"/>
      <c r="DMK2469" s="17"/>
      <c r="DML2469" s="17"/>
      <c r="DMM2469" s="17"/>
      <c r="DMN2469" s="17"/>
      <c r="DMO2469" s="17"/>
      <c r="DMP2469" s="17"/>
      <c r="DMQ2469" s="17"/>
    </row>
    <row r="2470" spans="3044:3059">
      <c r="DMB2470" s="17"/>
      <c r="DMC2470" s="17"/>
      <c r="DMD2470" s="17"/>
      <c r="DME2470" s="17"/>
      <c r="DMF2470" s="17"/>
      <c r="DMG2470" s="17"/>
      <c r="DMH2470" s="17"/>
      <c r="DMI2470" s="17"/>
      <c r="DMJ2470" s="17"/>
      <c r="DMK2470" s="17"/>
      <c r="DML2470" s="17"/>
      <c r="DMM2470" s="17"/>
      <c r="DMN2470" s="17"/>
      <c r="DMO2470" s="17"/>
      <c r="DMP2470" s="17"/>
      <c r="DMQ2470" s="17"/>
    </row>
    <row r="2471" spans="3044:3059">
      <c r="DMB2471" s="17"/>
      <c r="DMC2471" s="17"/>
      <c r="DMD2471" s="17"/>
      <c r="DME2471" s="17"/>
      <c r="DMF2471" s="17"/>
      <c r="DMG2471" s="17"/>
      <c r="DMH2471" s="17"/>
      <c r="DMI2471" s="17"/>
      <c r="DMJ2471" s="17"/>
      <c r="DMK2471" s="17"/>
      <c r="DML2471" s="17"/>
      <c r="DMM2471" s="17"/>
      <c r="DMN2471" s="17"/>
      <c r="DMO2471" s="17"/>
      <c r="DMP2471" s="17"/>
      <c r="DMQ2471" s="17"/>
    </row>
    <row r="2472" spans="3044:3059">
      <c r="DMB2472" s="17"/>
      <c r="DMC2472" s="17"/>
      <c r="DMD2472" s="17"/>
      <c r="DME2472" s="17"/>
      <c r="DMF2472" s="17"/>
      <c r="DMG2472" s="17"/>
      <c r="DMH2472" s="17"/>
      <c r="DMI2472" s="17"/>
      <c r="DMJ2472" s="17"/>
      <c r="DMK2472" s="17"/>
      <c r="DML2472" s="17"/>
      <c r="DMM2472" s="17"/>
      <c r="DMN2472" s="17"/>
      <c r="DMO2472" s="17"/>
      <c r="DMP2472" s="17"/>
      <c r="DMQ2472" s="17"/>
    </row>
    <row r="2473" spans="3044:3059">
      <c r="DMB2473" s="17"/>
      <c r="DMC2473" s="17"/>
      <c r="DMD2473" s="17"/>
      <c r="DME2473" s="17"/>
      <c r="DMF2473" s="17"/>
      <c r="DMG2473" s="17"/>
      <c r="DMH2473" s="17"/>
      <c r="DMI2473" s="17"/>
      <c r="DMJ2473" s="17"/>
      <c r="DMK2473" s="17"/>
      <c r="DML2473" s="17"/>
      <c r="DMM2473" s="17"/>
      <c r="DMN2473" s="17"/>
      <c r="DMO2473" s="17"/>
      <c r="DMP2473" s="17"/>
      <c r="DMQ2473" s="17"/>
    </row>
    <row r="2474" spans="3044:3059">
      <c r="DMB2474" s="17"/>
      <c r="DMC2474" s="17"/>
      <c r="DMD2474" s="17"/>
      <c r="DME2474" s="17"/>
      <c r="DMF2474" s="17"/>
      <c r="DMG2474" s="17"/>
      <c r="DMH2474" s="17"/>
      <c r="DMI2474" s="17"/>
      <c r="DMJ2474" s="17"/>
      <c r="DMK2474" s="17"/>
      <c r="DML2474" s="17"/>
      <c r="DMM2474" s="17"/>
      <c r="DMN2474" s="17"/>
      <c r="DMO2474" s="17"/>
      <c r="DMP2474" s="17"/>
      <c r="DMQ2474" s="17"/>
    </row>
    <row r="2475" spans="3044:3059">
      <c r="DMB2475" s="17"/>
      <c r="DMC2475" s="17"/>
      <c r="DMD2475" s="17"/>
      <c r="DME2475" s="17"/>
      <c r="DMF2475" s="17"/>
      <c r="DMG2475" s="17"/>
      <c r="DMH2475" s="17"/>
      <c r="DMI2475" s="17"/>
      <c r="DMJ2475" s="17"/>
      <c r="DMK2475" s="17"/>
      <c r="DML2475" s="17"/>
      <c r="DMM2475" s="17"/>
      <c r="DMN2475" s="17"/>
      <c r="DMO2475" s="17"/>
      <c r="DMP2475" s="17"/>
      <c r="DMQ2475" s="17"/>
    </row>
    <row r="2476" spans="3044:3059">
      <c r="DMB2476" s="17"/>
      <c r="DMC2476" s="17"/>
      <c r="DMD2476" s="17"/>
      <c r="DME2476" s="17"/>
      <c r="DMF2476" s="17"/>
      <c r="DMG2476" s="17"/>
      <c r="DMH2476" s="17"/>
      <c r="DMI2476" s="17"/>
      <c r="DMJ2476" s="17"/>
      <c r="DMK2476" s="17"/>
      <c r="DML2476" s="17"/>
      <c r="DMM2476" s="17"/>
      <c r="DMN2476" s="17"/>
      <c r="DMO2476" s="17"/>
      <c r="DMP2476" s="17"/>
      <c r="DMQ2476" s="17"/>
    </row>
    <row r="2477" spans="3044:3059">
      <c r="DMB2477" s="17"/>
      <c r="DMC2477" s="17"/>
      <c r="DMD2477" s="17"/>
      <c r="DME2477" s="17"/>
      <c r="DMF2477" s="17"/>
      <c r="DMG2477" s="17"/>
      <c r="DMH2477" s="17"/>
      <c r="DMI2477" s="17"/>
      <c r="DMJ2477" s="17"/>
      <c r="DMK2477" s="17"/>
      <c r="DML2477" s="17"/>
      <c r="DMM2477" s="17"/>
      <c r="DMN2477" s="17"/>
      <c r="DMO2477" s="17"/>
      <c r="DMP2477" s="17"/>
      <c r="DMQ2477" s="17"/>
    </row>
    <row r="2478" spans="3044:3059">
      <c r="DMB2478" s="17"/>
      <c r="DMC2478" s="17"/>
      <c r="DMD2478" s="17"/>
      <c r="DME2478" s="17"/>
      <c r="DMF2478" s="17"/>
      <c r="DMG2478" s="17"/>
      <c r="DMH2478" s="17"/>
      <c r="DMI2478" s="17"/>
      <c r="DMJ2478" s="17"/>
      <c r="DMK2478" s="17"/>
      <c r="DML2478" s="17"/>
      <c r="DMM2478" s="17"/>
      <c r="DMN2478" s="17"/>
      <c r="DMO2478" s="17"/>
      <c r="DMP2478" s="17"/>
      <c r="DMQ2478" s="17"/>
    </row>
    <row r="2479" spans="3044:3059">
      <c r="DMB2479" s="17"/>
      <c r="DMC2479" s="17"/>
      <c r="DMD2479" s="17"/>
      <c r="DME2479" s="17"/>
      <c r="DMF2479" s="17"/>
      <c r="DMG2479" s="17"/>
      <c r="DMH2479" s="17"/>
      <c r="DMI2479" s="17"/>
      <c r="DMJ2479" s="17"/>
      <c r="DMK2479" s="17"/>
      <c r="DML2479" s="17"/>
      <c r="DMM2479" s="17"/>
      <c r="DMN2479" s="17"/>
      <c r="DMO2479" s="17"/>
      <c r="DMP2479" s="17"/>
      <c r="DMQ2479" s="17"/>
    </row>
    <row r="2480" spans="3044:3059">
      <c r="DMB2480" s="17"/>
      <c r="DMC2480" s="17"/>
      <c r="DMD2480" s="17"/>
      <c r="DME2480" s="17"/>
      <c r="DMF2480" s="17"/>
      <c r="DMG2480" s="17"/>
      <c r="DMH2480" s="17"/>
      <c r="DMI2480" s="17"/>
      <c r="DMJ2480" s="17"/>
      <c r="DMK2480" s="17"/>
      <c r="DML2480" s="17"/>
      <c r="DMM2480" s="17"/>
      <c r="DMN2480" s="17"/>
      <c r="DMO2480" s="17"/>
      <c r="DMP2480" s="17"/>
      <c r="DMQ2480" s="17"/>
    </row>
    <row r="2481" spans="3044:3059">
      <c r="DMB2481" s="17"/>
      <c r="DMC2481" s="17"/>
      <c r="DMD2481" s="17"/>
      <c r="DME2481" s="17"/>
      <c r="DMF2481" s="17"/>
      <c r="DMG2481" s="17"/>
      <c r="DMH2481" s="17"/>
      <c r="DMI2481" s="17"/>
      <c r="DMJ2481" s="17"/>
      <c r="DMK2481" s="17"/>
      <c r="DML2481" s="17"/>
      <c r="DMM2481" s="17"/>
      <c r="DMN2481" s="17"/>
      <c r="DMO2481" s="17"/>
      <c r="DMP2481" s="17"/>
      <c r="DMQ2481" s="17"/>
    </row>
    <row r="2482" spans="3044:3059">
      <c r="DMB2482" s="17"/>
      <c r="DMC2482" s="17"/>
      <c r="DMD2482" s="17"/>
      <c r="DME2482" s="17"/>
      <c r="DMF2482" s="17"/>
      <c r="DMG2482" s="17"/>
      <c r="DMH2482" s="17"/>
      <c r="DMI2482" s="17"/>
      <c r="DMJ2482" s="17"/>
      <c r="DMK2482" s="17"/>
      <c r="DML2482" s="17"/>
      <c r="DMM2482" s="17"/>
      <c r="DMN2482" s="17"/>
      <c r="DMO2482" s="17"/>
      <c r="DMP2482" s="17"/>
      <c r="DMQ2482" s="17"/>
    </row>
    <row r="2483" spans="3044:3059">
      <c r="DMB2483" s="17"/>
      <c r="DMC2483" s="17"/>
      <c r="DMD2483" s="17"/>
      <c r="DME2483" s="17"/>
      <c r="DMF2483" s="17"/>
      <c r="DMG2483" s="17"/>
      <c r="DMH2483" s="17"/>
      <c r="DMI2483" s="17"/>
      <c r="DMJ2483" s="17"/>
      <c r="DMK2483" s="17"/>
      <c r="DML2483" s="17"/>
      <c r="DMM2483" s="17"/>
      <c r="DMN2483" s="17"/>
      <c r="DMO2483" s="17"/>
      <c r="DMP2483" s="17"/>
      <c r="DMQ2483" s="17"/>
    </row>
    <row r="2484" spans="3044:3059">
      <c r="DMB2484" s="17"/>
      <c r="DMC2484" s="17"/>
      <c r="DMD2484" s="17"/>
      <c r="DME2484" s="17"/>
      <c r="DMF2484" s="17"/>
      <c r="DMG2484" s="17"/>
      <c r="DMH2484" s="17"/>
      <c r="DMI2484" s="17"/>
      <c r="DMJ2484" s="17"/>
      <c r="DMK2484" s="17"/>
      <c r="DML2484" s="17"/>
      <c r="DMM2484" s="17"/>
      <c r="DMN2484" s="17"/>
      <c r="DMO2484" s="17"/>
      <c r="DMP2484" s="17"/>
      <c r="DMQ2484" s="17"/>
    </row>
    <row r="2485" spans="3044:3059">
      <c r="DMB2485" s="17"/>
      <c r="DMC2485" s="17"/>
      <c r="DMD2485" s="17"/>
      <c r="DME2485" s="17"/>
      <c r="DMF2485" s="17"/>
      <c r="DMG2485" s="17"/>
      <c r="DMH2485" s="17"/>
      <c r="DMI2485" s="17"/>
      <c r="DMJ2485" s="17"/>
      <c r="DMK2485" s="17"/>
      <c r="DML2485" s="17"/>
      <c r="DMM2485" s="17"/>
      <c r="DMN2485" s="17"/>
      <c r="DMO2485" s="17"/>
      <c r="DMP2485" s="17"/>
      <c r="DMQ2485" s="17"/>
    </row>
    <row r="2486" spans="3044:3059">
      <c r="DMB2486" s="17"/>
      <c r="DMC2486" s="17"/>
      <c r="DMD2486" s="17"/>
      <c r="DME2486" s="17"/>
      <c r="DMF2486" s="17"/>
      <c r="DMG2486" s="17"/>
      <c r="DMH2486" s="17"/>
      <c r="DMI2486" s="17"/>
      <c r="DMJ2486" s="17"/>
      <c r="DMK2486" s="17"/>
      <c r="DML2486" s="17"/>
      <c r="DMM2486" s="17"/>
      <c r="DMN2486" s="17"/>
      <c r="DMO2486" s="17"/>
      <c r="DMP2486" s="17"/>
      <c r="DMQ2486" s="17"/>
    </row>
    <row r="2487" spans="3044:3059">
      <c r="DMB2487" s="17"/>
      <c r="DMC2487" s="17"/>
      <c r="DMD2487" s="17"/>
      <c r="DME2487" s="17"/>
      <c r="DMF2487" s="17"/>
      <c r="DMG2487" s="17"/>
      <c r="DMH2487" s="17"/>
      <c r="DMI2487" s="17"/>
      <c r="DMJ2487" s="17"/>
      <c r="DMK2487" s="17"/>
      <c r="DML2487" s="17"/>
      <c r="DMM2487" s="17"/>
      <c r="DMN2487" s="17"/>
      <c r="DMO2487" s="17"/>
      <c r="DMP2487" s="17"/>
      <c r="DMQ2487" s="17"/>
    </row>
    <row r="2488" spans="3044:3059">
      <c r="DMB2488" s="17"/>
      <c r="DMC2488" s="17"/>
      <c r="DMD2488" s="17"/>
      <c r="DME2488" s="17"/>
      <c r="DMF2488" s="17"/>
      <c r="DMG2488" s="17"/>
      <c r="DMH2488" s="17"/>
      <c r="DMI2488" s="17"/>
      <c r="DMJ2488" s="17"/>
      <c r="DMK2488" s="17"/>
      <c r="DML2488" s="17"/>
      <c r="DMM2488" s="17"/>
      <c r="DMN2488" s="17"/>
      <c r="DMO2488" s="17"/>
      <c r="DMP2488" s="17"/>
      <c r="DMQ2488" s="17"/>
    </row>
    <row r="2489" spans="3044:3059">
      <c r="DMB2489" s="17"/>
      <c r="DMC2489" s="17"/>
      <c r="DMD2489" s="17"/>
      <c r="DME2489" s="17"/>
      <c r="DMF2489" s="17"/>
      <c r="DMG2489" s="17"/>
      <c r="DMH2489" s="17"/>
      <c r="DMI2489" s="17"/>
      <c r="DMJ2489" s="17"/>
      <c r="DMK2489" s="17"/>
      <c r="DML2489" s="17"/>
      <c r="DMM2489" s="17"/>
      <c r="DMN2489" s="17"/>
      <c r="DMO2489" s="17"/>
      <c r="DMP2489" s="17"/>
      <c r="DMQ2489" s="17"/>
    </row>
    <row r="2490" spans="3044:3059">
      <c r="DMB2490" s="17"/>
      <c r="DMC2490" s="17"/>
      <c r="DMD2490" s="17"/>
      <c r="DME2490" s="17"/>
      <c r="DMF2490" s="17"/>
      <c r="DMG2490" s="17"/>
      <c r="DMH2490" s="17"/>
      <c r="DMI2490" s="17"/>
      <c r="DMJ2490" s="17"/>
      <c r="DMK2490" s="17"/>
      <c r="DML2490" s="17"/>
      <c r="DMM2490" s="17"/>
      <c r="DMN2490" s="17"/>
      <c r="DMO2490" s="17"/>
      <c r="DMP2490" s="17"/>
      <c r="DMQ2490" s="17"/>
    </row>
    <row r="2491" spans="3044:3059">
      <c r="DMB2491" s="17"/>
      <c r="DMC2491" s="17"/>
      <c r="DMD2491" s="17"/>
      <c r="DME2491" s="17"/>
      <c r="DMF2491" s="17"/>
      <c r="DMG2491" s="17"/>
      <c r="DMH2491" s="17"/>
      <c r="DMI2491" s="17"/>
      <c r="DMJ2491" s="17"/>
      <c r="DMK2491" s="17"/>
      <c r="DML2491" s="17"/>
      <c r="DMM2491" s="17"/>
      <c r="DMN2491" s="17"/>
      <c r="DMO2491" s="17"/>
      <c r="DMP2491" s="17"/>
      <c r="DMQ2491" s="17"/>
    </row>
    <row r="2492" spans="3044:3059">
      <c r="DMB2492" s="17"/>
      <c r="DMC2492" s="17"/>
      <c r="DMD2492" s="17"/>
      <c r="DME2492" s="17"/>
      <c r="DMF2492" s="17"/>
      <c r="DMG2492" s="17"/>
      <c r="DMH2492" s="17"/>
      <c r="DMI2492" s="17"/>
      <c r="DMJ2492" s="17"/>
      <c r="DMK2492" s="17"/>
      <c r="DML2492" s="17"/>
      <c r="DMM2492" s="17"/>
      <c r="DMN2492" s="17"/>
      <c r="DMO2492" s="17"/>
      <c r="DMP2492" s="17"/>
      <c r="DMQ2492" s="17"/>
    </row>
    <row r="2493" spans="3044:3059">
      <c r="DMB2493" s="17"/>
      <c r="DMC2493" s="17"/>
      <c r="DMD2493" s="17"/>
      <c r="DME2493" s="17"/>
      <c r="DMF2493" s="17"/>
      <c r="DMG2493" s="17"/>
      <c r="DMH2493" s="17"/>
      <c r="DMI2493" s="17"/>
      <c r="DMJ2493" s="17"/>
      <c r="DMK2493" s="17"/>
      <c r="DML2493" s="17"/>
      <c r="DMM2493" s="17"/>
      <c r="DMN2493" s="17"/>
      <c r="DMO2493" s="17"/>
      <c r="DMP2493" s="17"/>
      <c r="DMQ2493" s="17"/>
    </row>
    <row r="2494" spans="3044:3059">
      <c r="DMB2494" s="17"/>
      <c r="DMC2494" s="17"/>
      <c r="DMD2494" s="17"/>
      <c r="DME2494" s="17"/>
      <c r="DMF2494" s="17"/>
      <c r="DMG2494" s="17"/>
      <c r="DMH2494" s="17"/>
      <c r="DMI2494" s="17"/>
      <c r="DMJ2494" s="17"/>
      <c r="DMK2494" s="17"/>
      <c r="DML2494" s="17"/>
      <c r="DMM2494" s="17"/>
      <c r="DMN2494" s="17"/>
      <c r="DMO2494" s="17"/>
      <c r="DMP2494" s="17"/>
      <c r="DMQ2494" s="17"/>
    </row>
    <row r="2495" spans="3044:3059">
      <c r="DMB2495" s="17"/>
      <c r="DMC2495" s="17"/>
      <c r="DMD2495" s="17"/>
      <c r="DME2495" s="17"/>
      <c r="DMF2495" s="17"/>
      <c r="DMG2495" s="17"/>
      <c r="DMH2495" s="17"/>
      <c r="DMI2495" s="17"/>
      <c r="DMJ2495" s="17"/>
      <c r="DMK2495" s="17"/>
      <c r="DML2495" s="17"/>
      <c r="DMM2495" s="17"/>
      <c r="DMN2495" s="17"/>
      <c r="DMO2495" s="17"/>
      <c r="DMP2495" s="17"/>
      <c r="DMQ2495" s="17"/>
    </row>
    <row r="2496" spans="3044:3059">
      <c r="DMB2496" s="17"/>
      <c r="DMC2496" s="17"/>
      <c r="DMD2496" s="17"/>
      <c r="DME2496" s="17"/>
      <c r="DMF2496" s="17"/>
      <c r="DMG2496" s="17"/>
      <c r="DMH2496" s="17"/>
      <c r="DMI2496" s="17"/>
      <c r="DMJ2496" s="17"/>
      <c r="DMK2496" s="17"/>
      <c r="DML2496" s="17"/>
      <c r="DMM2496" s="17"/>
      <c r="DMN2496" s="17"/>
      <c r="DMO2496" s="17"/>
      <c r="DMP2496" s="17"/>
      <c r="DMQ2496" s="17"/>
    </row>
    <row r="2497" spans="3044:3059">
      <c r="DMB2497" s="17"/>
      <c r="DMC2497" s="17"/>
      <c r="DMD2497" s="17"/>
      <c r="DME2497" s="17"/>
      <c r="DMF2497" s="17"/>
      <c r="DMG2497" s="17"/>
      <c r="DMH2497" s="17"/>
      <c r="DMI2497" s="17"/>
      <c r="DMJ2497" s="17"/>
      <c r="DMK2497" s="17"/>
      <c r="DML2497" s="17"/>
      <c r="DMM2497" s="17"/>
      <c r="DMN2497" s="17"/>
      <c r="DMO2497" s="17"/>
      <c r="DMP2497" s="17"/>
      <c r="DMQ2497" s="17"/>
    </row>
    <row r="2498" spans="3044:3059">
      <c r="DMB2498" s="17"/>
      <c r="DMC2498" s="17"/>
      <c r="DMD2498" s="17"/>
      <c r="DME2498" s="17"/>
      <c r="DMF2498" s="17"/>
      <c r="DMG2498" s="17"/>
      <c r="DMH2498" s="17"/>
      <c r="DMI2498" s="17"/>
      <c r="DMJ2498" s="17"/>
      <c r="DMK2498" s="17"/>
      <c r="DML2498" s="17"/>
      <c r="DMM2498" s="17"/>
      <c r="DMN2498" s="17"/>
      <c r="DMO2498" s="17"/>
      <c r="DMP2498" s="17"/>
      <c r="DMQ2498" s="17"/>
    </row>
    <row r="2499" spans="3044:3059">
      <c r="DMB2499" s="17"/>
      <c r="DMC2499" s="17"/>
      <c r="DMD2499" s="17"/>
      <c r="DME2499" s="17"/>
      <c r="DMF2499" s="17"/>
      <c r="DMG2499" s="17"/>
      <c r="DMH2499" s="17"/>
      <c r="DMI2499" s="17"/>
      <c r="DMJ2499" s="17"/>
      <c r="DMK2499" s="17"/>
      <c r="DML2499" s="17"/>
      <c r="DMM2499" s="17"/>
      <c r="DMN2499" s="17"/>
      <c r="DMO2499" s="17"/>
      <c r="DMP2499" s="17"/>
      <c r="DMQ2499" s="17"/>
    </row>
    <row r="2500" spans="3044:3059">
      <c r="DMB2500" s="17"/>
      <c r="DMC2500" s="17"/>
      <c r="DMD2500" s="17"/>
      <c r="DME2500" s="17"/>
      <c r="DMF2500" s="17"/>
      <c r="DMG2500" s="17"/>
      <c r="DMH2500" s="17"/>
      <c r="DMI2500" s="17"/>
      <c r="DMJ2500" s="17"/>
      <c r="DMK2500" s="17"/>
      <c r="DML2500" s="17"/>
      <c r="DMM2500" s="17"/>
      <c r="DMN2500" s="17"/>
      <c r="DMO2500" s="17"/>
      <c r="DMP2500" s="17"/>
      <c r="DMQ2500" s="17"/>
    </row>
    <row r="2501" spans="3044:3059">
      <c r="DMB2501" s="17"/>
      <c r="DMC2501" s="17"/>
      <c r="DMD2501" s="17"/>
      <c r="DME2501" s="17"/>
      <c r="DMF2501" s="17"/>
      <c r="DMG2501" s="17"/>
      <c r="DMH2501" s="17"/>
      <c r="DMI2501" s="17"/>
      <c r="DMJ2501" s="17"/>
      <c r="DMK2501" s="17"/>
      <c r="DML2501" s="17"/>
      <c r="DMM2501" s="17"/>
      <c r="DMN2501" s="17"/>
      <c r="DMO2501" s="17"/>
      <c r="DMP2501" s="17"/>
      <c r="DMQ2501" s="17"/>
    </row>
    <row r="2502" spans="3044:3059">
      <c r="DMB2502" s="17"/>
      <c r="DMC2502" s="17"/>
      <c r="DMD2502" s="17"/>
      <c r="DME2502" s="17"/>
      <c r="DMF2502" s="17"/>
      <c r="DMG2502" s="17"/>
      <c r="DMH2502" s="17"/>
      <c r="DMI2502" s="17"/>
      <c r="DMJ2502" s="17"/>
      <c r="DMK2502" s="17"/>
      <c r="DML2502" s="17"/>
      <c r="DMM2502" s="17"/>
      <c r="DMN2502" s="17"/>
      <c r="DMO2502" s="17"/>
      <c r="DMP2502" s="17"/>
      <c r="DMQ2502" s="17"/>
    </row>
    <row r="2503" spans="3044:3059">
      <c r="DMB2503" s="17"/>
      <c r="DMC2503" s="17"/>
      <c r="DMD2503" s="17"/>
      <c r="DME2503" s="17"/>
      <c r="DMF2503" s="17"/>
      <c r="DMG2503" s="17"/>
      <c r="DMH2503" s="17"/>
      <c r="DMI2503" s="17"/>
      <c r="DMJ2503" s="17"/>
      <c r="DMK2503" s="17"/>
      <c r="DML2503" s="17"/>
      <c r="DMM2503" s="17"/>
      <c r="DMN2503" s="17"/>
      <c r="DMO2503" s="17"/>
      <c r="DMP2503" s="17"/>
      <c r="DMQ2503" s="17"/>
    </row>
    <row r="2504" spans="3044:3059">
      <c r="DMB2504" s="17"/>
      <c r="DMC2504" s="17"/>
      <c r="DMD2504" s="17"/>
      <c r="DME2504" s="17"/>
      <c r="DMF2504" s="17"/>
      <c r="DMG2504" s="17"/>
      <c r="DMH2504" s="17"/>
      <c r="DMI2504" s="17"/>
      <c r="DMJ2504" s="17"/>
      <c r="DMK2504" s="17"/>
      <c r="DML2504" s="17"/>
      <c r="DMM2504" s="17"/>
      <c r="DMN2504" s="17"/>
      <c r="DMO2504" s="17"/>
      <c r="DMP2504" s="17"/>
      <c r="DMQ2504" s="17"/>
    </row>
    <row r="2505" spans="3044:3059">
      <c r="DMB2505" s="17"/>
      <c r="DMC2505" s="17"/>
      <c r="DMD2505" s="17"/>
      <c r="DME2505" s="17"/>
      <c r="DMF2505" s="17"/>
      <c r="DMG2505" s="17"/>
      <c r="DMH2505" s="17"/>
      <c r="DMI2505" s="17"/>
      <c r="DMJ2505" s="17"/>
      <c r="DMK2505" s="17"/>
      <c r="DML2505" s="17"/>
      <c r="DMM2505" s="17"/>
      <c r="DMN2505" s="17"/>
      <c r="DMO2505" s="17"/>
      <c r="DMP2505" s="17"/>
      <c r="DMQ2505" s="17"/>
    </row>
    <row r="2506" spans="3044:3059">
      <c r="DMB2506" s="17"/>
      <c r="DMC2506" s="17"/>
      <c r="DMD2506" s="17"/>
      <c r="DME2506" s="17"/>
      <c r="DMF2506" s="17"/>
      <c r="DMG2506" s="17"/>
      <c r="DMH2506" s="17"/>
      <c r="DMI2506" s="17"/>
      <c r="DMJ2506" s="17"/>
      <c r="DMK2506" s="17"/>
      <c r="DML2506" s="17"/>
      <c r="DMM2506" s="17"/>
      <c r="DMN2506" s="17"/>
      <c r="DMO2506" s="17"/>
      <c r="DMP2506" s="17"/>
      <c r="DMQ2506" s="17"/>
    </row>
    <row r="2507" spans="3044:3059">
      <c r="DMB2507" s="17"/>
      <c r="DMC2507" s="17"/>
      <c r="DMD2507" s="17"/>
      <c r="DME2507" s="17"/>
      <c r="DMF2507" s="17"/>
      <c r="DMG2507" s="17"/>
      <c r="DMH2507" s="17"/>
      <c r="DMI2507" s="17"/>
      <c r="DMJ2507" s="17"/>
      <c r="DMK2507" s="17"/>
      <c r="DML2507" s="17"/>
      <c r="DMM2507" s="17"/>
      <c r="DMN2507" s="17"/>
      <c r="DMO2507" s="17"/>
      <c r="DMP2507" s="17"/>
      <c r="DMQ2507" s="17"/>
    </row>
    <row r="2508" spans="3044:3059">
      <c r="DMB2508" s="17"/>
      <c r="DMC2508" s="17"/>
      <c r="DMD2508" s="17"/>
      <c r="DME2508" s="17"/>
      <c r="DMF2508" s="17"/>
      <c r="DMG2508" s="17"/>
      <c r="DMH2508" s="17"/>
      <c r="DMI2508" s="17"/>
      <c r="DMJ2508" s="17"/>
      <c r="DMK2508" s="17"/>
      <c r="DML2508" s="17"/>
      <c r="DMM2508" s="17"/>
      <c r="DMN2508" s="17"/>
      <c r="DMO2508" s="17"/>
      <c r="DMP2508" s="17"/>
      <c r="DMQ2508" s="17"/>
    </row>
    <row r="2509" spans="3044:3059">
      <c r="DMB2509" s="17"/>
      <c r="DMC2509" s="17"/>
      <c r="DMD2509" s="17"/>
      <c r="DME2509" s="17"/>
      <c r="DMF2509" s="17"/>
      <c r="DMG2509" s="17"/>
      <c r="DMH2509" s="17"/>
      <c r="DMI2509" s="17"/>
      <c r="DMJ2509" s="17"/>
      <c r="DMK2509" s="17"/>
      <c r="DML2509" s="17"/>
      <c r="DMM2509" s="17"/>
      <c r="DMN2509" s="17"/>
      <c r="DMO2509" s="17"/>
      <c r="DMP2509" s="17"/>
      <c r="DMQ2509" s="17"/>
    </row>
    <row r="2510" spans="3044:3059">
      <c r="DMB2510" s="17"/>
      <c r="DMC2510" s="17"/>
      <c r="DMD2510" s="17"/>
      <c r="DME2510" s="17"/>
      <c r="DMF2510" s="17"/>
      <c r="DMG2510" s="17"/>
      <c r="DMH2510" s="17"/>
      <c r="DMI2510" s="17"/>
      <c r="DMJ2510" s="17"/>
      <c r="DMK2510" s="17"/>
      <c r="DML2510" s="17"/>
      <c r="DMM2510" s="17"/>
      <c r="DMN2510" s="17"/>
      <c r="DMO2510" s="17"/>
      <c r="DMP2510" s="17"/>
      <c r="DMQ2510" s="17"/>
    </row>
    <row r="2511" spans="3044:3059">
      <c r="DMB2511" s="17"/>
      <c r="DMC2511" s="17"/>
      <c r="DMD2511" s="17"/>
      <c r="DME2511" s="17"/>
      <c r="DMF2511" s="17"/>
      <c r="DMG2511" s="17"/>
      <c r="DMH2511" s="17"/>
      <c r="DMI2511" s="17"/>
      <c r="DMJ2511" s="17"/>
      <c r="DMK2511" s="17"/>
      <c r="DML2511" s="17"/>
      <c r="DMM2511" s="17"/>
      <c r="DMN2511" s="17"/>
      <c r="DMO2511" s="17"/>
      <c r="DMP2511" s="17"/>
      <c r="DMQ2511" s="17"/>
    </row>
    <row r="2512" spans="3044:3059">
      <c r="DMB2512" s="17"/>
      <c r="DMC2512" s="17"/>
      <c r="DMD2512" s="17"/>
      <c r="DME2512" s="17"/>
      <c r="DMF2512" s="17"/>
      <c r="DMG2512" s="17"/>
      <c r="DMH2512" s="17"/>
      <c r="DMI2512" s="17"/>
      <c r="DMJ2512" s="17"/>
      <c r="DMK2512" s="17"/>
      <c r="DML2512" s="17"/>
      <c r="DMM2512" s="17"/>
      <c r="DMN2512" s="17"/>
      <c r="DMO2512" s="17"/>
      <c r="DMP2512" s="17"/>
      <c r="DMQ2512" s="17"/>
    </row>
    <row r="2513" spans="3044:3059">
      <c r="DMB2513" s="17"/>
      <c r="DMC2513" s="17"/>
      <c r="DMD2513" s="17"/>
      <c r="DME2513" s="17"/>
      <c r="DMF2513" s="17"/>
      <c r="DMG2513" s="17"/>
      <c r="DMH2513" s="17"/>
      <c r="DMI2513" s="17"/>
      <c r="DMJ2513" s="17"/>
      <c r="DMK2513" s="17"/>
      <c r="DML2513" s="17"/>
      <c r="DMM2513" s="17"/>
      <c r="DMN2513" s="17"/>
      <c r="DMO2513" s="17"/>
      <c r="DMP2513" s="17"/>
      <c r="DMQ2513" s="17"/>
    </row>
    <row r="2514" spans="3044:3059">
      <c r="DMB2514" s="17"/>
      <c r="DMC2514" s="17"/>
      <c r="DMD2514" s="17"/>
      <c r="DME2514" s="17"/>
      <c r="DMF2514" s="17"/>
      <c r="DMG2514" s="17"/>
      <c r="DMH2514" s="17"/>
      <c r="DMI2514" s="17"/>
      <c r="DMJ2514" s="17"/>
      <c r="DMK2514" s="17"/>
      <c r="DML2514" s="17"/>
      <c r="DMM2514" s="17"/>
      <c r="DMN2514" s="17"/>
      <c r="DMO2514" s="17"/>
      <c r="DMP2514" s="17"/>
      <c r="DMQ2514" s="17"/>
    </row>
    <row r="2515" spans="3044:3059">
      <c r="DMB2515" s="17"/>
      <c r="DMC2515" s="17"/>
      <c r="DMD2515" s="17"/>
      <c r="DME2515" s="17"/>
      <c r="DMF2515" s="17"/>
      <c r="DMG2515" s="17"/>
      <c r="DMH2515" s="17"/>
      <c r="DMI2515" s="17"/>
      <c r="DMJ2515" s="17"/>
      <c r="DMK2515" s="17"/>
      <c r="DML2515" s="17"/>
      <c r="DMM2515" s="17"/>
      <c r="DMN2515" s="17"/>
      <c r="DMO2515" s="17"/>
      <c r="DMP2515" s="17"/>
      <c r="DMQ2515" s="17"/>
    </row>
    <row r="2516" spans="3044:3059">
      <c r="DMB2516" s="17"/>
      <c r="DMC2516" s="17"/>
      <c r="DMD2516" s="17"/>
      <c r="DME2516" s="17"/>
      <c r="DMF2516" s="17"/>
      <c r="DMG2516" s="17"/>
      <c r="DMH2516" s="17"/>
      <c r="DMI2516" s="17"/>
      <c r="DMJ2516" s="17"/>
      <c r="DMK2516" s="17"/>
      <c r="DML2516" s="17"/>
      <c r="DMM2516" s="17"/>
      <c r="DMN2516" s="17"/>
      <c r="DMO2516" s="17"/>
      <c r="DMP2516" s="17"/>
      <c r="DMQ2516" s="17"/>
    </row>
    <row r="2517" spans="3044:3059">
      <c r="DMB2517" s="17"/>
      <c r="DMC2517" s="17"/>
      <c r="DMD2517" s="17"/>
      <c r="DME2517" s="17"/>
      <c r="DMF2517" s="17"/>
      <c r="DMG2517" s="17"/>
      <c r="DMH2517" s="17"/>
      <c r="DMI2517" s="17"/>
      <c r="DMJ2517" s="17"/>
      <c r="DMK2517" s="17"/>
      <c r="DML2517" s="17"/>
      <c r="DMM2517" s="17"/>
      <c r="DMN2517" s="17"/>
      <c r="DMO2517" s="17"/>
      <c r="DMP2517" s="17"/>
      <c r="DMQ2517" s="17"/>
    </row>
    <row r="2518" spans="3044:3059">
      <c r="DMB2518" s="17"/>
      <c r="DMC2518" s="17"/>
      <c r="DMD2518" s="17"/>
      <c r="DME2518" s="17"/>
      <c r="DMF2518" s="17"/>
      <c r="DMG2518" s="17"/>
      <c r="DMH2518" s="17"/>
      <c r="DMI2518" s="17"/>
      <c r="DMJ2518" s="17"/>
      <c r="DMK2518" s="17"/>
      <c r="DML2518" s="17"/>
      <c r="DMM2518" s="17"/>
      <c r="DMN2518" s="17"/>
      <c r="DMO2518" s="17"/>
      <c r="DMP2518" s="17"/>
      <c r="DMQ2518" s="17"/>
    </row>
    <row r="2519" spans="3044:3059">
      <c r="DMB2519" s="17"/>
      <c r="DMC2519" s="17"/>
      <c r="DMD2519" s="17"/>
      <c r="DME2519" s="17"/>
      <c r="DMF2519" s="17"/>
      <c r="DMG2519" s="17"/>
      <c r="DMH2519" s="17"/>
      <c r="DMI2519" s="17"/>
      <c r="DMJ2519" s="17"/>
      <c r="DMK2519" s="17"/>
      <c r="DML2519" s="17"/>
      <c r="DMM2519" s="17"/>
      <c r="DMN2519" s="17"/>
      <c r="DMO2519" s="17"/>
      <c r="DMP2519" s="17"/>
      <c r="DMQ2519" s="17"/>
    </row>
    <row r="2520" spans="3044:3059">
      <c r="DMB2520" s="17"/>
      <c r="DMC2520" s="17"/>
      <c r="DMD2520" s="17"/>
      <c r="DME2520" s="17"/>
      <c r="DMF2520" s="17"/>
      <c r="DMG2520" s="17"/>
      <c r="DMH2520" s="17"/>
      <c r="DMI2520" s="17"/>
      <c r="DMJ2520" s="17"/>
      <c r="DMK2520" s="17"/>
      <c r="DML2520" s="17"/>
      <c r="DMM2520" s="17"/>
      <c r="DMN2520" s="17"/>
      <c r="DMO2520" s="17"/>
      <c r="DMP2520" s="17"/>
      <c r="DMQ2520" s="17"/>
    </row>
    <row r="2521" spans="3044:3059">
      <c r="DMB2521" s="17"/>
      <c r="DMC2521" s="17"/>
      <c r="DMD2521" s="17"/>
      <c r="DME2521" s="17"/>
      <c r="DMF2521" s="17"/>
      <c r="DMG2521" s="17"/>
      <c r="DMH2521" s="17"/>
      <c r="DMI2521" s="17"/>
      <c r="DMJ2521" s="17"/>
      <c r="DMK2521" s="17"/>
      <c r="DML2521" s="17"/>
      <c r="DMM2521" s="17"/>
      <c r="DMN2521" s="17"/>
      <c r="DMO2521" s="17"/>
      <c r="DMP2521" s="17"/>
      <c r="DMQ2521" s="17"/>
    </row>
    <row r="2522" spans="3044:3059">
      <c r="DMB2522" s="17"/>
      <c r="DMC2522" s="17"/>
      <c r="DMD2522" s="17"/>
      <c r="DME2522" s="17"/>
      <c r="DMF2522" s="17"/>
      <c r="DMG2522" s="17"/>
      <c r="DMH2522" s="17"/>
      <c r="DMI2522" s="17"/>
      <c r="DMJ2522" s="17"/>
      <c r="DMK2522" s="17"/>
      <c r="DML2522" s="17"/>
      <c r="DMM2522" s="17"/>
      <c r="DMN2522" s="17"/>
      <c r="DMO2522" s="17"/>
      <c r="DMP2522" s="17"/>
      <c r="DMQ2522" s="17"/>
    </row>
    <row r="2523" spans="3044:3059">
      <c r="DMB2523" s="17"/>
      <c r="DMC2523" s="17"/>
      <c r="DMD2523" s="17"/>
      <c r="DME2523" s="17"/>
      <c r="DMF2523" s="17"/>
      <c r="DMG2523" s="17"/>
      <c r="DMH2523" s="17"/>
      <c r="DMI2523" s="17"/>
      <c r="DMJ2523" s="17"/>
      <c r="DMK2523" s="17"/>
      <c r="DML2523" s="17"/>
      <c r="DMM2523" s="17"/>
      <c r="DMN2523" s="17"/>
      <c r="DMO2523" s="17"/>
      <c r="DMP2523" s="17"/>
      <c r="DMQ2523" s="17"/>
    </row>
    <row r="2524" spans="3044:3059">
      <c r="DMB2524" s="17"/>
      <c r="DMC2524" s="17"/>
      <c r="DMD2524" s="17"/>
      <c r="DME2524" s="17"/>
      <c r="DMF2524" s="17"/>
      <c r="DMG2524" s="17"/>
      <c r="DMH2524" s="17"/>
      <c r="DMI2524" s="17"/>
      <c r="DMJ2524" s="17"/>
      <c r="DMK2524" s="17"/>
      <c r="DML2524" s="17"/>
      <c r="DMM2524" s="17"/>
      <c r="DMN2524" s="17"/>
      <c r="DMO2524" s="17"/>
      <c r="DMP2524" s="17"/>
      <c r="DMQ2524" s="17"/>
    </row>
    <row r="2525" spans="3044:3059">
      <c r="DMB2525" s="17"/>
      <c r="DMC2525" s="17"/>
      <c r="DMD2525" s="17"/>
      <c r="DME2525" s="17"/>
      <c r="DMF2525" s="17"/>
      <c r="DMG2525" s="17"/>
      <c r="DMH2525" s="17"/>
      <c r="DMI2525" s="17"/>
      <c r="DMJ2525" s="17"/>
      <c r="DMK2525" s="17"/>
      <c r="DML2525" s="17"/>
      <c r="DMM2525" s="17"/>
      <c r="DMN2525" s="17"/>
      <c r="DMO2525" s="17"/>
      <c r="DMP2525" s="17"/>
      <c r="DMQ2525" s="17"/>
    </row>
    <row r="2526" spans="3044:3059">
      <c r="DMB2526" s="17"/>
      <c r="DMC2526" s="17"/>
      <c r="DMD2526" s="17"/>
      <c r="DME2526" s="17"/>
      <c r="DMF2526" s="17"/>
      <c r="DMG2526" s="17"/>
      <c r="DMH2526" s="17"/>
      <c r="DMI2526" s="17"/>
      <c r="DMJ2526" s="17"/>
      <c r="DMK2526" s="17"/>
      <c r="DML2526" s="17"/>
      <c r="DMM2526" s="17"/>
      <c r="DMN2526" s="17"/>
      <c r="DMO2526" s="17"/>
      <c r="DMP2526" s="17"/>
      <c r="DMQ2526" s="17"/>
    </row>
    <row r="2527" spans="3044:3059">
      <c r="DMB2527" s="17"/>
      <c r="DMC2527" s="17"/>
      <c r="DMD2527" s="17"/>
      <c r="DME2527" s="17"/>
      <c r="DMF2527" s="17"/>
      <c r="DMG2527" s="17"/>
      <c r="DMH2527" s="17"/>
      <c r="DMI2527" s="17"/>
      <c r="DMJ2527" s="17"/>
      <c r="DMK2527" s="17"/>
      <c r="DML2527" s="17"/>
      <c r="DMM2527" s="17"/>
      <c r="DMN2527" s="17"/>
      <c r="DMO2527" s="17"/>
      <c r="DMP2527" s="17"/>
      <c r="DMQ2527" s="17"/>
    </row>
    <row r="2528" spans="3044:3059">
      <c r="DMB2528" s="17"/>
      <c r="DMC2528" s="17"/>
      <c r="DMD2528" s="17"/>
      <c r="DME2528" s="17"/>
      <c r="DMF2528" s="17"/>
      <c r="DMG2528" s="17"/>
      <c r="DMH2528" s="17"/>
      <c r="DMI2528" s="17"/>
      <c r="DMJ2528" s="17"/>
      <c r="DMK2528" s="17"/>
      <c r="DML2528" s="17"/>
      <c r="DMM2528" s="17"/>
      <c r="DMN2528" s="17"/>
      <c r="DMO2528" s="17"/>
      <c r="DMP2528" s="17"/>
      <c r="DMQ2528" s="17"/>
    </row>
    <row r="2529" spans="3044:3059">
      <c r="DMB2529" s="17"/>
      <c r="DMC2529" s="17"/>
      <c r="DMD2529" s="17"/>
      <c r="DME2529" s="17"/>
      <c r="DMF2529" s="17"/>
      <c r="DMG2529" s="17"/>
      <c r="DMH2529" s="17"/>
      <c r="DMI2529" s="17"/>
      <c r="DMJ2529" s="17"/>
      <c r="DMK2529" s="17"/>
      <c r="DML2529" s="17"/>
      <c r="DMM2529" s="17"/>
      <c r="DMN2529" s="17"/>
      <c r="DMO2529" s="17"/>
      <c r="DMP2529" s="17"/>
      <c r="DMQ2529" s="17"/>
    </row>
    <row r="2530" spans="3044:3059">
      <c r="DMB2530" s="17"/>
      <c r="DMC2530" s="17"/>
      <c r="DMD2530" s="17"/>
      <c r="DME2530" s="17"/>
      <c r="DMF2530" s="17"/>
      <c r="DMG2530" s="17"/>
      <c r="DMH2530" s="17"/>
      <c r="DMI2530" s="17"/>
      <c r="DMJ2530" s="17"/>
      <c r="DMK2530" s="17"/>
      <c r="DML2530" s="17"/>
      <c r="DMM2530" s="17"/>
      <c r="DMN2530" s="17"/>
      <c r="DMO2530" s="17"/>
      <c r="DMP2530" s="17"/>
      <c r="DMQ2530" s="17"/>
    </row>
    <row r="2531" spans="3044:3059">
      <c r="DMB2531" s="17"/>
      <c r="DMC2531" s="17"/>
      <c r="DMD2531" s="17"/>
      <c r="DME2531" s="17"/>
      <c r="DMF2531" s="17"/>
      <c r="DMG2531" s="17"/>
      <c r="DMH2531" s="17"/>
      <c r="DMI2531" s="17"/>
      <c r="DMJ2531" s="17"/>
      <c r="DMK2531" s="17"/>
      <c r="DML2531" s="17"/>
      <c r="DMM2531" s="17"/>
      <c r="DMN2531" s="17"/>
      <c r="DMO2531" s="17"/>
      <c r="DMP2531" s="17"/>
      <c r="DMQ2531" s="17"/>
    </row>
    <row r="2532" spans="3044:3059">
      <c r="DMB2532" s="17"/>
      <c r="DMC2532" s="17"/>
      <c r="DMD2532" s="17"/>
      <c r="DME2532" s="17"/>
      <c r="DMF2532" s="17"/>
      <c r="DMG2532" s="17"/>
      <c r="DMH2532" s="17"/>
      <c r="DMI2532" s="17"/>
      <c r="DMJ2532" s="17"/>
      <c r="DMK2532" s="17"/>
      <c r="DML2532" s="17"/>
      <c r="DMM2532" s="17"/>
      <c r="DMN2532" s="17"/>
      <c r="DMO2532" s="17"/>
      <c r="DMP2532" s="17"/>
      <c r="DMQ2532" s="17"/>
    </row>
    <row r="2533" spans="3044:3059">
      <c r="DMB2533" s="17"/>
      <c r="DMC2533" s="17"/>
      <c r="DMD2533" s="17"/>
      <c r="DME2533" s="17"/>
      <c r="DMF2533" s="17"/>
      <c r="DMG2533" s="17"/>
      <c r="DMH2533" s="17"/>
      <c r="DMI2533" s="17"/>
      <c r="DMJ2533" s="17"/>
      <c r="DMK2533" s="17"/>
      <c r="DML2533" s="17"/>
      <c r="DMM2533" s="17"/>
      <c r="DMN2533" s="17"/>
      <c r="DMO2533" s="17"/>
      <c r="DMP2533" s="17"/>
      <c r="DMQ2533" s="17"/>
    </row>
    <row r="2534" spans="3044:3059">
      <c r="DMB2534" s="17"/>
      <c r="DMC2534" s="17"/>
      <c r="DMD2534" s="17"/>
      <c r="DME2534" s="17"/>
      <c r="DMF2534" s="17"/>
      <c r="DMG2534" s="17"/>
      <c r="DMH2534" s="17"/>
      <c r="DMI2534" s="17"/>
      <c r="DMJ2534" s="17"/>
      <c r="DMK2534" s="17"/>
      <c r="DML2534" s="17"/>
      <c r="DMM2534" s="17"/>
      <c r="DMN2534" s="17"/>
      <c r="DMO2534" s="17"/>
      <c r="DMP2534" s="17"/>
      <c r="DMQ2534" s="17"/>
    </row>
    <row r="2535" spans="3044:3059">
      <c r="DMB2535" s="17"/>
      <c r="DMC2535" s="17"/>
      <c r="DMD2535" s="17"/>
      <c r="DME2535" s="17"/>
      <c r="DMF2535" s="17"/>
      <c r="DMG2535" s="17"/>
      <c r="DMH2535" s="17"/>
      <c r="DMI2535" s="17"/>
      <c r="DMJ2535" s="17"/>
      <c r="DMK2535" s="17"/>
      <c r="DML2535" s="17"/>
      <c r="DMM2535" s="17"/>
      <c r="DMN2535" s="17"/>
      <c r="DMO2535" s="17"/>
      <c r="DMP2535" s="17"/>
      <c r="DMQ2535" s="17"/>
    </row>
    <row r="2536" spans="3044:3059">
      <c r="DMB2536" s="17"/>
      <c r="DMC2536" s="17"/>
      <c r="DMD2536" s="17"/>
      <c r="DME2536" s="17"/>
      <c r="DMF2536" s="17"/>
      <c r="DMG2536" s="17"/>
      <c r="DMH2536" s="17"/>
      <c r="DMI2536" s="17"/>
      <c r="DMJ2536" s="17"/>
      <c r="DMK2536" s="17"/>
      <c r="DML2536" s="17"/>
      <c r="DMM2536" s="17"/>
      <c r="DMN2536" s="17"/>
      <c r="DMO2536" s="17"/>
      <c r="DMP2536" s="17"/>
      <c r="DMQ2536" s="17"/>
    </row>
    <row r="2537" spans="3044:3059">
      <c r="DMB2537" s="17"/>
      <c r="DMC2537" s="17"/>
      <c r="DMD2537" s="17"/>
      <c r="DME2537" s="17"/>
      <c r="DMF2537" s="17"/>
      <c r="DMG2537" s="17"/>
      <c r="DMH2537" s="17"/>
      <c r="DMI2537" s="17"/>
      <c r="DMJ2537" s="17"/>
      <c r="DMK2537" s="17"/>
      <c r="DML2537" s="17"/>
      <c r="DMM2537" s="17"/>
      <c r="DMN2537" s="17"/>
      <c r="DMO2537" s="17"/>
      <c r="DMP2537" s="17"/>
      <c r="DMQ2537" s="17"/>
    </row>
    <row r="2538" spans="3044:3059">
      <c r="DMB2538" s="17"/>
      <c r="DMC2538" s="17"/>
      <c r="DMD2538" s="17"/>
      <c r="DME2538" s="17"/>
      <c r="DMF2538" s="17"/>
      <c r="DMG2538" s="17"/>
      <c r="DMH2538" s="17"/>
      <c r="DMI2538" s="17"/>
      <c r="DMJ2538" s="17"/>
      <c r="DMK2538" s="17"/>
      <c r="DML2538" s="17"/>
      <c r="DMM2538" s="17"/>
      <c r="DMN2538" s="17"/>
      <c r="DMO2538" s="17"/>
      <c r="DMP2538" s="17"/>
      <c r="DMQ2538" s="17"/>
    </row>
    <row r="2539" spans="3044:3059">
      <c r="DMB2539" s="17"/>
      <c r="DMC2539" s="17"/>
      <c r="DMD2539" s="17"/>
      <c r="DME2539" s="17"/>
      <c r="DMF2539" s="17"/>
      <c r="DMG2539" s="17"/>
      <c r="DMH2539" s="17"/>
      <c r="DMI2539" s="17"/>
      <c r="DMJ2539" s="17"/>
      <c r="DMK2539" s="17"/>
      <c r="DML2539" s="17"/>
      <c r="DMM2539" s="17"/>
      <c r="DMN2539" s="17"/>
      <c r="DMO2539" s="17"/>
      <c r="DMP2539" s="17"/>
      <c r="DMQ2539" s="17"/>
    </row>
    <row r="2540" spans="3044:3059">
      <c r="DMB2540" s="17"/>
      <c r="DMC2540" s="17"/>
      <c r="DMD2540" s="17"/>
      <c r="DME2540" s="17"/>
      <c r="DMF2540" s="17"/>
      <c r="DMG2540" s="17"/>
      <c r="DMH2540" s="17"/>
      <c r="DMI2540" s="17"/>
      <c r="DMJ2540" s="17"/>
      <c r="DMK2540" s="17"/>
      <c r="DML2540" s="17"/>
      <c r="DMM2540" s="17"/>
      <c r="DMN2540" s="17"/>
      <c r="DMO2540" s="17"/>
      <c r="DMP2540" s="17"/>
      <c r="DMQ2540" s="17"/>
    </row>
    <row r="2541" spans="3044:3059">
      <c r="DMB2541" s="17"/>
      <c r="DMC2541" s="17"/>
      <c r="DMD2541" s="17"/>
      <c r="DME2541" s="17"/>
      <c r="DMF2541" s="17"/>
      <c r="DMG2541" s="17"/>
      <c r="DMH2541" s="17"/>
      <c r="DMI2541" s="17"/>
      <c r="DMJ2541" s="17"/>
      <c r="DMK2541" s="17"/>
      <c r="DML2541" s="17"/>
      <c r="DMM2541" s="17"/>
      <c r="DMN2541" s="17"/>
      <c r="DMO2541" s="17"/>
      <c r="DMP2541" s="17"/>
      <c r="DMQ2541" s="17"/>
    </row>
    <row r="2542" spans="3044:3059">
      <c r="DMB2542" s="17"/>
      <c r="DMC2542" s="17"/>
      <c r="DMD2542" s="17"/>
      <c r="DME2542" s="17"/>
      <c r="DMF2542" s="17"/>
      <c r="DMG2542" s="17"/>
      <c r="DMH2542" s="17"/>
      <c r="DMI2542" s="17"/>
      <c r="DMJ2542" s="17"/>
      <c r="DMK2542" s="17"/>
      <c r="DML2542" s="17"/>
      <c r="DMM2542" s="17"/>
      <c r="DMN2542" s="17"/>
      <c r="DMO2542" s="17"/>
      <c r="DMP2542" s="17"/>
      <c r="DMQ2542" s="17"/>
    </row>
    <row r="2543" spans="3044:3059">
      <c r="DMB2543" s="17"/>
      <c r="DMC2543" s="17"/>
      <c r="DMD2543" s="17"/>
      <c r="DME2543" s="17"/>
      <c r="DMF2543" s="17"/>
      <c r="DMG2543" s="17"/>
      <c r="DMH2543" s="17"/>
      <c r="DMI2543" s="17"/>
      <c r="DMJ2543" s="17"/>
      <c r="DMK2543" s="17"/>
      <c r="DML2543" s="17"/>
      <c r="DMM2543" s="17"/>
      <c r="DMN2543" s="17"/>
      <c r="DMO2543" s="17"/>
      <c r="DMP2543" s="17"/>
      <c r="DMQ2543" s="17"/>
    </row>
    <row r="2544" spans="3044:3059">
      <c r="DMB2544" s="17"/>
      <c r="DMC2544" s="17"/>
      <c r="DMD2544" s="17"/>
      <c r="DME2544" s="17"/>
      <c r="DMF2544" s="17"/>
      <c r="DMG2544" s="17"/>
      <c r="DMH2544" s="17"/>
      <c r="DMI2544" s="17"/>
      <c r="DMJ2544" s="17"/>
      <c r="DMK2544" s="17"/>
      <c r="DML2544" s="17"/>
      <c r="DMM2544" s="17"/>
      <c r="DMN2544" s="17"/>
      <c r="DMO2544" s="17"/>
      <c r="DMP2544" s="17"/>
      <c r="DMQ2544" s="17"/>
    </row>
    <row r="2545" spans="3044:3059">
      <c r="DMB2545" s="17"/>
      <c r="DMC2545" s="17"/>
      <c r="DMD2545" s="17"/>
      <c r="DME2545" s="17"/>
      <c r="DMF2545" s="17"/>
      <c r="DMG2545" s="17"/>
      <c r="DMH2545" s="17"/>
      <c r="DMI2545" s="17"/>
      <c r="DMJ2545" s="17"/>
      <c r="DMK2545" s="17"/>
      <c r="DML2545" s="17"/>
      <c r="DMM2545" s="17"/>
      <c r="DMN2545" s="17"/>
      <c r="DMO2545" s="17"/>
      <c r="DMP2545" s="17"/>
      <c r="DMQ2545" s="17"/>
    </row>
    <row r="2546" spans="3044:3059">
      <c r="DMB2546" s="17"/>
      <c r="DMC2546" s="17"/>
      <c r="DMD2546" s="17"/>
      <c r="DME2546" s="17"/>
      <c r="DMF2546" s="17"/>
      <c r="DMG2546" s="17"/>
      <c r="DMH2546" s="17"/>
      <c r="DMI2546" s="17"/>
      <c r="DMJ2546" s="17"/>
      <c r="DMK2546" s="17"/>
      <c r="DML2546" s="17"/>
      <c r="DMM2546" s="17"/>
      <c r="DMN2546" s="17"/>
      <c r="DMO2546" s="17"/>
      <c r="DMP2546" s="17"/>
      <c r="DMQ2546" s="17"/>
    </row>
    <row r="2547" spans="3044:3059">
      <c r="DMB2547" s="17"/>
      <c r="DMC2547" s="17"/>
      <c r="DMD2547" s="17"/>
      <c r="DME2547" s="17"/>
      <c r="DMF2547" s="17"/>
      <c r="DMG2547" s="17"/>
      <c r="DMH2547" s="17"/>
      <c r="DMI2547" s="17"/>
      <c r="DMJ2547" s="17"/>
      <c r="DMK2547" s="17"/>
      <c r="DML2547" s="17"/>
      <c r="DMM2547" s="17"/>
      <c r="DMN2547" s="17"/>
      <c r="DMO2547" s="17"/>
      <c r="DMP2547" s="17"/>
      <c r="DMQ2547" s="17"/>
    </row>
    <row r="2548" spans="3044:3059">
      <c r="DMB2548" s="17"/>
      <c r="DMC2548" s="17"/>
      <c r="DMD2548" s="17"/>
      <c r="DME2548" s="17"/>
      <c r="DMF2548" s="17"/>
      <c r="DMG2548" s="17"/>
      <c r="DMH2548" s="17"/>
      <c r="DMI2548" s="17"/>
      <c r="DMJ2548" s="17"/>
      <c r="DMK2548" s="17"/>
      <c r="DML2548" s="17"/>
      <c r="DMM2548" s="17"/>
      <c r="DMN2548" s="17"/>
      <c r="DMO2548" s="17"/>
      <c r="DMP2548" s="17"/>
      <c r="DMQ2548" s="17"/>
    </row>
    <row r="2549" spans="3044:3059">
      <c r="DMB2549" s="17"/>
      <c r="DMC2549" s="17"/>
      <c r="DMD2549" s="17"/>
      <c r="DME2549" s="17"/>
      <c r="DMF2549" s="17"/>
      <c r="DMG2549" s="17"/>
      <c r="DMH2549" s="17"/>
      <c r="DMI2549" s="17"/>
      <c r="DMJ2549" s="17"/>
      <c r="DMK2549" s="17"/>
      <c r="DML2549" s="17"/>
      <c r="DMM2549" s="17"/>
      <c r="DMN2549" s="17"/>
      <c r="DMO2549" s="17"/>
      <c r="DMP2549" s="17"/>
      <c r="DMQ2549" s="17"/>
    </row>
    <row r="2550" spans="3044:3059">
      <c r="DMB2550" s="17"/>
      <c r="DMC2550" s="17"/>
      <c r="DMD2550" s="17"/>
      <c r="DME2550" s="17"/>
      <c r="DMF2550" s="17"/>
      <c r="DMG2550" s="17"/>
      <c r="DMH2550" s="17"/>
      <c r="DMI2550" s="17"/>
      <c r="DMJ2550" s="17"/>
      <c r="DMK2550" s="17"/>
      <c r="DML2550" s="17"/>
      <c r="DMM2550" s="17"/>
      <c r="DMN2550" s="17"/>
      <c r="DMO2550" s="17"/>
      <c r="DMP2550" s="17"/>
      <c r="DMQ2550" s="17"/>
    </row>
    <row r="2551" spans="3044:3059">
      <c r="DMB2551" s="17"/>
      <c r="DMC2551" s="17"/>
      <c r="DMD2551" s="17"/>
      <c r="DME2551" s="17"/>
      <c r="DMF2551" s="17"/>
      <c r="DMG2551" s="17"/>
      <c r="DMH2551" s="17"/>
      <c r="DMI2551" s="17"/>
      <c r="DMJ2551" s="17"/>
      <c r="DMK2551" s="17"/>
      <c r="DML2551" s="17"/>
      <c r="DMM2551" s="17"/>
      <c r="DMN2551" s="17"/>
      <c r="DMO2551" s="17"/>
      <c r="DMP2551" s="17"/>
      <c r="DMQ2551" s="17"/>
    </row>
    <row r="2552" spans="3044:3059">
      <c r="DMB2552" s="17"/>
      <c r="DMC2552" s="17"/>
      <c r="DMD2552" s="17"/>
      <c r="DME2552" s="17"/>
      <c r="DMF2552" s="17"/>
      <c r="DMG2552" s="17"/>
      <c r="DMH2552" s="17"/>
      <c r="DMI2552" s="17"/>
      <c r="DMJ2552" s="17"/>
      <c r="DMK2552" s="17"/>
      <c r="DML2552" s="17"/>
      <c r="DMM2552" s="17"/>
      <c r="DMN2552" s="17"/>
      <c r="DMO2552" s="17"/>
      <c r="DMP2552" s="17"/>
      <c r="DMQ2552" s="17"/>
    </row>
    <row r="2553" spans="3044:3059">
      <c r="DMB2553" s="17"/>
      <c r="DMC2553" s="17"/>
      <c r="DMD2553" s="17"/>
      <c r="DME2553" s="17"/>
      <c r="DMF2553" s="17"/>
      <c r="DMG2553" s="17"/>
      <c r="DMH2553" s="17"/>
      <c r="DMI2553" s="17"/>
      <c r="DMJ2553" s="17"/>
      <c r="DMK2553" s="17"/>
      <c r="DML2553" s="17"/>
      <c r="DMM2553" s="17"/>
      <c r="DMN2553" s="17"/>
      <c r="DMO2553" s="17"/>
      <c r="DMP2553" s="17"/>
      <c r="DMQ2553" s="17"/>
    </row>
    <row r="2554" spans="3044:3059">
      <c r="DMB2554" s="17"/>
      <c r="DMC2554" s="17"/>
      <c r="DMD2554" s="17"/>
      <c r="DME2554" s="17"/>
      <c r="DMF2554" s="17"/>
      <c r="DMG2554" s="17"/>
      <c r="DMH2554" s="17"/>
      <c r="DMI2554" s="17"/>
      <c r="DMJ2554" s="17"/>
      <c r="DMK2554" s="17"/>
      <c r="DML2554" s="17"/>
      <c r="DMM2554" s="17"/>
      <c r="DMN2554" s="17"/>
      <c r="DMO2554" s="17"/>
      <c r="DMP2554" s="17"/>
      <c r="DMQ2554" s="17"/>
    </row>
    <row r="2555" spans="3044:3059">
      <c r="DMB2555" s="17"/>
      <c r="DMC2555" s="17"/>
      <c r="DMD2555" s="17"/>
      <c r="DME2555" s="17"/>
      <c r="DMF2555" s="17"/>
      <c r="DMG2555" s="17"/>
      <c r="DMH2555" s="17"/>
      <c r="DMI2555" s="17"/>
      <c r="DMJ2555" s="17"/>
      <c r="DMK2555" s="17"/>
      <c r="DML2555" s="17"/>
      <c r="DMM2555" s="17"/>
      <c r="DMN2555" s="17"/>
      <c r="DMO2555" s="17"/>
      <c r="DMP2555" s="17"/>
      <c r="DMQ2555" s="17"/>
    </row>
    <row r="2556" spans="3044:3059">
      <c r="DMB2556" s="17"/>
      <c r="DMC2556" s="17"/>
      <c r="DMD2556" s="17"/>
      <c r="DME2556" s="17"/>
      <c r="DMF2556" s="17"/>
      <c r="DMG2556" s="17"/>
      <c r="DMH2556" s="17"/>
      <c r="DMI2556" s="17"/>
      <c r="DMJ2556" s="17"/>
      <c r="DMK2556" s="17"/>
      <c r="DML2556" s="17"/>
      <c r="DMM2556" s="17"/>
      <c r="DMN2556" s="17"/>
      <c r="DMO2556" s="17"/>
      <c r="DMP2556" s="17"/>
      <c r="DMQ2556" s="17"/>
    </row>
    <row r="2557" spans="3044:3059">
      <c r="DMB2557" s="17"/>
      <c r="DMC2557" s="17"/>
      <c r="DMD2557" s="17"/>
      <c r="DME2557" s="17"/>
      <c r="DMF2557" s="17"/>
      <c r="DMG2557" s="17"/>
      <c r="DMH2557" s="17"/>
      <c r="DMI2557" s="17"/>
      <c r="DMJ2557" s="17"/>
      <c r="DMK2557" s="17"/>
      <c r="DML2557" s="17"/>
      <c r="DMM2557" s="17"/>
      <c r="DMN2557" s="17"/>
      <c r="DMO2557" s="17"/>
      <c r="DMP2557" s="17"/>
      <c r="DMQ2557" s="17"/>
    </row>
    <row r="2558" spans="3044:3059">
      <c r="DMB2558" s="17"/>
      <c r="DMC2558" s="17"/>
      <c r="DMD2558" s="17"/>
      <c r="DME2558" s="17"/>
      <c r="DMF2558" s="17"/>
      <c r="DMG2558" s="17"/>
      <c r="DMH2558" s="17"/>
      <c r="DMI2558" s="17"/>
      <c r="DMJ2558" s="17"/>
      <c r="DMK2558" s="17"/>
      <c r="DML2558" s="17"/>
      <c r="DMM2558" s="17"/>
      <c r="DMN2558" s="17"/>
      <c r="DMO2558" s="17"/>
      <c r="DMP2558" s="17"/>
      <c r="DMQ2558" s="17"/>
    </row>
    <row r="2559" spans="3044:3059">
      <c r="DMB2559" s="17"/>
      <c r="DMC2559" s="17"/>
      <c r="DMD2559" s="17"/>
      <c r="DME2559" s="17"/>
      <c r="DMF2559" s="17"/>
      <c r="DMG2559" s="17"/>
      <c r="DMH2559" s="17"/>
      <c r="DMI2559" s="17"/>
      <c r="DMJ2559" s="17"/>
      <c r="DMK2559" s="17"/>
      <c r="DML2559" s="17"/>
      <c r="DMM2559" s="17"/>
      <c r="DMN2559" s="17"/>
      <c r="DMO2559" s="17"/>
      <c r="DMP2559" s="17"/>
      <c r="DMQ2559" s="17"/>
    </row>
    <row r="2560" spans="3044:3059">
      <c r="DMB2560" s="17"/>
      <c r="DMC2560" s="17"/>
      <c r="DMD2560" s="17"/>
      <c r="DME2560" s="17"/>
      <c r="DMF2560" s="17"/>
      <c r="DMG2560" s="17"/>
      <c r="DMH2560" s="17"/>
      <c r="DMI2560" s="17"/>
      <c r="DMJ2560" s="17"/>
      <c r="DMK2560" s="17"/>
      <c r="DML2560" s="17"/>
      <c r="DMM2560" s="17"/>
      <c r="DMN2560" s="17"/>
      <c r="DMO2560" s="17"/>
      <c r="DMP2560" s="17"/>
      <c r="DMQ2560" s="17"/>
    </row>
    <row r="2561" spans="3044:3059">
      <c r="DMB2561" s="17"/>
      <c r="DMC2561" s="17"/>
      <c r="DMD2561" s="17"/>
      <c r="DME2561" s="17"/>
      <c r="DMF2561" s="17"/>
      <c r="DMG2561" s="17"/>
      <c r="DMH2561" s="17"/>
      <c r="DMI2561" s="17"/>
      <c r="DMJ2561" s="17"/>
      <c r="DMK2561" s="17"/>
      <c r="DML2561" s="17"/>
      <c r="DMM2561" s="17"/>
      <c r="DMN2561" s="17"/>
      <c r="DMO2561" s="17"/>
      <c r="DMP2561" s="17"/>
      <c r="DMQ2561" s="17"/>
    </row>
    <row r="2562" spans="3044:3059">
      <c r="DMB2562" s="17"/>
      <c r="DMC2562" s="17"/>
      <c r="DMD2562" s="17"/>
      <c r="DME2562" s="17"/>
      <c r="DMF2562" s="17"/>
      <c r="DMG2562" s="17"/>
      <c r="DMH2562" s="17"/>
      <c r="DMI2562" s="17"/>
      <c r="DMJ2562" s="17"/>
      <c r="DMK2562" s="17"/>
      <c r="DML2562" s="17"/>
      <c r="DMM2562" s="17"/>
      <c r="DMN2562" s="17"/>
      <c r="DMO2562" s="17"/>
      <c r="DMP2562" s="17"/>
      <c r="DMQ2562" s="17"/>
    </row>
    <row r="2563" spans="3044:3059">
      <c r="DMB2563" s="17"/>
      <c r="DMC2563" s="17"/>
      <c r="DMD2563" s="17"/>
      <c r="DME2563" s="17"/>
      <c r="DMF2563" s="17"/>
      <c r="DMG2563" s="17"/>
      <c r="DMH2563" s="17"/>
      <c r="DMI2563" s="17"/>
      <c r="DMJ2563" s="17"/>
      <c r="DMK2563" s="17"/>
      <c r="DML2563" s="17"/>
      <c r="DMM2563" s="17"/>
      <c r="DMN2563" s="17"/>
      <c r="DMO2563" s="17"/>
      <c r="DMP2563" s="17"/>
      <c r="DMQ2563" s="17"/>
    </row>
    <row r="2564" spans="3044:3059">
      <c r="DMB2564" s="17"/>
      <c r="DMC2564" s="17"/>
      <c r="DMD2564" s="17"/>
      <c r="DME2564" s="17"/>
      <c r="DMF2564" s="17"/>
      <c r="DMG2564" s="17"/>
      <c r="DMH2564" s="17"/>
      <c r="DMI2564" s="17"/>
      <c r="DMJ2564" s="17"/>
      <c r="DMK2564" s="17"/>
      <c r="DML2564" s="17"/>
      <c r="DMM2564" s="17"/>
      <c r="DMN2564" s="17"/>
      <c r="DMO2564" s="17"/>
      <c r="DMP2564" s="17"/>
      <c r="DMQ2564" s="17"/>
    </row>
    <row r="2565" spans="3044:3059">
      <c r="DMB2565" s="17"/>
      <c r="DMC2565" s="17"/>
      <c r="DMD2565" s="17"/>
      <c r="DME2565" s="17"/>
      <c r="DMF2565" s="17"/>
      <c r="DMG2565" s="17"/>
      <c r="DMH2565" s="17"/>
      <c r="DMI2565" s="17"/>
      <c r="DMJ2565" s="17"/>
      <c r="DMK2565" s="17"/>
      <c r="DML2565" s="17"/>
      <c r="DMM2565" s="17"/>
      <c r="DMN2565" s="17"/>
      <c r="DMO2565" s="17"/>
      <c r="DMP2565" s="17"/>
      <c r="DMQ2565" s="17"/>
    </row>
    <row r="2566" spans="3044:3059">
      <c r="DMB2566" s="17"/>
      <c r="DMC2566" s="17"/>
      <c r="DMD2566" s="17"/>
      <c r="DME2566" s="17"/>
      <c r="DMF2566" s="17"/>
      <c r="DMG2566" s="17"/>
      <c r="DMH2566" s="17"/>
      <c r="DMI2566" s="17"/>
      <c r="DMJ2566" s="17"/>
      <c r="DMK2566" s="17"/>
      <c r="DML2566" s="17"/>
      <c r="DMM2566" s="17"/>
      <c r="DMN2566" s="17"/>
      <c r="DMO2566" s="17"/>
      <c r="DMP2566" s="17"/>
      <c r="DMQ2566" s="17"/>
    </row>
    <row r="2567" spans="3044:3059">
      <c r="DMB2567" s="17"/>
      <c r="DMC2567" s="17"/>
      <c r="DMD2567" s="17"/>
      <c r="DME2567" s="17"/>
      <c r="DMF2567" s="17"/>
      <c r="DMG2567" s="17"/>
      <c r="DMH2567" s="17"/>
      <c r="DMI2567" s="17"/>
      <c r="DMJ2567" s="17"/>
      <c r="DMK2567" s="17"/>
      <c r="DML2567" s="17"/>
      <c r="DMM2567" s="17"/>
      <c r="DMN2567" s="17"/>
      <c r="DMO2567" s="17"/>
      <c r="DMP2567" s="17"/>
      <c r="DMQ2567" s="17"/>
    </row>
    <row r="2568" spans="3044:3059">
      <c r="DMB2568" s="17"/>
      <c r="DMC2568" s="17"/>
      <c r="DMD2568" s="17"/>
      <c r="DME2568" s="17"/>
      <c r="DMF2568" s="17"/>
      <c r="DMG2568" s="17"/>
      <c r="DMH2568" s="17"/>
      <c r="DMI2568" s="17"/>
      <c r="DMJ2568" s="17"/>
      <c r="DMK2568" s="17"/>
      <c r="DML2568" s="17"/>
      <c r="DMM2568" s="17"/>
      <c r="DMN2568" s="17"/>
      <c r="DMO2568" s="17"/>
      <c r="DMP2568" s="17"/>
      <c r="DMQ2568" s="17"/>
    </row>
    <row r="2569" spans="3044:3059">
      <c r="DMB2569" s="17"/>
      <c r="DMC2569" s="17"/>
      <c r="DMD2569" s="17"/>
      <c r="DME2569" s="17"/>
      <c r="DMF2569" s="17"/>
      <c r="DMG2569" s="17"/>
      <c r="DMH2569" s="17"/>
      <c r="DMI2569" s="17"/>
      <c r="DMJ2569" s="17"/>
      <c r="DMK2569" s="17"/>
      <c r="DML2569" s="17"/>
      <c r="DMM2569" s="17"/>
      <c r="DMN2569" s="17"/>
      <c r="DMO2569" s="17"/>
      <c r="DMP2569" s="17"/>
      <c r="DMQ2569" s="17"/>
    </row>
    <row r="2570" spans="3044:3059">
      <c r="DMB2570" s="17"/>
      <c r="DMC2570" s="17"/>
      <c r="DMD2570" s="17"/>
      <c r="DME2570" s="17"/>
      <c r="DMF2570" s="17"/>
      <c r="DMG2570" s="17"/>
      <c r="DMH2570" s="17"/>
      <c r="DMI2570" s="17"/>
      <c r="DMJ2570" s="17"/>
      <c r="DMK2570" s="17"/>
      <c r="DML2570" s="17"/>
      <c r="DMM2570" s="17"/>
      <c r="DMN2570" s="17"/>
      <c r="DMO2570" s="17"/>
      <c r="DMP2570" s="17"/>
      <c r="DMQ2570" s="17"/>
    </row>
    <row r="2571" spans="3044:3059">
      <c r="DMB2571" s="17"/>
      <c r="DMC2571" s="17"/>
      <c r="DMD2571" s="17"/>
      <c r="DME2571" s="17"/>
      <c r="DMF2571" s="17"/>
      <c r="DMG2571" s="17"/>
      <c r="DMH2571" s="17"/>
      <c r="DMI2571" s="17"/>
      <c r="DMJ2571" s="17"/>
      <c r="DMK2571" s="17"/>
      <c r="DML2571" s="17"/>
      <c r="DMM2571" s="17"/>
      <c r="DMN2571" s="17"/>
      <c r="DMO2571" s="17"/>
      <c r="DMP2571" s="17"/>
      <c r="DMQ2571" s="17"/>
    </row>
    <row r="2572" spans="3044:3059">
      <c r="DMB2572" s="17"/>
      <c r="DMC2572" s="17"/>
      <c r="DMD2572" s="17"/>
      <c r="DME2572" s="17"/>
      <c r="DMF2572" s="17"/>
      <c r="DMG2572" s="17"/>
      <c r="DMH2572" s="17"/>
      <c r="DMI2572" s="17"/>
      <c r="DMJ2572" s="17"/>
      <c r="DMK2572" s="17"/>
      <c r="DML2572" s="17"/>
      <c r="DMM2572" s="17"/>
      <c r="DMN2572" s="17"/>
      <c r="DMO2572" s="17"/>
      <c r="DMP2572" s="17"/>
      <c r="DMQ2572" s="17"/>
    </row>
    <row r="2573" spans="3044:3059">
      <c r="DMB2573" s="17"/>
      <c r="DMC2573" s="17"/>
      <c r="DMD2573" s="17"/>
      <c r="DME2573" s="17"/>
      <c r="DMF2573" s="17"/>
      <c r="DMG2573" s="17"/>
      <c r="DMH2573" s="17"/>
      <c r="DMI2573" s="17"/>
      <c r="DMJ2573" s="17"/>
      <c r="DMK2573" s="17"/>
      <c r="DML2573" s="17"/>
      <c r="DMM2573" s="17"/>
      <c r="DMN2573" s="17"/>
      <c r="DMO2573" s="17"/>
      <c r="DMP2573" s="17"/>
      <c r="DMQ2573" s="17"/>
    </row>
    <row r="2574" spans="3044:3059">
      <c r="DMB2574" s="17"/>
      <c r="DMC2574" s="17"/>
      <c r="DMD2574" s="17"/>
      <c r="DME2574" s="17"/>
      <c r="DMF2574" s="17"/>
      <c r="DMG2574" s="17"/>
      <c r="DMH2574" s="17"/>
      <c r="DMI2574" s="17"/>
      <c r="DMJ2574" s="17"/>
      <c r="DMK2574" s="17"/>
      <c r="DML2574" s="17"/>
      <c r="DMM2574" s="17"/>
      <c r="DMN2574" s="17"/>
      <c r="DMO2574" s="17"/>
      <c r="DMP2574" s="17"/>
      <c r="DMQ2574" s="17"/>
    </row>
    <row r="2575" spans="3044:3059">
      <c r="DMB2575" s="17"/>
      <c r="DMC2575" s="17"/>
      <c r="DMD2575" s="17"/>
      <c r="DME2575" s="17"/>
      <c r="DMF2575" s="17"/>
      <c r="DMG2575" s="17"/>
      <c r="DMH2575" s="17"/>
      <c r="DMI2575" s="17"/>
      <c r="DMJ2575" s="17"/>
      <c r="DMK2575" s="17"/>
      <c r="DML2575" s="17"/>
      <c r="DMM2575" s="17"/>
      <c r="DMN2575" s="17"/>
      <c r="DMO2575" s="17"/>
      <c r="DMP2575" s="17"/>
      <c r="DMQ2575" s="17"/>
    </row>
    <row r="2576" spans="3044:3059">
      <c r="DMB2576" s="17"/>
      <c r="DMC2576" s="17"/>
      <c r="DMD2576" s="17"/>
      <c r="DME2576" s="17"/>
      <c r="DMF2576" s="17"/>
      <c r="DMG2576" s="17"/>
      <c r="DMH2576" s="17"/>
      <c r="DMI2576" s="17"/>
      <c r="DMJ2576" s="17"/>
      <c r="DMK2576" s="17"/>
      <c r="DML2576" s="17"/>
      <c r="DMM2576" s="17"/>
      <c r="DMN2576" s="17"/>
      <c r="DMO2576" s="17"/>
      <c r="DMP2576" s="17"/>
      <c r="DMQ2576" s="17"/>
    </row>
    <row r="2577" spans="3044:3059">
      <c r="DMB2577" s="17"/>
      <c r="DMC2577" s="17"/>
      <c r="DMD2577" s="17"/>
      <c r="DME2577" s="17"/>
      <c r="DMF2577" s="17"/>
      <c r="DMG2577" s="17"/>
      <c r="DMH2577" s="17"/>
      <c r="DMI2577" s="17"/>
      <c r="DMJ2577" s="17"/>
      <c r="DMK2577" s="17"/>
      <c r="DML2577" s="17"/>
      <c r="DMM2577" s="17"/>
      <c r="DMN2577" s="17"/>
      <c r="DMO2577" s="17"/>
      <c r="DMP2577" s="17"/>
      <c r="DMQ2577" s="17"/>
    </row>
    <row r="2578" spans="3044:3059">
      <c r="DMB2578" s="17"/>
      <c r="DMC2578" s="17"/>
      <c r="DMD2578" s="17"/>
      <c r="DME2578" s="17"/>
      <c r="DMF2578" s="17"/>
      <c r="DMG2578" s="17"/>
      <c r="DMH2578" s="17"/>
      <c r="DMI2578" s="17"/>
      <c r="DMJ2578" s="17"/>
      <c r="DMK2578" s="17"/>
      <c r="DML2578" s="17"/>
      <c r="DMM2578" s="17"/>
      <c r="DMN2578" s="17"/>
      <c r="DMO2578" s="17"/>
      <c r="DMP2578" s="17"/>
      <c r="DMQ2578" s="17"/>
    </row>
    <row r="2579" spans="3044:3059">
      <c r="DMB2579" s="17"/>
      <c r="DMC2579" s="17"/>
      <c r="DMD2579" s="17"/>
      <c r="DME2579" s="17"/>
      <c r="DMF2579" s="17"/>
      <c r="DMG2579" s="17"/>
      <c r="DMH2579" s="17"/>
      <c r="DMI2579" s="17"/>
      <c r="DMJ2579" s="17"/>
      <c r="DMK2579" s="17"/>
      <c r="DML2579" s="17"/>
      <c r="DMM2579" s="17"/>
      <c r="DMN2579" s="17"/>
      <c r="DMO2579" s="17"/>
      <c r="DMP2579" s="17"/>
      <c r="DMQ2579" s="17"/>
    </row>
    <row r="2580" spans="3044:3059">
      <c r="DMB2580" s="17"/>
      <c r="DMC2580" s="17"/>
      <c r="DMD2580" s="17"/>
      <c r="DME2580" s="17"/>
      <c r="DMF2580" s="17"/>
      <c r="DMG2580" s="17"/>
      <c r="DMH2580" s="17"/>
      <c r="DMI2580" s="17"/>
      <c r="DMJ2580" s="17"/>
      <c r="DMK2580" s="17"/>
      <c r="DML2580" s="17"/>
      <c r="DMM2580" s="17"/>
      <c r="DMN2580" s="17"/>
      <c r="DMO2580" s="17"/>
      <c r="DMP2580" s="17"/>
      <c r="DMQ2580" s="17"/>
    </row>
    <row r="2581" spans="3044:3059">
      <c r="DMB2581" s="17"/>
      <c r="DMC2581" s="17"/>
      <c r="DMD2581" s="17"/>
      <c r="DME2581" s="17"/>
      <c r="DMF2581" s="17"/>
      <c r="DMG2581" s="17"/>
      <c r="DMH2581" s="17"/>
      <c r="DMI2581" s="17"/>
      <c r="DMJ2581" s="17"/>
      <c r="DMK2581" s="17"/>
      <c r="DML2581" s="17"/>
      <c r="DMM2581" s="17"/>
      <c r="DMN2581" s="17"/>
      <c r="DMO2581" s="17"/>
      <c r="DMP2581" s="17"/>
      <c r="DMQ2581" s="17"/>
    </row>
    <row r="2582" spans="3044:3059">
      <c r="DMB2582" s="17"/>
      <c r="DMC2582" s="17"/>
      <c r="DMD2582" s="17"/>
      <c r="DME2582" s="17"/>
      <c r="DMF2582" s="17"/>
      <c r="DMG2582" s="17"/>
      <c r="DMH2582" s="17"/>
      <c r="DMI2582" s="17"/>
      <c r="DMJ2582" s="17"/>
      <c r="DMK2582" s="17"/>
      <c r="DML2582" s="17"/>
      <c r="DMM2582" s="17"/>
      <c r="DMN2582" s="17"/>
      <c r="DMO2582" s="17"/>
      <c r="DMP2582" s="17"/>
      <c r="DMQ2582" s="17"/>
    </row>
    <row r="2583" spans="3044:3059">
      <c r="DMB2583" s="17"/>
      <c r="DMC2583" s="17"/>
      <c r="DMD2583" s="17"/>
      <c r="DME2583" s="17"/>
      <c r="DMF2583" s="17"/>
      <c r="DMG2583" s="17"/>
      <c r="DMH2583" s="17"/>
      <c r="DMI2583" s="17"/>
      <c r="DMJ2583" s="17"/>
      <c r="DMK2583" s="17"/>
      <c r="DML2583" s="17"/>
      <c r="DMM2583" s="17"/>
      <c r="DMN2583" s="17"/>
      <c r="DMO2583" s="17"/>
      <c r="DMP2583" s="17"/>
      <c r="DMQ2583" s="17"/>
    </row>
    <row r="2584" spans="3044:3059">
      <c r="DMB2584" s="17"/>
      <c r="DMC2584" s="17"/>
      <c r="DMD2584" s="17"/>
      <c r="DME2584" s="17"/>
      <c r="DMF2584" s="17"/>
      <c r="DMG2584" s="17"/>
      <c r="DMH2584" s="17"/>
      <c r="DMI2584" s="17"/>
      <c r="DMJ2584" s="17"/>
      <c r="DMK2584" s="17"/>
      <c r="DML2584" s="17"/>
      <c r="DMM2584" s="17"/>
      <c r="DMN2584" s="17"/>
      <c r="DMO2584" s="17"/>
      <c r="DMP2584" s="17"/>
      <c r="DMQ2584" s="17"/>
    </row>
    <row r="2585" spans="3044:3059">
      <c r="DMB2585" s="17"/>
      <c r="DMC2585" s="17"/>
      <c r="DMD2585" s="17"/>
      <c r="DME2585" s="17"/>
      <c r="DMF2585" s="17"/>
      <c r="DMG2585" s="17"/>
      <c r="DMH2585" s="17"/>
      <c r="DMI2585" s="17"/>
      <c r="DMJ2585" s="17"/>
      <c r="DMK2585" s="17"/>
      <c r="DML2585" s="17"/>
      <c r="DMM2585" s="17"/>
      <c r="DMN2585" s="17"/>
      <c r="DMO2585" s="17"/>
      <c r="DMP2585" s="17"/>
      <c r="DMQ2585" s="17"/>
    </row>
    <row r="2586" spans="3044:3059">
      <c r="DMB2586" s="17"/>
      <c r="DMC2586" s="17"/>
      <c r="DMD2586" s="17"/>
      <c r="DME2586" s="17"/>
      <c r="DMF2586" s="17"/>
      <c r="DMG2586" s="17"/>
      <c r="DMH2586" s="17"/>
      <c r="DMI2586" s="17"/>
      <c r="DMJ2586" s="17"/>
      <c r="DMK2586" s="17"/>
      <c r="DML2586" s="17"/>
      <c r="DMM2586" s="17"/>
      <c r="DMN2586" s="17"/>
      <c r="DMO2586" s="17"/>
      <c r="DMP2586" s="17"/>
      <c r="DMQ2586" s="17"/>
    </row>
    <row r="2587" spans="3044:3059">
      <c r="DMB2587" s="17"/>
      <c r="DMC2587" s="17"/>
      <c r="DMD2587" s="17"/>
      <c r="DME2587" s="17"/>
      <c r="DMF2587" s="17"/>
      <c r="DMG2587" s="17"/>
      <c r="DMH2587" s="17"/>
      <c r="DMI2587" s="17"/>
      <c r="DMJ2587" s="17"/>
      <c r="DMK2587" s="17"/>
      <c r="DML2587" s="17"/>
      <c r="DMM2587" s="17"/>
      <c r="DMN2587" s="17"/>
      <c r="DMO2587" s="17"/>
      <c r="DMP2587" s="17"/>
      <c r="DMQ2587" s="17"/>
    </row>
    <row r="2588" spans="3044:3059">
      <c r="DMB2588" s="17"/>
      <c r="DMC2588" s="17"/>
      <c r="DMD2588" s="17"/>
      <c r="DME2588" s="17"/>
      <c r="DMF2588" s="17"/>
      <c r="DMG2588" s="17"/>
      <c r="DMH2588" s="17"/>
      <c r="DMI2588" s="17"/>
      <c r="DMJ2588" s="17"/>
      <c r="DMK2588" s="17"/>
      <c r="DML2588" s="17"/>
      <c r="DMM2588" s="17"/>
      <c r="DMN2588" s="17"/>
      <c r="DMO2588" s="17"/>
      <c r="DMP2588" s="17"/>
      <c r="DMQ2588" s="17"/>
    </row>
    <row r="2589" spans="3044:3059">
      <c r="DMB2589" s="17"/>
      <c r="DMC2589" s="17"/>
      <c r="DMD2589" s="17"/>
      <c r="DME2589" s="17"/>
      <c r="DMF2589" s="17"/>
      <c r="DMG2589" s="17"/>
      <c r="DMH2589" s="17"/>
      <c r="DMI2589" s="17"/>
      <c r="DMJ2589" s="17"/>
      <c r="DMK2589" s="17"/>
      <c r="DML2589" s="17"/>
      <c r="DMM2589" s="17"/>
      <c r="DMN2589" s="17"/>
      <c r="DMO2589" s="17"/>
      <c r="DMP2589" s="17"/>
      <c r="DMQ2589" s="17"/>
    </row>
    <row r="2590" spans="3044:3059">
      <c r="DMB2590" s="17"/>
      <c r="DMC2590" s="17"/>
      <c r="DMD2590" s="17"/>
      <c r="DME2590" s="17"/>
      <c r="DMF2590" s="17"/>
      <c r="DMG2590" s="17"/>
      <c r="DMH2590" s="17"/>
      <c r="DMI2590" s="17"/>
      <c r="DMJ2590" s="17"/>
      <c r="DMK2590" s="17"/>
      <c r="DML2590" s="17"/>
      <c r="DMM2590" s="17"/>
      <c r="DMN2590" s="17"/>
      <c r="DMO2590" s="17"/>
      <c r="DMP2590" s="17"/>
      <c r="DMQ2590" s="17"/>
    </row>
    <row r="2591" spans="3044:3059">
      <c r="DMB2591" s="17"/>
      <c r="DMC2591" s="17"/>
      <c r="DMD2591" s="17"/>
      <c r="DME2591" s="17"/>
      <c r="DMF2591" s="17"/>
      <c r="DMG2591" s="17"/>
      <c r="DMH2591" s="17"/>
      <c r="DMI2591" s="17"/>
      <c r="DMJ2591" s="17"/>
      <c r="DMK2591" s="17"/>
      <c r="DML2591" s="17"/>
      <c r="DMM2591" s="17"/>
      <c r="DMN2591" s="17"/>
      <c r="DMO2591" s="17"/>
      <c r="DMP2591" s="17"/>
      <c r="DMQ2591" s="17"/>
    </row>
    <row r="2592" spans="3044:3059">
      <c r="DMB2592" s="17"/>
      <c r="DMC2592" s="17"/>
      <c r="DMD2592" s="17"/>
      <c r="DME2592" s="17"/>
      <c r="DMF2592" s="17"/>
      <c r="DMG2592" s="17"/>
      <c r="DMH2592" s="17"/>
      <c r="DMI2592" s="17"/>
      <c r="DMJ2592" s="17"/>
      <c r="DMK2592" s="17"/>
      <c r="DML2592" s="17"/>
      <c r="DMM2592" s="17"/>
      <c r="DMN2592" s="17"/>
      <c r="DMO2592" s="17"/>
      <c r="DMP2592" s="17"/>
      <c r="DMQ2592" s="17"/>
    </row>
    <row r="2593" spans="3044:3059">
      <c r="DMB2593" s="17"/>
      <c r="DMC2593" s="17"/>
      <c r="DMD2593" s="17"/>
      <c r="DME2593" s="17"/>
      <c r="DMF2593" s="17"/>
      <c r="DMG2593" s="17"/>
      <c r="DMH2593" s="17"/>
      <c r="DMI2593" s="17"/>
      <c r="DMJ2593" s="17"/>
      <c r="DMK2593" s="17"/>
      <c r="DML2593" s="17"/>
      <c r="DMM2593" s="17"/>
      <c r="DMN2593" s="17"/>
      <c r="DMO2593" s="17"/>
      <c r="DMP2593" s="17"/>
      <c r="DMQ2593" s="17"/>
    </row>
    <row r="2594" spans="3044:3059">
      <c r="DMB2594" s="17"/>
      <c r="DMC2594" s="17"/>
      <c r="DMD2594" s="17"/>
      <c r="DME2594" s="17"/>
      <c r="DMF2594" s="17"/>
      <c r="DMG2594" s="17"/>
      <c r="DMH2594" s="17"/>
      <c r="DMI2594" s="17"/>
      <c r="DMJ2594" s="17"/>
      <c r="DMK2594" s="17"/>
      <c r="DML2594" s="17"/>
      <c r="DMM2594" s="17"/>
      <c r="DMN2594" s="17"/>
      <c r="DMO2594" s="17"/>
      <c r="DMP2594" s="17"/>
      <c r="DMQ2594" s="17"/>
    </row>
    <row r="2595" spans="3044:3059">
      <c r="DMB2595" s="17"/>
      <c r="DMC2595" s="17"/>
      <c r="DMD2595" s="17"/>
      <c r="DME2595" s="17"/>
      <c r="DMF2595" s="17"/>
      <c r="DMG2595" s="17"/>
      <c r="DMH2595" s="17"/>
      <c r="DMI2595" s="17"/>
      <c r="DMJ2595" s="17"/>
      <c r="DMK2595" s="17"/>
      <c r="DML2595" s="17"/>
      <c r="DMM2595" s="17"/>
      <c r="DMN2595" s="17"/>
      <c r="DMO2595" s="17"/>
      <c r="DMP2595" s="17"/>
      <c r="DMQ2595" s="17"/>
    </row>
    <row r="2596" spans="3044:3059">
      <c r="DMB2596" s="17"/>
      <c r="DMC2596" s="17"/>
      <c r="DMD2596" s="17"/>
      <c r="DME2596" s="17"/>
      <c r="DMF2596" s="17"/>
      <c r="DMG2596" s="17"/>
      <c r="DMH2596" s="17"/>
      <c r="DMI2596" s="17"/>
      <c r="DMJ2596" s="17"/>
      <c r="DMK2596" s="17"/>
      <c r="DML2596" s="17"/>
      <c r="DMM2596" s="17"/>
      <c r="DMN2596" s="17"/>
      <c r="DMO2596" s="17"/>
      <c r="DMP2596" s="17"/>
      <c r="DMQ2596" s="17"/>
    </row>
    <row r="2597" spans="3044:3059">
      <c r="DMB2597" s="17"/>
      <c r="DMC2597" s="17"/>
      <c r="DMD2597" s="17"/>
      <c r="DME2597" s="17"/>
      <c r="DMF2597" s="17"/>
      <c r="DMG2597" s="17"/>
      <c r="DMH2597" s="17"/>
      <c r="DMI2597" s="17"/>
      <c r="DMJ2597" s="17"/>
      <c r="DMK2597" s="17"/>
      <c r="DML2597" s="17"/>
      <c r="DMM2597" s="17"/>
      <c r="DMN2597" s="17"/>
      <c r="DMO2597" s="17"/>
      <c r="DMP2597" s="17"/>
      <c r="DMQ2597" s="17"/>
    </row>
    <row r="2598" spans="3044:3059">
      <c r="DMB2598" s="17"/>
      <c r="DMC2598" s="17"/>
      <c r="DMD2598" s="17"/>
      <c r="DME2598" s="17"/>
      <c r="DMF2598" s="17"/>
      <c r="DMG2598" s="17"/>
      <c r="DMH2598" s="17"/>
      <c r="DMI2598" s="17"/>
      <c r="DMJ2598" s="17"/>
      <c r="DMK2598" s="17"/>
      <c r="DML2598" s="17"/>
      <c r="DMM2598" s="17"/>
      <c r="DMN2598" s="17"/>
      <c r="DMO2598" s="17"/>
      <c r="DMP2598" s="17"/>
      <c r="DMQ2598" s="17"/>
    </row>
    <row r="2599" spans="3044:3059">
      <c r="DMB2599" s="17"/>
      <c r="DMC2599" s="17"/>
      <c r="DMD2599" s="17"/>
      <c r="DME2599" s="17"/>
      <c r="DMF2599" s="17"/>
      <c r="DMG2599" s="17"/>
      <c r="DMH2599" s="17"/>
      <c r="DMI2599" s="17"/>
      <c r="DMJ2599" s="17"/>
      <c r="DMK2599" s="17"/>
      <c r="DML2599" s="17"/>
      <c r="DMM2599" s="17"/>
      <c r="DMN2599" s="17"/>
      <c r="DMO2599" s="17"/>
      <c r="DMP2599" s="17"/>
      <c r="DMQ2599" s="17"/>
    </row>
    <row r="2600" spans="3044:3059">
      <c r="DMB2600" s="17"/>
      <c r="DMC2600" s="17"/>
      <c r="DMD2600" s="17"/>
      <c r="DME2600" s="17"/>
      <c r="DMF2600" s="17"/>
      <c r="DMG2600" s="17"/>
      <c r="DMH2600" s="17"/>
      <c r="DMI2600" s="17"/>
      <c r="DMJ2600" s="17"/>
      <c r="DMK2600" s="17"/>
      <c r="DML2600" s="17"/>
      <c r="DMM2600" s="17"/>
      <c r="DMN2600" s="17"/>
      <c r="DMO2600" s="17"/>
      <c r="DMP2600" s="17"/>
      <c r="DMQ2600" s="17"/>
    </row>
    <row r="2601" spans="3044:3059">
      <c r="DMB2601" s="17"/>
      <c r="DMC2601" s="17"/>
      <c r="DMD2601" s="17"/>
      <c r="DME2601" s="17"/>
      <c r="DMF2601" s="17"/>
      <c r="DMG2601" s="17"/>
      <c r="DMH2601" s="17"/>
      <c r="DMI2601" s="17"/>
      <c r="DMJ2601" s="17"/>
      <c r="DMK2601" s="17"/>
      <c r="DML2601" s="17"/>
      <c r="DMM2601" s="17"/>
      <c r="DMN2601" s="17"/>
      <c r="DMO2601" s="17"/>
      <c r="DMP2601" s="17"/>
      <c r="DMQ2601" s="17"/>
    </row>
    <row r="2602" spans="3044:3059">
      <c r="DMB2602" s="17"/>
      <c r="DMC2602" s="17"/>
      <c r="DMD2602" s="17"/>
      <c r="DME2602" s="17"/>
      <c r="DMF2602" s="17"/>
      <c r="DMG2602" s="17"/>
      <c r="DMH2602" s="17"/>
      <c r="DMI2602" s="17"/>
      <c r="DMJ2602" s="17"/>
      <c r="DMK2602" s="17"/>
      <c r="DML2602" s="17"/>
      <c r="DMM2602" s="17"/>
      <c r="DMN2602" s="17"/>
      <c r="DMO2602" s="17"/>
      <c r="DMP2602" s="17"/>
      <c r="DMQ2602" s="17"/>
    </row>
    <row r="2603" spans="3044:3059">
      <c r="DMB2603" s="17"/>
      <c r="DMC2603" s="17"/>
      <c r="DMD2603" s="17"/>
      <c r="DME2603" s="17"/>
      <c r="DMF2603" s="17"/>
      <c r="DMG2603" s="17"/>
      <c r="DMH2603" s="17"/>
      <c r="DMI2603" s="17"/>
      <c r="DMJ2603" s="17"/>
      <c r="DMK2603" s="17"/>
      <c r="DML2603" s="17"/>
      <c r="DMM2603" s="17"/>
      <c r="DMN2603" s="17"/>
      <c r="DMO2603" s="17"/>
      <c r="DMP2603" s="17"/>
      <c r="DMQ2603" s="17"/>
    </row>
    <row r="2604" spans="3044:3059">
      <c r="DMB2604" s="17"/>
      <c r="DMC2604" s="17"/>
      <c r="DMD2604" s="17"/>
      <c r="DME2604" s="17"/>
      <c r="DMF2604" s="17"/>
      <c r="DMG2604" s="17"/>
      <c r="DMH2604" s="17"/>
      <c r="DMI2604" s="17"/>
      <c r="DMJ2604" s="17"/>
      <c r="DMK2604" s="17"/>
      <c r="DML2604" s="17"/>
      <c r="DMM2604" s="17"/>
      <c r="DMN2604" s="17"/>
      <c r="DMO2604" s="17"/>
      <c r="DMP2604" s="17"/>
      <c r="DMQ2604" s="17"/>
    </row>
    <row r="2605" spans="3044:3059">
      <c r="DMB2605" s="17"/>
      <c r="DMC2605" s="17"/>
      <c r="DMD2605" s="17"/>
      <c r="DME2605" s="17"/>
      <c r="DMF2605" s="17"/>
      <c r="DMG2605" s="17"/>
      <c r="DMH2605" s="17"/>
      <c r="DMI2605" s="17"/>
      <c r="DMJ2605" s="17"/>
      <c r="DMK2605" s="17"/>
      <c r="DML2605" s="17"/>
      <c r="DMM2605" s="17"/>
      <c r="DMN2605" s="17"/>
      <c r="DMO2605" s="17"/>
      <c r="DMP2605" s="17"/>
      <c r="DMQ2605" s="17"/>
    </row>
    <row r="2606" spans="3044:3059">
      <c r="DMB2606" s="17"/>
      <c r="DMC2606" s="17"/>
      <c r="DMD2606" s="17"/>
      <c r="DME2606" s="17"/>
      <c r="DMF2606" s="17"/>
      <c r="DMG2606" s="17"/>
      <c r="DMH2606" s="17"/>
      <c r="DMI2606" s="17"/>
      <c r="DMJ2606" s="17"/>
      <c r="DMK2606" s="17"/>
      <c r="DML2606" s="17"/>
      <c r="DMM2606" s="17"/>
      <c r="DMN2606" s="17"/>
      <c r="DMO2606" s="17"/>
      <c r="DMP2606" s="17"/>
      <c r="DMQ2606" s="17"/>
    </row>
    <row r="2607" spans="3044:3059">
      <c r="DMB2607" s="17"/>
      <c r="DMC2607" s="17"/>
      <c r="DMD2607" s="17"/>
      <c r="DME2607" s="17"/>
      <c r="DMF2607" s="17"/>
      <c r="DMG2607" s="17"/>
      <c r="DMH2607" s="17"/>
      <c r="DMI2607" s="17"/>
      <c r="DMJ2607" s="17"/>
      <c r="DMK2607" s="17"/>
      <c r="DML2607" s="17"/>
      <c r="DMM2607" s="17"/>
      <c r="DMN2607" s="17"/>
      <c r="DMO2607" s="17"/>
      <c r="DMP2607" s="17"/>
      <c r="DMQ2607" s="17"/>
    </row>
    <row r="2608" spans="3044:3059">
      <c r="DMB2608" s="17"/>
      <c r="DMC2608" s="17"/>
      <c r="DMD2608" s="17"/>
      <c r="DME2608" s="17"/>
      <c r="DMF2608" s="17"/>
      <c r="DMG2608" s="17"/>
      <c r="DMH2608" s="17"/>
      <c r="DMI2608" s="17"/>
      <c r="DMJ2608" s="17"/>
      <c r="DMK2608" s="17"/>
      <c r="DML2608" s="17"/>
      <c r="DMM2608" s="17"/>
      <c r="DMN2608" s="17"/>
      <c r="DMO2608" s="17"/>
      <c r="DMP2608" s="17"/>
      <c r="DMQ2608" s="17"/>
    </row>
    <row r="2609" spans="3044:3059">
      <c r="DMB2609" s="17"/>
      <c r="DMC2609" s="17"/>
      <c r="DMD2609" s="17"/>
      <c r="DME2609" s="17"/>
      <c r="DMF2609" s="17"/>
      <c r="DMG2609" s="17"/>
      <c r="DMH2609" s="17"/>
      <c r="DMI2609" s="17"/>
      <c r="DMJ2609" s="17"/>
      <c r="DMK2609" s="17"/>
      <c r="DML2609" s="17"/>
      <c r="DMM2609" s="17"/>
      <c r="DMN2609" s="17"/>
      <c r="DMO2609" s="17"/>
      <c r="DMP2609" s="17"/>
      <c r="DMQ2609" s="17"/>
    </row>
    <row r="2610" spans="3044:3059">
      <c r="DMB2610" s="17"/>
      <c r="DMC2610" s="17"/>
      <c r="DMD2610" s="17"/>
      <c r="DME2610" s="17"/>
      <c r="DMF2610" s="17"/>
      <c r="DMG2610" s="17"/>
      <c r="DMH2610" s="17"/>
      <c r="DMI2610" s="17"/>
      <c r="DMJ2610" s="17"/>
      <c r="DMK2610" s="17"/>
      <c r="DML2610" s="17"/>
      <c r="DMM2610" s="17"/>
      <c r="DMN2610" s="17"/>
      <c r="DMO2610" s="17"/>
      <c r="DMP2610" s="17"/>
      <c r="DMQ2610" s="17"/>
    </row>
    <row r="2611" spans="3044:3059">
      <c r="DMB2611" s="17"/>
      <c r="DMC2611" s="17"/>
      <c r="DMD2611" s="17"/>
      <c r="DME2611" s="17"/>
      <c r="DMF2611" s="17"/>
      <c r="DMG2611" s="17"/>
      <c r="DMH2611" s="17"/>
      <c r="DMI2611" s="17"/>
      <c r="DMJ2611" s="17"/>
      <c r="DMK2611" s="17"/>
      <c r="DML2611" s="17"/>
      <c r="DMM2611" s="17"/>
      <c r="DMN2611" s="17"/>
      <c r="DMO2611" s="17"/>
      <c r="DMP2611" s="17"/>
      <c r="DMQ2611" s="17"/>
    </row>
    <row r="2612" spans="3044:3059">
      <c r="DMB2612" s="17"/>
      <c r="DMC2612" s="17"/>
      <c r="DMD2612" s="17"/>
      <c r="DME2612" s="17"/>
      <c r="DMF2612" s="17"/>
      <c r="DMG2612" s="17"/>
      <c r="DMH2612" s="17"/>
      <c r="DMI2612" s="17"/>
      <c r="DMJ2612" s="17"/>
      <c r="DMK2612" s="17"/>
      <c r="DML2612" s="17"/>
      <c r="DMM2612" s="17"/>
      <c r="DMN2612" s="17"/>
      <c r="DMO2612" s="17"/>
      <c r="DMP2612" s="17"/>
      <c r="DMQ2612" s="17"/>
    </row>
    <row r="2613" spans="3044:3059">
      <c r="DMB2613" s="17"/>
      <c r="DMC2613" s="17"/>
      <c r="DMD2613" s="17"/>
      <c r="DME2613" s="17"/>
      <c r="DMF2613" s="17"/>
      <c r="DMG2613" s="17"/>
      <c r="DMH2613" s="17"/>
      <c r="DMI2613" s="17"/>
      <c r="DMJ2613" s="17"/>
      <c r="DMK2613" s="17"/>
      <c r="DML2613" s="17"/>
      <c r="DMM2613" s="17"/>
      <c r="DMN2613" s="17"/>
      <c r="DMO2613" s="17"/>
      <c r="DMP2613" s="17"/>
      <c r="DMQ2613" s="17"/>
    </row>
    <row r="2614" spans="3044:3059">
      <c r="DMB2614" s="17"/>
      <c r="DMC2614" s="17"/>
      <c r="DMD2614" s="17"/>
      <c r="DME2614" s="17"/>
      <c r="DMF2614" s="17"/>
      <c r="DMG2614" s="17"/>
      <c r="DMH2614" s="17"/>
      <c r="DMI2614" s="17"/>
      <c r="DMJ2614" s="17"/>
      <c r="DMK2614" s="17"/>
      <c r="DML2614" s="17"/>
      <c r="DMM2614" s="17"/>
      <c r="DMN2614" s="17"/>
      <c r="DMO2614" s="17"/>
      <c r="DMP2614" s="17"/>
      <c r="DMQ2614" s="17"/>
    </row>
    <row r="2615" spans="3044:3059">
      <c r="DMB2615" s="17"/>
      <c r="DMC2615" s="17"/>
      <c r="DMD2615" s="17"/>
      <c r="DME2615" s="17"/>
      <c r="DMF2615" s="17"/>
      <c r="DMG2615" s="17"/>
      <c r="DMH2615" s="17"/>
      <c r="DMI2615" s="17"/>
      <c r="DMJ2615" s="17"/>
      <c r="DMK2615" s="17"/>
      <c r="DML2615" s="17"/>
      <c r="DMM2615" s="17"/>
      <c r="DMN2615" s="17"/>
      <c r="DMO2615" s="17"/>
      <c r="DMP2615" s="17"/>
      <c r="DMQ2615" s="17"/>
    </row>
    <row r="2616" spans="3044:3059">
      <c r="DMB2616" s="17"/>
      <c r="DMC2616" s="17"/>
      <c r="DMD2616" s="17"/>
      <c r="DME2616" s="17"/>
      <c r="DMF2616" s="17"/>
      <c r="DMG2616" s="17"/>
      <c r="DMH2616" s="17"/>
      <c r="DMI2616" s="17"/>
      <c r="DMJ2616" s="17"/>
      <c r="DMK2616" s="17"/>
      <c r="DML2616" s="17"/>
      <c r="DMM2616" s="17"/>
      <c r="DMN2616" s="17"/>
      <c r="DMO2616" s="17"/>
      <c r="DMP2616" s="17"/>
      <c r="DMQ2616" s="17"/>
    </row>
    <row r="2617" spans="3044:3059">
      <c r="DMB2617" s="17"/>
      <c r="DMC2617" s="17"/>
      <c r="DMD2617" s="17"/>
      <c r="DME2617" s="17"/>
      <c r="DMF2617" s="17"/>
      <c r="DMG2617" s="17"/>
      <c r="DMH2617" s="17"/>
      <c r="DMI2617" s="17"/>
      <c r="DMJ2617" s="17"/>
      <c r="DMK2617" s="17"/>
      <c r="DML2617" s="17"/>
      <c r="DMM2617" s="17"/>
      <c r="DMN2617" s="17"/>
      <c r="DMO2617" s="17"/>
      <c r="DMP2617" s="17"/>
      <c r="DMQ2617" s="17"/>
    </row>
    <row r="2618" spans="3044:3059">
      <c r="DMB2618" s="17"/>
      <c r="DMC2618" s="17"/>
      <c r="DMD2618" s="17"/>
      <c r="DME2618" s="17"/>
      <c r="DMF2618" s="17"/>
      <c r="DMG2618" s="17"/>
      <c r="DMH2618" s="17"/>
      <c r="DMI2618" s="17"/>
      <c r="DMJ2618" s="17"/>
      <c r="DMK2618" s="17"/>
      <c r="DML2618" s="17"/>
      <c r="DMM2618" s="17"/>
      <c r="DMN2618" s="17"/>
      <c r="DMO2618" s="17"/>
      <c r="DMP2618" s="17"/>
      <c r="DMQ2618" s="17"/>
    </row>
    <row r="2619" spans="3044:3059">
      <c r="DMB2619" s="17"/>
      <c r="DMC2619" s="17"/>
      <c r="DMD2619" s="17"/>
      <c r="DME2619" s="17"/>
      <c r="DMF2619" s="17"/>
      <c r="DMG2619" s="17"/>
      <c r="DMH2619" s="17"/>
      <c r="DMI2619" s="17"/>
      <c r="DMJ2619" s="17"/>
      <c r="DMK2619" s="17"/>
      <c r="DML2619" s="17"/>
      <c r="DMM2619" s="17"/>
      <c r="DMN2619" s="17"/>
      <c r="DMO2619" s="17"/>
      <c r="DMP2619" s="17"/>
      <c r="DMQ2619" s="17"/>
    </row>
    <row r="2620" spans="3044:3059">
      <c r="DMB2620" s="17"/>
      <c r="DMC2620" s="17"/>
      <c r="DMD2620" s="17"/>
      <c r="DME2620" s="17"/>
      <c r="DMF2620" s="17"/>
      <c r="DMG2620" s="17"/>
      <c r="DMH2620" s="17"/>
      <c r="DMI2620" s="17"/>
      <c r="DMJ2620" s="17"/>
      <c r="DMK2620" s="17"/>
      <c r="DML2620" s="17"/>
      <c r="DMM2620" s="17"/>
      <c r="DMN2620" s="17"/>
      <c r="DMO2620" s="17"/>
      <c r="DMP2620" s="17"/>
      <c r="DMQ2620" s="17"/>
    </row>
    <row r="2621" spans="3044:3059">
      <c r="DMB2621" s="17"/>
      <c r="DMC2621" s="17"/>
      <c r="DMD2621" s="17"/>
      <c r="DME2621" s="17"/>
      <c r="DMF2621" s="17"/>
      <c r="DMG2621" s="17"/>
      <c r="DMH2621" s="17"/>
      <c r="DMI2621" s="17"/>
      <c r="DMJ2621" s="17"/>
      <c r="DMK2621" s="17"/>
      <c r="DML2621" s="17"/>
      <c r="DMM2621" s="17"/>
      <c r="DMN2621" s="17"/>
      <c r="DMO2621" s="17"/>
      <c r="DMP2621" s="17"/>
      <c r="DMQ2621" s="17"/>
    </row>
    <row r="2622" spans="3044:3059">
      <c r="DMB2622" s="17"/>
      <c r="DMC2622" s="17"/>
      <c r="DMD2622" s="17"/>
      <c r="DME2622" s="17"/>
      <c r="DMF2622" s="17"/>
      <c r="DMG2622" s="17"/>
      <c r="DMH2622" s="17"/>
      <c r="DMI2622" s="17"/>
      <c r="DMJ2622" s="17"/>
      <c r="DMK2622" s="17"/>
      <c r="DML2622" s="17"/>
      <c r="DMM2622" s="17"/>
      <c r="DMN2622" s="17"/>
      <c r="DMO2622" s="17"/>
      <c r="DMP2622" s="17"/>
      <c r="DMQ2622" s="17"/>
    </row>
    <row r="2623" spans="3044:3059">
      <c r="DMB2623" s="17"/>
      <c r="DMC2623" s="17"/>
      <c r="DMD2623" s="17"/>
      <c r="DME2623" s="17"/>
      <c r="DMF2623" s="17"/>
      <c r="DMG2623" s="17"/>
      <c r="DMH2623" s="17"/>
      <c r="DMI2623" s="17"/>
      <c r="DMJ2623" s="17"/>
      <c r="DMK2623" s="17"/>
      <c r="DML2623" s="17"/>
      <c r="DMM2623" s="17"/>
      <c r="DMN2623" s="17"/>
      <c r="DMO2623" s="17"/>
      <c r="DMP2623" s="17"/>
      <c r="DMQ2623" s="17"/>
    </row>
    <row r="2624" spans="3044:3059">
      <c r="DMB2624" s="17"/>
      <c r="DMC2624" s="17"/>
      <c r="DMD2624" s="17"/>
      <c r="DME2624" s="17"/>
      <c r="DMF2624" s="17"/>
      <c r="DMG2624" s="17"/>
      <c r="DMH2624" s="17"/>
      <c r="DMI2624" s="17"/>
      <c r="DMJ2624" s="17"/>
      <c r="DMK2624" s="17"/>
      <c r="DML2624" s="17"/>
      <c r="DMM2624" s="17"/>
      <c r="DMN2624" s="17"/>
      <c r="DMO2624" s="17"/>
      <c r="DMP2624" s="17"/>
      <c r="DMQ2624" s="17"/>
    </row>
    <row r="2625" spans="3044:3059">
      <c r="DMB2625" s="17"/>
      <c r="DMC2625" s="17"/>
      <c r="DMD2625" s="17"/>
      <c r="DME2625" s="17"/>
      <c r="DMF2625" s="17"/>
      <c r="DMG2625" s="17"/>
      <c r="DMH2625" s="17"/>
      <c r="DMI2625" s="17"/>
      <c r="DMJ2625" s="17"/>
      <c r="DMK2625" s="17"/>
      <c r="DML2625" s="17"/>
      <c r="DMM2625" s="17"/>
      <c r="DMN2625" s="17"/>
      <c r="DMO2625" s="17"/>
      <c r="DMP2625" s="17"/>
      <c r="DMQ2625" s="17"/>
    </row>
    <row r="2626" spans="3044:3059">
      <c r="DMB2626" s="17"/>
      <c r="DMC2626" s="17"/>
      <c r="DMD2626" s="17"/>
      <c r="DME2626" s="17"/>
      <c r="DMF2626" s="17"/>
      <c r="DMG2626" s="17"/>
      <c r="DMH2626" s="17"/>
      <c r="DMI2626" s="17"/>
      <c r="DMJ2626" s="17"/>
      <c r="DMK2626" s="17"/>
      <c r="DML2626" s="17"/>
      <c r="DMM2626" s="17"/>
      <c r="DMN2626" s="17"/>
      <c r="DMO2626" s="17"/>
      <c r="DMP2626" s="17"/>
      <c r="DMQ2626" s="17"/>
    </row>
    <row r="2627" spans="3044:3059">
      <c r="DMB2627" s="17"/>
      <c r="DMC2627" s="17"/>
      <c r="DMD2627" s="17"/>
      <c r="DME2627" s="17"/>
      <c r="DMF2627" s="17"/>
      <c r="DMG2627" s="17"/>
      <c r="DMH2627" s="17"/>
      <c r="DMI2627" s="17"/>
      <c r="DMJ2627" s="17"/>
      <c r="DMK2627" s="17"/>
      <c r="DML2627" s="17"/>
      <c r="DMM2627" s="17"/>
      <c r="DMN2627" s="17"/>
      <c r="DMO2627" s="17"/>
      <c r="DMP2627" s="17"/>
      <c r="DMQ2627" s="17"/>
    </row>
    <row r="2628" spans="3044:3059">
      <c r="DMB2628" s="17"/>
      <c r="DMC2628" s="17"/>
      <c r="DMD2628" s="17"/>
      <c r="DME2628" s="17"/>
      <c r="DMF2628" s="17"/>
      <c r="DMG2628" s="17"/>
      <c r="DMH2628" s="17"/>
      <c r="DMI2628" s="17"/>
      <c r="DMJ2628" s="17"/>
      <c r="DMK2628" s="17"/>
      <c r="DML2628" s="17"/>
      <c r="DMM2628" s="17"/>
      <c r="DMN2628" s="17"/>
      <c r="DMO2628" s="17"/>
      <c r="DMP2628" s="17"/>
      <c r="DMQ2628" s="17"/>
    </row>
    <row r="2629" spans="3044:3059">
      <c r="DMB2629" s="17"/>
      <c r="DMC2629" s="17"/>
      <c r="DMD2629" s="17"/>
      <c r="DME2629" s="17"/>
      <c r="DMF2629" s="17"/>
      <c r="DMG2629" s="17"/>
      <c r="DMH2629" s="17"/>
      <c r="DMI2629" s="17"/>
      <c r="DMJ2629" s="17"/>
      <c r="DMK2629" s="17"/>
      <c r="DML2629" s="17"/>
      <c r="DMM2629" s="17"/>
      <c r="DMN2629" s="17"/>
      <c r="DMO2629" s="17"/>
      <c r="DMP2629" s="17"/>
      <c r="DMQ2629" s="17"/>
    </row>
    <row r="2630" spans="3044:3059">
      <c r="DMB2630" s="17"/>
      <c r="DMC2630" s="17"/>
      <c r="DMD2630" s="17"/>
      <c r="DME2630" s="17"/>
      <c r="DMF2630" s="17"/>
      <c r="DMG2630" s="17"/>
      <c r="DMH2630" s="17"/>
      <c r="DMI2630" s="17"/>
      <c r="DMJ2630" s="17"/>
      <c r="DMK2630" s="17"/>
      <c r="DML2630" s="17"/>
      <c r="DMM2630" s="17"/>
      <c r="DMN2630" s="17"/>
      <c r="DMO2630" s="17"/>
      <c r="DMP2630" s="17"/>
      <c r="DMQ2630" s="17"/>
    </row>
    <row r="2631" spans="3044:3059">
      <c r="DMB2631" s="17"/>
      <c r="DMC2631" s="17"/>
      <c r="DMD2631" s="17"/>
      <c r="DME2631" s="17"/>
      <c r="DMF2631" s="17"/>
      <c r="DMG2631" s="17"/>
      <c r="DMH2631" s="17"/>
      <c r="DMI2631" s="17"/>
      <c r="DMJ2631" s="17"/>
      <c r="DMK2631" s="17"/>
      <c r="DML2631" s="17"/>
      <c r="DMM2631" s="17"/>
      <c r="DMN2631" s="17"/>
      <c r="DMO2631" s="17"/>
      <c r="DMP2631" s="17"/>
      <c r="DMQ2631" s="17"/>
    </row>
    <row r="2632" spans="3044:3059">
      <c r="DMB2632" s="17"/>
      <c r="DMC2632" s="17"/>
      <c r="DMD2632" s="17"/>
      <c r="DME2632" s="17"/>
      <c r="DMF2632" s="17"/>
      <c r="DMG2632" s="17"/>
      <c r="DMH2632" s="17"/>
      <c r="DMI2632" s="17"/>
      <c r="DMJ2632" s="17"/>
      <c r="DMK2632" s="17"/>
      <c r="DML2632" s="17"/>
      <c r="DMM2632" s="17"/>
      <c r="DMN2632" s="17"/>
      <c r="DMO2632" s="17"/>
      <c r="DMP2632" s="17"/>
      <c r="DMQ2632" s="17"/>
    </row>
    <row r="2633" spans="3044:3059">
      <c r="DMB2633" s="17"/>
      <c r="DMC2633" s="17"/>
      <c r="DMD2633" s="17"/>
      <c r="DME2633" s="17"/>
      <c r="DMF2633" s="17"/>
      <c r="DMG2633" s="17"/>
      <c r="DMH2633" s="17"/>
      <c r="DMI2633" s="17"/>
      <c r="DMJ2633" s="17"/>
      <c r="DMK2633" s="17"/>
      <c r="DML2633" s="17"/>
      <c r="DMM2633" s="17"/>
      <c r="DMN2633" s="17"/>
      <c r="DMO2633" s="17"/>
      <c r="DMP2633" s="17"/>
      <c r="DMQ2633" s="17"/>
    </row>
    <row r="2634" spans="3044:3059">
      <c r="DMB2634" s="17"/>
      <c r="DMC2634" s="17"/>
      <c r="DMD2634" s="17"/>
      <c r="DME2634" s="17"/>
      <c r="DMF2634" s="17"/>
      <c r="DMG2634" s="17"/>
      <c r="DMH2634" s="17"/>
      <c r="DMI2634" s="17"/>
      <c r="DMJ2634" s="17"/>
      <c r="DMK2634" s="17"/>
      <c r="DML2634" s="17"/>
      <c r="DMM2634" s="17"/>
      <c r="DMN2634" s="17"/>
      <c r="DMO2634" s="17"/>
      <c r="DMP2634" s="17"/>
      <c r="DMQ2634" s="17"/>
    </row>
    <row r="2635" spans="3044:3059">
      <c r="DMB2635" s="17"/>
      <c r="DMC2635" s="17"/>
      <c r="DMD2635" s="17"/>
      <c r="DME2635" s="17"/>
      <c r="DMF2635" s="17"/>
      <c r="DMG2635" s="17"/>
      <c r="DMH2635" s="17"/>
      <c r="DMI2635" s="17"/>
      <c r="DMJ2635" s="17"/>
      <c r="DMK2635" s="17"/>
      <c r="DML2635" s="17"/>
      <c r="DMM2635" s="17"/>
      <c r="DMN2635" s="17"/>
      <c r="DMO2635" s="17"/>
      <c r="DMP2635" s="17"/>
      <c r="DMQ2635" s="17"/>
    </row>
    <row r="2636" spans="3044:3059">
      <c r="DMB2636" s="17"/>
      <c r="DMC2636" s="17"/>
      <c r="DMD2636" s="17"/>
      <c r="DME2636" s="17"/>
      <c r="DMF2636" s="17"/>
      <c r="DMG2636" s="17"/>
      <c r="DMH2636" s="17"/>
      <c r="DMI2636" s="17"/>
      <c r="DMJ2636" s="17"/>
      <c r="DMK2636" s="17"/>
      <c r="DML2636" s="17"/>
      <c r="DMM2636" s="17"/>
      <c r="DMN2636" s="17"/>
      <c r="DMO2636" s="17"/>
      <c r="DMP2636" s="17"/>
      <c r="DMQ2636" s="17"/>
    </row>
    <row r="2637" spans="3044:3059">
      <c r="DMB2637" s="17"/>
      <c r="DMC2637" s="17"/>
      <c r="DMD2637" s="17"/>
      <c r="DME2637" s="17"/>
      <c r="DMF2637" s="17"/>
      <c r="DMG2637" s="17"/>
      <c r="DMH2637" s="17"/>
      <c r="DMI2637" s="17"/>
      <c r="DMJ2637" s="17"/>
      <c r="DMK2637" s="17"/>
      <c r="DML2637" s="17"/>
      <c r="DMM2637" s="17"/>
      <c r="DMN2637" s="17"/>
      <c r="DMO2637" s="17"/>
      <c r="DMP2637" s="17"/>
      <c r="DMQ2637" s="17"/>
    </row>
    <row r="2638" spans="3044:3059">
      <c r="DMB2638" s="17"/>
      <c r="DMC2638" s="17"/>
      <c r="DMD2638" s="17"/>
      <c r="DME2638" s="17"/>
      <c r="DMF2638" s="17"/>
      <c r="DMG2638" s="17"/>
      <c r="DMH2638" s="17"/>
      <c r="DMI2638" s="17"/>
      <c r="DMJ2638" s="17"/>
      <c r="DMK2638" s="17"/>
      <c r="DML2638" s="17"/>
      <c r="DMM2638" s="17"/>
      <c r="DMN2638" s="17"/>
      <c r="DMO2638" s="17"/>
      <c r="DMP2638" s="17"/>
      <c r="DMQ2638" s="17"/>
    </row>
    <row r="2639" spans="3044:3059">
      <c r="DMB2639" s="17"/>
      <c r="DMC2639" s="17"/>
      <c r="DMD2639" s="17"/>
      <c r="DME2639" s="17"/>
      <c r="DMF2639" s="17"/>
      <c r="DMG2639" s="17"/>
      <c r="DMH2639" s="17"/>
      <c r="DMI2639" s="17"/>
      <c r="DMJ2639" s="17"/>
      <c r="DMK2639" s="17"/>
      <c r="DML2639" s="17"/>
      <c r="DMM2639" s="17"/>
      <c r="DMN2639" s="17"/>
      <c r="DMO2639" s="17"/>
      <c r="DMP2639" s="17"/>
      <c r="DMQ2639" s="17"/>
    </row>
    <row r="2640" spans="3044:3059">
      <c r="DMB2640" s="17"/>
      <c r="DMC2640" s="17"/>
      <c r="DMD2640" s="17"/>
      <c r="DME2640" s="17"/>
      <c r="DMF2640" s="17"/>
      <c r="DMG2640" s="17"/>
      <c r="DMH2640" s="17"/>
      <c r="DMI2640" s="17"/>
      <c r="DMJ2640" s="17"/>
      <c r="DMK2640" s="17"/>
      <c r="DML2640" s="17"/>
      <c r="DMM2640" s="17"/>
      <c r="DMN2640" s="17"/>
      <c r="DMO2640" s="17"/>
      <c r="DMP2640" s="17"/>
      <c r="DMQ2640" s="17"/>
    </row>
    <row r="2641" spans="3044:3059">
      <c r="DMB2641" s="17"/>
      <c r="DMC2641" s="17"/>
      <c r="DMD2641" s="17"/>
      <c r="DME2641" s="17"/>
      <c r="DMF2641" s="17"/>
      <c r="DMG2641" s="17"/>
      <c r="DMH2641" s="17"/>
      <c r="DMI2641" s="17"/>
      <c r="DMJ2641" s="17"/>
      <c r="DMK2641" s="17"/>
      <c r="DML2641" s="17"/>
      <c r="DMM2641" s="17"/>
      <c r="DMN2641" s="17"/>
      <c r="DMO2641" s="17"/>
      <c r="DMP2641" s="17"/>
      <c r="DMQ2641" s="17"/>
    </row>
    <row r="2642" spans="3044:3059">
      <c r="DMB2642" s="17"/>
      <c r="DMC2642" s="17"/>
      <c r="DMD2642" s="17"/>
      <c r="DME2642" s="17"/>
      <c r="DMF2642" s="17"/>
      <c r="DMG2642" s="17"/>
      <c r="DMH2642" s="17"/>
      <c r="DMI2642" s="17"/>
      <c r="DMJ2642" s="17"/>
      <c r="DMK2642" s="17"/>
      <c r="DML2642" s="17"/>
      <c r="DMM2642" s="17"/>
      <c r="DMN2642" s="17"/>
      <c r="DMO2642" s="17"/>
      <c r="DMP2642" s="17"/>
      <c r="DMQ2642" s="17"/>
    </row>
    <row r="2643" spans="3044:3059">
      <c r="DMB2643" s="17"/>
      <c r="DMC2643" s="17"/>
      <c r="DMD2643" s="17"/>
      <c r="DME2643" s="17"/>
      <c r="DMF2643" s="17"/>
      <c r="DMG2643" s="17"/>
      <c r="DMH2643" s="17"/>
      <c r="DMI2643" s="17"/>
      <c r="DMJ2643" s="17"/>
      <c r="DMK2643" s="17"/>
      <c r="DML2643" s="17"/>
      <c r="DMM2643" s="17"/>
      <c r="DMN2643" s="17"/>
      <c r="DMO2643" s="17"/>
      <c r="DMP2643" s="17"/>
      <c r="DMQ2643" s="17"/>
    </row>
    <row r="2644" spans="3044:3059">
      <c r="DMB2644" s="17"/>
      <c r="DMC2644" s="17"/>
      <c r="DMD2644" s="17"/>
      <c r="DME2644" s="17"/>
      <c r="DMF2644" s="17"/>
      <c r="DMG2644" s="17"/>
      <c r="DMH2644" s="17"/>
      <c r="DMI2644" s="17"/>
      <c r="DMJ2644" s="17"/>
      <c r="DMK2644" s="17"/>
      <c r="DML2644" s="17"/>
      <c r="DMM2644" s="17"/>
      <c r="DMN2644" s="17"/>
      <c r="DMO2644" s="17"/>
      <c r="DMP2644" s="17"/>
      <c r="DMQ2644" s="17"/>
    </row>
    <row r="2645" spans="3044:3059">
      <c r="DMB2645" s="17"/>
      <c r="DMC2645" s="17"/>
      <c r="DMD2645" s="17"/>
      <c r="DME2645" s="17"/>
      <c r="DMF2645" s="17"/>
      <c r="DMG2645" s="17"/>
      <c r="DMH2645" s="17"/>
      <c r="DMI2645" s="17"/>
      <c r="DMJ2645" s="17"/>
      <c r="DMK2645" s="17"/>
      <c r="DML2645" s="17"/>
      <c r="DMM2645" s="17"/>
      <c r="DMN2645" s="17"/>
      <c r="DMO2645" s="17"/>
      <c r="DMP2645" s="17"/>
      <c r="DMQ2645" s="17"/>
    </row>
    <row r="2646" spans="3044:3059">
      <c r="DMB2646" s="17"/>
      <c r="DMC2646" s="17"/>
      <c r="DMD2646" s="17"/>
      <c r="DME2646" s="17"/>
      <c r="DMF2646" s="17"/>
      <c r="DMG2646" s="17"/>
      <c r="DMH2646" s="17"/>
      <c r="DMI2646" s="17"/>
      <c r="DMJ2646" s="17"/>
      <c r="DMK2646" s="17"/>
      <c r="DML2646" s="17"/>
      <c r="DMM2646" s="17"/>
      <c r="DMN2646" s="17"/>
      <c r="DMO2646" s="17"/>
      <c r="DMP2646" s="17"/>
      <c r="DMQ2646" s="17"/>
    </row>
    <row r="2647" spans="3044:3059">
      <c r="DMB2647" s="17"/>
      <c r="DMC2647" s="17"/>
      <c r="DMD2647" s="17"/>
      <c r="DME2647" s="17"/>
      <c r="DMF2647" s="17"/>
      <c r="DMG2647" s="17"/>
      <c r="DMH2647" s="17"/>
      <c r="DMI2647" s="17"/>
      <c r="DMJ2647" s="17"/>
      <c r="DMK2647" s="17"/>
      <c r="DML2647" s="17"/>
      <c r="DMM2647" s="17"/>
      <c r="DMN2647" s="17"/>
      <c r="DMO2647" s="17"/>
      <c r="DMP2647" s="17"/>
      <c r="DMQ2647" s="17"/>
    </row>
    <row r="2648" spans="3044:3059">
      <c r="DMB2648" s="17"/>
      <c r="DMC2648" s="17"/>
      <c r="DMD2648" s="17"/>
      <c r="DME2648" s="17"/>
      <c r="DMF2648" s="17"/>
      <c r="DMG2648" s="17"/>
      <c r="DMH2648" s="17"/>
      <c r="DMI2648" s="17"/>
      <c r="DMJ2648" s="17"/>
      <c r="DMK2648" s="17"/>
      <c r="DML2648" s="17"/>
      <c r="DMM2648" s="17"/>
      <c r="DMN2648" s="17"/>
      <c r="DMO2648" s="17"/>
      <c r="DMP2648" s="17"/>
      <c r="DMQ2648" s="17"/>
    </row>
    <row r="2649" spans="3044:3059">
      <c r="DMB2649" s="17"/>
      <c r="DMC2649" s="17"/>
      <c r="DMD2649" s="17"/>
      <c r="DME2649" s="17"/>
      <c r="DMF2649" s="17"/>
      <c r="DMG2649" s="17"/>
      <c r="DMH2649" s="17"/>
      <c r="DMI2649" s="17"/>
      <c r="DMJ2649" s="17"/>
      <c r="DMK2649" s="17"/>
      <c r="DML2649" s="17"/>
      <c r="DMM2649" s="17"/>
      <c r="DMN2649" s="17"/>
      <c r="DMO2649" s="17"/>
      <c r="DMP2649" s="17"/>
      <c r="DMQ2649" s="17"/>
    </row>
    <row r="2650" spans="3044:3059">
      <c r="DMB2650" s="17"/>
      <c r="DMC2650" s="17"/>
      <c r="DMD2650" s="17"/>
      <c r="DME2650" s="17"/>
      <c r="DMF2650" s="17"/>
      <c r="DMG2650" s="17"/>
      <c r="DMH2650" s="17"/>
      <c r="DMI2650" s="17"/>
      <c r="DMJ2650" s="17"/>
      <c r="DMK2650" s="17"/>
      <c r="DML2650" s="17"/>
      <c r="DMM2650" s="17"/>
      <c r="DMN2650" s="17"/>
      <c r="DMO2650" s="17"/>
      <c r="DMP2650" s="17"/>
      <c r="DMQ2650" s="17"/>
    </row>
    <row r="2651" spans="3044:3059">
      <c r="DMB2651" s="17"/>
      <c r="DMC2651" s="17"/>
      <c r="DMD2651" s="17"/>
      <c r="DME2651" s="17"/>
      <c r="DMF2651" s="17"/>
      <c r="DMG2651" s="17"/>
      <c r="DMH2651" s="17"/>
      <c r="DMI2651" s="17"/>
      <c r="DMJ2651" s="17"/>
      <c r="DMK2651" s="17"/>
      <c r="DML2651" s="17"/>
      <c r="DMM2651" s="17"/>
      <c r="DMN2651" s="17"/>
      <c r="DMO2651" s="17"/>
      <c r="DMP2651" s="17"/>
      <c r="DMQ2651" s="17"/>
    </row>
    <row r="2652" spans="3044:3059">
      <c r="DMB2652" s="17"/>
      <c r="DMC2652" s="17"/>
      <c r="DMD2652" s="17"/>
      <c r="DME2652" s="17"/>
      <c r="DMF2652" s="17"/>
      <c r="DMG2652" s="17"/>
      <c r="DMH2652" s="17"/>
      <c r="DMI2652" s="17"/>
      <c r="DMJ2652" s="17"/>
      <c r="DMK2652" s="17"/>
      <c r="DML2652" s="17"/>
      <c r="DMM2652" s="17"/>
      <c r="DMN2652" s="17"/>
      <c r="DMO2652" s="17"/>
      <c r="DMP2652" s="17"/>
      <c r="DMQ2652" s="17"/>
    </row>
    <row r="2653" spans="3044:3059">
      <c r="DMB2653" s="17"/>
      <c r="DMC2653" s="17"/>
      <c r="DMD2653" s="17"/>
      <c r="DME2653" s="17"/>
      <c r="DMF2653" s="17"/>
      <c r="DMG2653" s="17"/>
      <c r="DMH2653" s="17"/>
      <c r="DMI2653" s="17"/>
      <c r="DMJ2653" s="17"/>
      <c r="DMK2653" s="17"/>
      <c r="DML2653" s="17"/>
      <c r="DMM2653" s="17"/>
      <c r="DMN2653" s="17"/>
      <c r="DMO2653" s="17"/>
      <c r="DMP2653" s="17"/>
      <c r="DMQ2653" s="17"/>
    </row>
    <row r="2654" spans="3044:3059">
      <c r="DMB2654" s="17"/>
      <c r="DMC2654" s="17"/>
      <c r="DMD2654" s="17"/>
      <c r="DME2654" s="17"/>
      <c r="DMF2654" s="17"/>
      <c r="DMG2654" s="17"/>
      <c r="DMH2654" s="17"/>
      <c r="DMI2654" s="17"/>
      <c r="DMJ2654" s="17"/>
      <c r="DMK2654" s="17"/>
      <c r="DML2654" s="17"/>
      <c r="DMM2654" s="17"/>
      <c r="DMN2654" s="17"/>
      <c r="DMO2654" s="17"/>
      <c r="DMP2654" s="17"/>
      <c r="DMQ2654" s="17"/>
    </row>
    <row r="2655" spans="3044:3059">
      <c r="DMB2655" s="17"/>
      <c r="DMC2655" s="17"/>
      <c r="DMD2655" s="17"/>
      <c r="DME2655" s="17"/>
      <c r="DMF2655" s="17"/>
      <c r="DMG2655" s="17"/>
      <c r="DMH2655" s="17"/>
      <c r="DMI2655" s="17"/>
      <c r="DMJ2655" s="17"/>
      <c r="DMK2655" s="17"/>
      <c r="DML2655" s="17"/>
      <c r="DMM2655" s="17"/>
      <c r="DMN2655" s="17"/>
      <c r="DMO2655" s="17"/>
      <c r="DMP2655" s="17"/>
      <c r="DMQ2655" s="17"/>
    </row>
    <row r="2656" spans="3044:3059">
      <c r="DMB2656" s="17"/>
      <c r="DMC2656" s="17"/>
      <c r="DMD2656" s="17"/>
      <c r="DME2656" s="17"/>
      <c r="DMF2656" s="17"/>
      <c r="DMG2656" s="17"/>
      <c r="DMH2656" s="17"/>
      <c r="DMI2656" s="17"/>
      <c r="DMJ2656" s="17"/>
      <c r="DMK2656" s="17"/>
      <c r="DML2656" s="17"/>
      <c r="DMM2656" s="17"/>
      <c r="DMN2656" s="17"/>
      <c r="DMO2656" s="17"/>
      <c r="DMP2656" s="17"/>
      <c r="DMQ2656" s="17"/>
    </row>
    <row r="2657" spans="3044:3059">
      <c r="DMB2657" s="17"/>
      <c r="DMC2657" s="17"/>
      <c r="DMD2657" s="17"/>
      <c r="DME2657" s="17"/>
      <c r="DMF2657" s="17"/>
      <c r="DMG2657" s="17"/>
      <c r="DMH2657" s="17"/>
      <c r="DMI2657" s="17"/>
      <c r="DMJ2657" s="17"/>
      <c r="DMK2657" s="17"/>
      <c r="DML2657" s="17"/>
      <c r="DMM2657" s="17"/>
      <c r="DMN2657" s="17"/>
      <c r="DMO2657" s="17"/>
      <c r="DMP2657" s="17"/>
      <c r="DMQ2657" s="17"/>
    </row>
    <row r="2658" spans="3044:3059">
      <c r="DMB2658" s="17"/>
      <c r="DMC2658" s="17"/>
      <c r="DMD2658" s="17"/>
      <c r="DME2658" s="17"/>
      <c r="DMF2658" s="17"/>
      <c r="DMG2658" s="17"/>
      <c r="DMH2658" s="17"/>
      <c r="DMI2658" s="17"/>
      <c r="DMJ2658" s="17"/>
      <c r="DMK2658" s="17"/>
      <c r="DML2658" s="17"/>
      <c r="DMM2658" s="17"/>
      <c r="DMN2658" s="17"/>
      <c r="DMO2658" s="17"/>
      <c r="DMP2658" s="17"/>
      <c r="DMQ2658" s="17"/>
    </row>
    <row r="2659" spans="3044:3059">
      <c r="DMB2659" s="17"/>
      <c r="DMC2659" s="17"/>
      <c r="DMD2659" s="17"/>
      <c r="DME2659" s="17"/>
      <c r="DMF2659" s="17"/>
      <c r="DMG2659" s="17"/>
      <c r="DMH2659" s="17"/>
      <c r="DMI2659" s="17"/>
      <c r="DMJ2659" s="17"/>
      <c r="DMK2659" s="17"/>
      <c r="DML2659" s="17"/>
      <c r="DMM2659" s="17"/>
      <c r="DMN2659" s="17"/>
      <c r="DMO2659" s="17"/>
      <c r="DMP2659" s="17"/>
      <c r="DMQ2659" s="17"/>
    </row>
    <row r="2660" spans="3044:3059">
      <c r="DMB2660" s="17"/>
      <c r="DMC2660" s="17"/>
      <c r="DMD2660" s="17"/>
      <c r="DME2660" s="17"/>
      <c r="DMF2660" s="17"/>
      <c r="DMG2660" s="17"/>
      <c r="DMH2660" s="17"/>
      <c r="DMI2660" s="17"/>
      <c r="DMJ2660" s="17"/>
      <c r="DMK2660" s="17"/>
      <c r="DML2660" s="17"/>
      <c r="DMM2660" s="17"/>
      <c r="DMN2660" s="17"/>
      <c r="DMO2660" s="17"/>
      <c r="DMP2660" s="17"/>
      <c r="DMQ2660" s="17"/>
    </row>
    <row r="2661" spans="3044:3059">
      <c r="DMB2661" s="17"/>
      <c r="DMC2661" s="17"/>
      <c r="DMD2661" s="17"/>
      <c r="DME2661" s="17"/>
      <c r="DMF2661" s="17"/>
      <c r="DMG2661" s="17"/>
      <c r="DMH2661" s="17"/>
      <c r="DMI2661" s="17"/>
      <c r="DMJ2661" s="17"/>
      <c r="DMK2661" s="17"/>
      <c r="DML2661" s="17"/>
      <c r="DMM2661" s="17"/>
      <c r="DMN2661" s="17"/>
      <c r="DMO2661" s="17"/>
      <c r="DMP2661" s="17"/>
      <c r="DMQ2661" s="17"/>
    </row>
    <row r="2662" spans="3044:3059">
      <c r="DMB2662" s="17"/>
      <c r="DMC2662" s="17"/>
      <c r="DMD2662" s="17"/>
      <c r="DME2662" s="17"/>
      <c r="DMF2662" s="17"/>
      <c r="DMG2662" s="17"/>
      <c r="DMH2662" s="17"/>
      <c r="DMI2662" s="17"/>
      <c r="DMJ2662" s="17"/>
      <c r="DMK2662" s="17"/>
      <c r="DML2662" s="17"/>
      <c r="DMM2662" s="17"/>
      <c r="DMN2662" s="17"/>
      <c r="DMO2662" s="17"/>
      <c r="DMP2662" s="17"/>
      <c r="DMQ2662" s="17"/>
    </row>
    <row r="2663" spans="3044:3059">
      <c r="DMB2663" s="17"/>
      <c r="DMC2663" s="17"/>
      <c r="DMD2663" s="17"/>
      <c r="DME2663" s="17"/>
      <c r="DMF2663" s="17"/>
      <c r="DMG2663" s="17"/>
      <c r="DMH2663" s="17"/>
      <c r="DMI2663" s="17"/>
      <c r="DMJ2663" s="17"/>
      <c r="DMK2663" s="17"/>
      <c r="DML2663" s="17"/>
      <c r="DMM2663" s="17"/>
      <c r="DMN2663" s="17"/>
      <c r="DMO2663" s="17"/>
      <c r="DMP2663" s="17"/>
      <c r="DMQ2663" s="17"/>
    </row>
    <row r="2664" spans="3044:3059">
      <c r="DMB2664" s="17"/>
      <c r="DMC2664" s="17"/>
      <c r="DMD2664" s="17"/>
      <c r="DME2664" s="17"/>
      <c r="DMF2664" s="17"/>
      <c r="DMG2664" s="17"/>
      <c r="DMH2664" s="17"/>
      <c r="DMI2664" s="17"/>
      <c r="DMJ2664" s="17"/>
      <c r="DMK2664" s="17"/>
      <c r="DML2664" s="17"/>
      <c r="DMM2664" s="17"/>
      <c r="DMN2664" s="17"/>
      <c r="DMO2664" s="17"/>
      <c r="DMP2664" s="17"/>
      <c r="DMQ2664" s="17"/>
    </row>
    <row r="2665" spans="3044:3059">
      <c r="DMB2665" s="17"/>
      <c r="DMC2665" s="17"/>
      <c r="DMD2665" s="17"/>
      <c r="DME2665" s="17"/>
      <c r="DMF2665" s="17"/>
      <c r="DMG2665" s="17"/>
      <c r="DMH2665" s="17"/>
      <c r="DMI2665" s="17"/>
      <c r="DMJ2665" s="17"/>
      <c r="DMK2665" s="17"/>
      <c r="DML2665" s="17"/>
      <c r="DMM2665" s="17"/>
      <c r="DMN2665" s="17"/>
      <c r="DMO2665" s="17"/>
      <c r="DMP2665" s="17"/>
      <c r="DMQ2665" s="17"/>
    </row>
    <row r="2666" spans="3044:3059">
      <c r="DMB2666" s="17"/>
      <c r="DMC2666" s="17"/>
      <c r="DMD2666" s="17"/>
      <c r="DME2666" s="17"/>
      <c r="DMF2666" s="17"/>
      <c r="DMG2666" s="17"/>
      <c r="DMH2666" s="17"/>
      <c r="DMI2666" s="17"/>
      <c r="DMJ2666" s="17"/>
      <c r="DMK2666" s="17"/>
      <c r="DML2666" s="17"/>
      <c r="DMM2666" s="17"/>
      <c r="DMN2666" s="17"/>
      <c r="DMO2666" s="17"/>
      <c r="DMP2666" s="17"/>
      <c r="DMQ2666" s="17"/>
    </row>
    <row r="2667" spans="3044:3059">
      <c r="DMB2667" s="17"/>
      <c r="DMC2667" s="17"/>
      <c r="DMD2667" s="17"/>
      <c r="DME2667" s="17"/>
      <c r="DMF2667" s="17"/>
      <c r="DMG2667" s="17"/>
      <c r="DMH2667" s="17"/>
      <c r="DMI2667" s="17"/>
      <c r="DMJ2667" s="17"/>
      <c r="DMK2667" s="17"/>
      <c r="DML2667" s="17"/>
      <c r="DMM2667" s="17"/>
      <c r="DMN2667" s="17"/>
      <c r="DMO2667" s="17"/>
      <c r="DMP2667" s="17"/>
      <c r="DMQ2667" s="17"/>
    </row>
    <row r="2668" spans="3044:3059">
      <c r="DMB2668" s="17"/>
      <c r="DMC2668" s="17"/>
      <c r="DMD2668" s="17"/>
      <c r="DME2668" s="17"/>
      <c r="DMF2668" s="17"/>
      <c r="DMG2668" s="17"/>
      <c r="DMH2668" s="17"/>
      <c r="DMI2668" s="17"/>
      <c r="DMJ2668" s="17"/>
      <c r="DMK2668" s="17"/>
      <c r="DML2668" s="17"/>
      <c r="DMM2668" s="17"/>
      <c r="DMN2668" s="17"/>
      <c r="DMO2668" s="17"/>
      <c r="DMP2668" s="17"/>
      <c r="DMQ2668" s="17"/>
    </row>
    <row r="2669" spans="3044:3059">
      <c r="DMB2669" s="17"/>
      <c r="DMC2669" s="17"/>
      <c r="DMD2669" s="17"/>
      <c r="DME2669" s="17"/>
      <c r="DMF2669" s="17"/>
      <c r="DMG2669" s="17"/>
      <c r="DMH2669" s="17"/>
      <c r="DMI2669" s="17"/>
      <c r="DMJ2669" s="17"/>
      <c r="DMK2669" s="17"/>
      <c r="DML2669" s="17"/>
      <c r="DMM2669" s="17"/>
      <c r="DMN2669" s="17"/>
      <c r="DMO2669" s="17"/>
      <c r="DMP2669" s="17"/>
      <c r="DMQ2669" s="17"/>
    </row>
    <row r="2670" spans="3044:3059">
      <c r="DMB2670" s="17"/>
      <c r="DMC2670" s="17"/>
      <c r="DMD2670" s="17"/>
      <c r="DME2670" s="17"/>
      <c r="DMF2670" s="17"/>
      <c r="DMG2670" s="17"/>
      <c r="DMH2670" s="17"/>
      <c r="DMI2670" s="17"/>
      <c r="DMJ2670" s="17"/>
      <c r="DMK2670" s="17"/>
      <c r="DML2670" s="17"/>
      <c r="DMM2670" s="17"/>
      <c r="DMN2670" s="17"/>
      <c r="DMO2670" s="17"/>
      <c r="DMP2670" s="17"/>
      <c r="DMQ2670" s="17"/>
    </row>
    <row r="2671" spans="3044:3059">
      <c r="DMB2671" s="17"/>
      <c r="DMC2671" s="17"/>
      <c r="DMD2671" s="17"/>
      <c r="DME2671" s="17"/>
      <c r="DMF2671" s="17"/>
      <c r="DMG2671" s="17"/>
      <c r="DMH2671" s="17"/>
      <c r="DMI2671" s="17"/>
      <c r="DMJ2671" s="17"/>
      <c r="DMK2671" s="17"/>
      <c r="DML2671" s="17"/>
      <c r="DMM2671" s="17"/>
      <c r="DMN2671" s="17"/>
      <c r="DMO2671" s="17"/>
      <c r="DMP2671" s="17"/>
      <c r="DMQ2671" s="17"/>
    </row>
    <row r="2672" spans="3044:3059">
      <c r="DMB2672" s="17"/>
      <c r="DMC2672" s="17"/>
      <c r="DMD2672" s="17"/>
      <c r="DME2672" s="17"/>
      <c r="DMF2672" s="17"/>
      <c r="DMG2672" s="17"/>
      <c r="DMH2672" s="17"/>
      <c r="DMI2672" s="17"/>
      <c r="DMJ2672" s="17"/>
      <c r="DMK2672" s="17"/>
      <c r="DML2672" s="17"/>
      <c r="DMM2672" s="17"/>
      <c r="DMN2672" s="17"/>
      <c r="DMO2672" s="17"/>
      <c r="DMP2672" s="17"/>
      <c r="DMQ2672" s="17"/>
    </row>
    <row r="2673" spans="3044:3059">
      <c r="DMB2673" s="17"/>
      <c r="DMC2673" s="17"/>
      <c r="DMD2673" s="17"/>
      <c r="DME2673" s="17"/>
      <c r="DMF2673" s="17"/>
      <c r="DMG2673" s="17"/>
      <c r="DMH2673" s="17"/>
      <c r="DMI2673" s="17"/>
      <c r="DMJ2673" s="17"/>
      <c r="DMK2673" s="17"/>
      <c r="DML2673" s="17"/>
      <c r="DMM2673" s="17"/>
      <c r="DMN2673" s="17"/>
      <c r="DMO2673" s="17"/>
      <c r="DMP2673" s="17"/>
      <c r="DMQ2673" s="17"/>
    </row>
    <row r="2674" spans="3044:3059">
      <c r="DMB2674" s="17"/>
      <c r="DMC2674" s="17"/>
      <c r="DMD2674" s="17"/>
      <c r="DME2674" s="17"/>
      <c r="DMF2674" s="17"/>
      <c r="DMG2674" s="17"/>
      <c r="DMH2674" s="17"/>
      <c r="DMI2674" s="17"/>
      <c r="DMJ2674" s="17"/>
      <c r="DMK2674" s="17"/>
      <c r="DML2674" s="17"/>
      <c r="DMM2674" s="17"/>
      <c r="DMN2674" s="17"/>
      <c r="DMO2674" s="17"/>
      <c r="DMP2674" s="17"/>
      <c r="DMQ2674" s="17"/>
    </row>
    <row r="2675" spans="3044:3059">
      <c r="DMB2675" s="17"/>
      <c r="DMC2675" s="17"/>
      <c r="DMD2675" s="17"/>
      <c r="DME2675" s="17"/>
      <c r="DMF2675" s="17"/>
      <c r="DMG2675" s="17"/>
      <c r="DMH2675" s="17"/>
      <c r="DMI2675" s="17"/>
      <c r="DMJ2675" s="17"/>
      <c r="DMK2675" s="17"/>
      <c r="DML2675" s="17"/>
      <c r="DMM2675" s="17"/>
      <c r="DMN2675" s="17"/>
      <c r="DMO2675" s="17"/>
      <c r="DMP2675" s="17"/>
      <c r="DMQ2675" s="17"/>
    </row>
    <row r="2676" spans="3044:3059">
      <c r="DMB2676" s="17"/>
      <c r="DMC2676" s="17"/>
      <c r="DMD2676" s="17"/>
      <c r="DME2676" s="17"/>
      <c r="DMF2676" s="17"/>
      <c r="DMG2676" s="17"/>
      <c r="DMH2676" s="17"/>
      <c r="DMI2676" s="17"/>
      <c r="DMJ2676" s="17"/>
      <c r="DMK2676" s="17"/>
      <c r="DML2676" s="17"/>
      <c r="DMM2676" s="17"/>
      <c r="DMN2676" s="17"/>
      <c r="DMO2676" s="17"/>
      <c r="DMP2676" s="17"/>
      <c r="DMQ2676" s="17"/>
    </row>
    <row r="2677" spans="3044:3059">
      <c r="DMB2677" s="17"/>
      <c r="DMC2677" s="17"/>
      <c r="DMD2677" s="17"/>
      <c r="DME2677" s="17"/>
      <c r="DMF2677" s="17"/>
      <c r="DMG2677" s="17"/>
      <c r="DMH2677" s="17"/>
      <c r="DMI2677" s="17"/>
      <c r="DMJ2677" s="17"/>
      <c r="DMK2677" s="17"/>
      <c r="DML2677" s="17"/>
      <c r="DMM2677" s="17"/>
      <c r="DMN2677" s="17"/>
      <c r="DMO2677" s="17"/>
      <c r="DMP2677" s="17"/>
      <c r="DMQ2677" s="17"/>
    </row>
    <row r="2678" spans="3044:3059">
      <c r="DMB2678" s="17"/>
      <c r="DMC2678" s="17"/>
      <c r="DMD2678" s="17"/>
      <c r="DME2678" s="17"/>
      <c r="DMF2678" s="17"/>
      <c r="DMG2678" s="17"/>
      <c r="DMH2678" s="17"/>
      <c r="DMI2678" s="17"/>
      <c r="DMJ2678" s="17"/>
      <c r="DMK2678" s="17"/>
      <c r="DML2678" s="17"/>
      <c r="DMM2678" s="17"/>
      <c r="DMN2678" s="17"/>
      <c r="DMO2678" s="17"/>
      <c r="DMP2678" s="17"/>
      <c r="DMQ2678" s="17"/>
    </row>
    <row r="2679" spans="3044:3059">
      <c r="DMB2679" s="17"/>
      <c r="DMC2679" s="17"/>
      <c r="DMD2679" s="17"/>
      <c r="DME2679" s="17"/>
      <c r="DMF2679" s="17"/>
      <c r="DMG2679" s="17"/>
      <c r="DMH2679" s="17"/>
      <c r="DMI2679" s="17"/>
      <c r="DMJ2679" s="17"/>
      <c r="DMK2679" s="17"/>
      <c r="DML2679" s="17"/>
      <c r="DMM2679" s="17"/>
      <c r="DMN2679" s="17"/>
      <c r="DMO2679" s="17"/>
      <c r="DMP2679" s="17"/>
      <c r="DMQ2679" s="17"/>
    </row>
    <row r="2680" spans="3044:3059">
      <c r="DMB2680" s="17"/>
      <c r="DMC2680" s="17"/>
      <c r="DMD2680" s="17"/>
      <c r="DME2680" s="17"/>
      <c r="DMF2680" s="17"/>
      <c r="DMG2680" s="17"/>
      <c r="DMH2680" s="17"/>
      <c r="DMI2680" s="17"/>
      <c r="DMJ2680" s="17"/>
      <c r="DMK2680" s="17"/>
      <c r="DML2680" s="17"/>
      <c r="DMM2680" s="17"/>
      <c r="DMN2680" s="17"/>
      <c r="DMO2680" s="17"/>
      <c r="DMP2680" s="17"/>
      <c r="DMQ2680" s="17"/>
    </row>
    <row r="2681" spans="3044:3059">
      <c r="DMB2681" s="17"/>
      <c r="DMC2681" s="17"/>
      <c r="DMD2681" s="17"/>
      <c r="DME2681" s="17"/>
      <c r="DMF2681" s="17"/>
      <c r="DMG2681" s="17"/>
      <c r="DMH2681" s="17"/>
      <c r="DMI2681" s="17"/>
      <c r="DMJ2681" s="17"/>
      <c r="DMK2681" s="17"/>
      <c r="DML2681" s="17"/>
      <c r="DMM2681" s="17"/>
      <c r="DMN2681" s="17"/>
      <c r="DMO2681" s="17"/>
      <c r="DMP2681" s="17"/>
      <c r="DMQ2681" s="17"/>
    </row>
    <row r="2682" spans="3044:3059">
      <c r="DMB2682" s="17"/>
      <c r="DMC2682" s="17"/>
      <c r="DMD2682" s="17"/>
      <c r="DME2682" s="17"/>
      <c r="DMF2682" s="17"/>
      <c r="DMG2682" s="17"/>
      <c r="DMH2682" s="17"/>
      <c r="DMI2682" s="17"/>
      <c r="DMJ2682" s="17"/>
      <c r="DMK2682" s="17"/>
      <c r="DML2682" s="17"/>
      <c r="DMM2682" s="17"/>
      <c r="DMN2682" s="17"/>
      <c r="DMO2682" s="17"/>
      <c r="DMP2682" s="17"/>
      <c r="DMQ2682" s="17"/>
    </row>
    <row r="2683" spans="3044:3059">
      <c r="DMB2683" s="17"/>
      <c r="DMC2683" s="17"/>
      <c r="DMD2683" s="17"/>
      <c r="DME2683" s="17"/>
      <c r="DMF2683" s="17"/>
      <c r="DMG2683" s="17"/>
      <c r="DMH2683" s="17"/>
      <c r="DMI2683" s="17"/>
      <c r="DMJ2683" s="17"/>
      <c r="DMK2683" s="17"/>
      <c r="DML2683" s="17"/>
      <c r="DMM2683" s="17"/>
      <c r="DMN2683" s="17"/>
      <c r="DMO2683" s="17"/>
      <c r="DMP2683" s="17"/>
      <c r="DMQ2683" s="17"/>
    </row>
    <row r="2684" spans="3044:3059">
      <c r="DMB2684" s="17"/>
      <c r="DMC2684" s="17"/>
      <c r="DMD2684" s="17"/>
      <c r="DME2684" s="17"/>
      <c r="DMF2684" s="17"/>
      <c r="DMG2684" s="17"/>
      <c r="DMH2684" s="17"/>
      <c r="DMI2684" s="17"/>
      <c r="DMJ2684" s="17"/>
      <c r="DMK2684" s="17"/>
      <c r="DML2684" s="17"/>
      <c r="DMM2684" s="17"/>
      <c r="DMN2684" s="17"/>
      <c r="DMO2684" s="17"/>
      <c r="DMP2684" s="17"/>
      <c r="DMQ2684" s="17"/>
    </row>
    <row r="2685" spans="3044:3059">
      <c r="DMB2685" s="17"/>
      <c r="DMC2685" s="17"/>
      <c r="DMD2685" s="17"/>
      <c r="DME2685" s="17"/>
      <c r="DMF2685" s="17"/>
      <c r="DMG2685" s="17"/>
      <c r="DMH2685" s="17"/>
      <c r="DMI2685" s="17"/>
      <c r="DMJ2685" s="17"/>
      <c r="DMK2685" s="17"/>
      <c r="DML2685" s="17"/>
      <c r="DMM2685" s="17"/>
      <c r="DMN2685" s="17"/>
      <c r="DMO2685" s="17"/>
      <c r="DMP2685" s="17"/>
      <c r="DMQ2685" s="17"/>
    </row>
    <row r="2686" spans="3044:3059">
      <c r="DMB2686" s="17"/>
      <c r="DMC2686" s="17"/>
      <c r="DMD2686" s="17"/>
      <c r="DME2686" s="17"/>
      <c r="DMF2686" s="17"/>
      <c r="DMG2686" s="17"/>
      <c r="DMH2686" s="17"/>
      <c r="DMI2686" s="17"/>
      <c r="DMJ2686" s="17"/>
      <c r="DMK2686" s="17"/>
      <c r="DML2686" s="17"/>
      <c r="DMM2686" s="17"/>
      <c r="DMN2686" s="17"/>
      <c r="DMO2686" s="17"/>
      <c r="DMP2686" s="17"/>
      <c r="DMQ2686" s="17"/>
    </row>
    <row r="2687" spans="3044:3059">
      <c r="DMB2687" s="17"/>
      <c r="DMC2687" s="17"/>
      <c r="DMD2687" s="17"/>
      <c r="DME2687" s="17"/>
      <c r="DMF2687" s="17"/>
      <c r="DMG2687" s="17"/>
      <c r="DMH2687" s="17"/>
      <c r="DMI2687" s="17"/>
      <c r="DMJ2687" s="17"/>
      <c r="DMK2687" s="17"/>
      <c r="DML2687" s="17"/>
      <c r="DMM2687" s="17"/>
      <c r="DMN2687" s="17"/>
      <c r="DMO2687" s="17"/>
      <c r="DMP2687" s="17"/>
      <c r="DMQ2687" s="17"/>
    </row>
    <row r="2688" spans="3044:3059">
      <c r="DMB2688" s="17"/>
      <c r="DMC2688" s="17"/>
      <c r="DMD2688" s="17"/>
      <c r="DME2688" s="17"/>
      <c r="DMF2688" s="17"/>
      <c r="DMG2688" s="17"/>
      <c r="DMH2688" s="17"/>
      <c r="DMI2688" s="17"/>
      <c r="DMJ2688" s="17"/>
      <c r="DMK2688" s="17"/>
      <c r="DML2688" s="17"/>
      <c r="DMM2688" s="17"/>
      <c r="DMN2688" s="17"/>
      <c r="DMO2688" s="17"/>
      <c r="DMP2688" s="17"/>
      <c r="DMQ2688" s="17"/>
    </row>
    <row r="2689" spans="3044:3059">
      <c r="DMB2689" s="17"/>
      <c r="DMC2689" s="17"/>
      <c r="DMD2689" s="17"/>
      <c r="DME2689" s="17"/>
      <c r="DMF2689" s="17"/>
      <c r="DMG2689" s="17"/>
      <c r="DMH2689" s="17"/>
      <c r="DMI2689" s="17"/>
      <c r="DMJ2689" s="17"/>
      <c r="DMK2689" s="17"/>
      <c r="DML2689" s="17"/>
      <c r="DMM2689" s="17"/>
      <c r="DMN2689" s="17"/>
      <c r="DMO2689" s="17"/>
      <c r="DMP2689" s="17"/>
      <c r="DMQ2689" s="17"/>
    </row>
    <row r="2690" spans="3044:3059">
      <c r="DMB2690" s="17"/>
      <c r="DMC2690" s="17"/>
      <c r="DMD2690" s="17"/>
      <c r="DME2690" s="17"/>
      <c r="DMF2690" s="17"/>
      <c r="DMG2690" s="17"/>
      <c r="DMH2690" s="17"/>
      <c r="DMI2690" s="17"/>
      <c r="DMJ2690" s="17"/>
      <c r="DMK2690" s="17"/>
      <c r="DML2690" s="17"/>
      <c r="DMM2690" s="17"/>
      <c r="DMN2690" s="17"/>
      <c r="DMO2690" s="17"/>
      <c r="DMP2690" s="17"/>
      <c r="DMQ2690" s="17"/>
    </row>
    <row r="2691" spans="3044:3059">
      <c r="DMB2691" s="17"/>
      <c r="DMC2691" s="17"/>
      <c r="DMD2691" s="17"/>
      <c r="DME2691" s="17"/>
      <c r="DMF2691" s="17"/>
      <c r="DMG2691" s="17"/>
      <c r="DMH2691" s="17"/>
      <c r="DMI2691" s="17"/>
      <c r="DMJ2691" s="17"/>
      <c r="DMK2691" s="17"/>
      <c r="DML2691" s="17"/>
      <c r="DMM2691" s="17"/>
      <c r="DMN2691" s="17"/>
      <c r="DMO2691" s="17"/>
      <c r="DMP2691" s="17"/>
      <c r="DMQ2691" s="17"/>
    </row>
    <row r="2692" spans="3044:3059">
      <c r="DMB2692" s="17"/>
      <c r="DMC2692" s="17"/>
      <c r="DMD2692" s="17"/>
      <c r="DME2692" s="17"/>
      <c r="DMF2692" s="17"/>
      <c r="DMG2692" s="17"/>
      <c r="DMH2692" s="17"/>
      <c r="DMI2692" s="17"/>
      <c r="DMJ2692" s="17"/>
      <c r="DMK2692" s="17"/>
      <c r="DML2692" s="17"/>
      <c r="DMM2692" s="17"/>
      <c r="DMN2692" s="17"/>
      <c r="DMO2692" s="17"/>
      <c r="DMP2692" s="17"/>
      <c r="DMQ2692" s="17"/>
    </row>
    <row r="2693" spans="3044:3059">
      <c r="DMB2693" s="17"/>
      <c r="DMC2693" s="17"/>
      <c r="DMD2693" s="17"/>
      <c r="DME2693" s="17"/>
      <c r="DMF2693" s="17"/>
      <c r="DMG2693" s="17"/>
      <c r="DMH2693" s="17"/>
      <c r="DMI2693" s="17"/>
      <c r="DMJ2693" s="17"/>
      <c r="DMK2693" s="17"/>
      <c r="DML2693" s="17"/>
      <c r="DMM2693" s="17"/>
      <c r="DMN2693" s="17"/>
      <c r="DMO2693" s="17"/>
      <c r="DMP2693" s="17"/>
      <c r="DMQ2693" s="17"/>
    </row>
    <row r="2694" spans="3044:3059">
      <c r="DMB2694" s="17"/>
      <c r="DMC2694" s="17"/>
      <c r="DMD2694" s="17"/>
      <c r="DME2694" s="17"/>
      <c r="DMF2694" s="17"/>
      <c r="DMG2694" s="17"/>
      <c r="DMH2694" s="17"/>
      <c r="DMI2694" s="17"/>
      <c r="DMJ2694" s="17"/>
      <c r="DMK2694" s="17"/>
      <c r="DML2694" s="17"/>
      <c r="DMM2694" s="17"/>
      <c r="DMN2694" s="17"/>
      <c r="DMO2694" s="17"/>
      <c r="DMP2694" s="17"/>
      <c r="DMQ2694" s="17"/>
    </row>
    <row r="2695" spans="3044:3059">
      <c r="DMB2695" s="17"/>
      <c r="DMC2695" s="17"/>
      <c r="DMD2695" s="17"/>
      <c r="DME2695" s="17"/>
      <c r="DMF2695" s="17"/>
      <c r="DMG2695" s="17"/>
      <c r="DMH2695" s="17"/>
      <c r="DMI2695" s="17"/>
      <c r="DMJ2695" s="17"/>
      <c r="DMK2695" s="17"/>
      <c r="DML2695" s="17"/>
      <c r="DMM2695" s="17"/>
      <c r="DMN2695" s="17"/>
      <c r="DMO2695" s="17"/>
      <c r="DMP2695" s="17"/>
      <c r="DMQ2695" s="17"/>
    </row>
    <row r="2696" spans="3044:3059">
      <c r="DMB2696" s="17"/>
      <c r="DMC2696" s="17"/>
      <c r="DMD2696" s="17"/>
      <c r="DME2696" s="17"/>
      <c r="DMF2696" s="17"/>
      <c r="DMG2696" s="17"/>
      <c r="DMH2696" s="17"/>
      <c r="DMI2696" s="17"/>
      <c r="DMJ2696" s="17"/>
      <c r="DMK2696" s="17"/>
      <c r="DML2696" s="17"/>
      <c r="DMM2696" s="17"/>
      <c r="DMN2696" s="17"/>
      <c r="DMO2696" s="17"/>
      <c r="DMP2696" s="17"/>
      <c r="DMQ2696" s="17"/>
    </row>
    <row r="2697" spans="3044:3059">
      <c r="DMB2697" s="17"/>
      <c r="DMC2697" s="17"/>
      <c r="DMD2697" s="17"/>
      <c r="DME2697" s="17"/>
      <c r="DMF2697" s="17"/>
      <c r="DMG2697" s="17"/>
      <c r="DMH2697" s="17"/>
      <c r="DMI2697" s="17"/>
      <c r="DMJ2697" s="17"/>
      <c r="DMK2697" s="17"/>
      <c r="DML2697" s="17"/>
      <c r="DMM2697" s="17"/>
      <c r="DMN2697" s="17"/>
      <c r="DMO2697" s="17"/>
      <c r="DMP2697" s="17"/>
      <c r="DMQ2697" s="17"/>
    </row>
    <row r="2698" spans="3044:3059">
      <c r="DMB2698" s="17"/>
      <c r="DMC2698" s="17"/>
      <c r="DMD2698" s="17"/>
      <c r="DME2698" s="17"/>
      <c r="DMF2698" s="17"/>
      <c r="DMG2698" s="17"/>
      <c r="DMH2698" s="17"/>
      <c r="DMI2698" s="17"/>
      <c r="DMJ2698" s="17"/>
      <c r="DMK2698" s="17"/>
      <c r="DML2698" s="17"/>
      <c r="DMM2698" s="17"/>
      <c r="DMN2698" s="17"/>
      <c r="DMO2698" s="17"/>
      <c r="DMP2698" s="17"/>
      <c r="DMQ2698" s="17"/>
    </row>
    <row r="2699" spans="3044:3059">
      <c r="DMB2699" s="17"/>
      <c r="DMC2699" s="17"/>
      <c r="DMD2699" s="17"/>
      <c r="DME2699" s="17"/>
      <c r="DMF2699" s="17"/>
      <c r="DMG2699" s="17"/>
      <c r="DMH2699" s="17"/>
      <c r="DMI2699" s="17"/>
      <c r="DMJ2699" s="17"/>
      <c r="DMK2699" s="17"/>
      <c r="DML2699" s="17"/>
      <c r="DMM2699" s="17"/>
      <c r="DMN2699" s="17"/>
      <c r="DMO2699" s="17"/>
      <c r="DMP2699" s="17"/>
      <c r="DMQ2699" s="17"/>
    </row>
    <row r="2700" spans="3044:3059">
      <c r="DMB2700" s="17"/>
      <c r="DMC2700" s="17"/>
      <c r="DMD2700" s="17"/>
      <c r="DME2700" s="17"/>
      <c r="DMF2700" s="17"/>
      <c r="DMG2700" s="17"/>
      <c r="DMH2700" s="17"/>
      <c r="DMI2700" s="17"/>
      <c r="DMJ2700" s="17"/>
      <c r="DMK2700" s="17"/>
      <c r="DML2700" s="17"/>
      <c r="DMM2700" s="17"/>
      <c r="DMN2700" s="17"/>
      <c r="DMO2700" s="17"/>
      <c r="DMP2700" s="17"/>
      <c r="DMQ2700" s="17"/>
    </row>
    <row r="2701" spans="3044:3059">
      <c r="DMB2701" s="17"/>
      <c r="DMC2701" s="17"/>
      <c r="DMD2701" s="17"/>
      <c r="DME2701" s="17"/>
      <c r="DMF2701" s="17"/>
      <c r="DMG2701" s="17"/>
      <c r="DMH2701" s="17"/>
      <c r="DMI2701" s="17"/>
      <c r="DMJ2701" s="17"/>
      <c r="DMK2701" s="17"/>
      <c r="DML2701" s="17"/>
      <c r="DMM2701" s="17"/>
      <c r="DMN2701" s="17"/>
      <c r="DMO2701" s="17"/>
      <c r="DMP2701" s="17"/>
      <c r="DMQ2701" s="17"/>
    </row>
    <row r="2702" spans="3044:3059">
      <c r="DMB2702" s="17"/>
      <c r="DMC2702" s="17"/>
      <c r="DMD2702" s="17"/>
      <c r="DME2702" s="17"/>
      <c r="DMF2702" s="17"/>
      <c r="DMG2702" s="17"/>
      <c r="DMH2702" s="17"/>
      <c r="DMI2702" s="17"/>
      <c r="DMJ2702" s="17"/>
      <c r="DMK2702" s="17"/>
      <c r="DML2702" s="17"/>
      <c r="DMM2702" s="17"/>
      <c r="DMN2702" s="17"/>
      <c r="DMO2702" s="17"/>
      <c r="DMP2702" s="17"/>
      <c r="DMQ2702" s="17"/>
    </row>
    <row r="2703" spans="3044:3059">
      <c r="DMB2703" s="17"/>
      <c r="DMC2703" s="17"/>
      <c r="DMD2703" s="17"/>
      <c r="DME2703" s="17"/>
      <c r="DMF2703" s="17"/>
      <c r="DMG2703" s="17"/>
      <c r="DMH2703" s="17"/>
      <c r="DMI2703" s="17"/>
      <c r="DMJ2703" s="17"/>
      <c r="DMK2703" s="17"/>
      <c r="DML2703" s="17"/>
      <c r="DMM2703" s="17"/>
      <c r="DMN2703" s="17"/>
      <c r="DMO2703" s="17"/>
      <c r="DMP2703" s="17"/>
      <c r="DMQ2703" s="17"/>
    </row>
    <row r="2704" spans="3044:3059">
      <c r="DMB2704" s="17"/>
      <c r="DMC2704" s="17"/>
      <c r="DMD2704" s="17"/>
      <c r="DME2704" s="17"/>
      <c r="DMF2704" s="17"/>
      <c r="DMG2704" s="17"/>
      <c r="DMH2704" s="17"/>
      <c r="DMI2704" s="17"/>
      <c r="DMJ2704" s="17"/>
      <c r="DMK2704" s="17"/>
      <c r="DML2704" s="17"/>
      <c r="DMM2704" s="17"/>
      <c r="DMN2704" s="17"/>
      <c r="DMO2704" s="17"/>
      <c r="DMP2704" s="17"/>
      <c r="DMQ2704" s="17"/>
    </row>
    <row r="2705" spans="3044:3059">
      <c r="DMB2705" s="17"/>
      <c r="DMC2705" s="17"/>
      <c r="DMD2705" s="17"/>
      <c r="DME2705" s="17"/>
      <c r="DMF2705" s="17"/>
      <c r="DMG2705" s="17"/>
      <c r="DMH2705" s="17"/>
      <c r="DMI2705" s="17"/>
      <c r="DMJ2705" s="17"/>
      <c r="DMK2705" s="17"/>
      <c r="DML2705" s="17"/>
      <c r="DMM2705" s="17"/>
      <c r="DMN2705" s="17"/>
      <c r="DMO2705" s="17"/>
      <c r="DMP2705" s="17"/>
      <c r="DMQ2705" s="17"/>
    </row>
    <row r="2706" spans="3044:3059">
      <c r="DMB2706" s="17"/>
      <c r="DMC2706" s="17"/>
      <c r="DMD2706" s="17"/>
      <c r="DME2706" s="17"/>
      <c r="DMF2706" s="17"/>
      <c r="DMG2706" s="17"/>
      <c r="DMH2706" s="17"/>
      <c r="DMI2706" s="17"/>
      <c r="DMJ2706" s="17"/>
      <c r="DMK2706" s="17"/>
      <c r="DML2706" s="17"/>
      <c r="DMM2706" s="17"/>
      <c r="DMN2706" s="17"/>
      <c r="DMO2706" s="17"/>
      <c r="DMP2706" s="17"/>
      <c r="DMQ2706" s="17"/>
    </row>
    <row r="2707" spans="3044:3059">
      <c r="DMB2707" s="17"/>
      <c r="DMC2707" s="17"/>
      <c r="DMD2707" s="17"/>
      <c r="DME2707" s="17"/>
      <c r="DMF2707" s="17"/>
      <c r="DMG2707" s="17"/>
      <c r="DMH2707" s="17"/>
      <c r="DMI2707" s="17"/>
      <c r="DMJ2707" s="17"/>
      <c r="DMK2707" s="17"/>
      <c r="DML2707" s="17"/>
      <c r="DMM2707" s="17"/>
      <c r="DMN2707" s="17"/>
      <c r="DMO2707" s="17"/>
      <c r="DMP2707" s="17"/>
      <c r="DMQ2707" s="17"/>
    </row>
    <row r="2708" spans="3044:3059">
      <c r="DMB2708" s="17"/>
      <c r="DMC2708" s="17"/>
      <c r="DMD2708" s="17"/>
      <c r="DME2708" s="17"/>
      <c r="DMF2708" s="17"/>
      <c r="DMG2708" s="17"/>
      <c r="DMH2708" s="17"/>
      <c r="DMI2708" s="17"/>
      <c r="DMJ2708" s="17"/>
      <c r="DMK2708" s="17"/>
      <c r="DML2708" s="17"/>
      <c r="DMM2708" s="17"/>
      <c r="DMN2708" s="17"/>
      <c r="DMO2708" s="17"/>
      <c r="DMP2708" s="17"/>
      <c r="DMQ2708" s="17"/>
    </row>
    <row r="2709" spans="3044:3059">
      <c r="DMB2709" s="17"/>
      <c r="DMC2709" s="17"/>
      <c r="DMD2709" s="17"/>
      <c r="DME2709" s="17"/>
      <c r="DMF2709" s="17"/>
      <c r="DMG2709" s="17"/>
      <c r="DMH2709" s="17"/>
      <c r="DMI2709" s="17"/>
      <c r="DMJ2709" s="17"/>
      <c r="DMK2709" s="17"/>
      <c r="DML2709" s="17"/>
      <c r="DMM2709" s="17"/>
      <c r="DMN2709" s="17"/>
      <c r="DMO2709" s="17"/>
      <c r="DMP2709" s="17"/>
      <c r="DMQ2709" s="17"/>
    </row>
    <row r="2710" spans="3044:3059">
      <c r="DMB2710" s="17"/>
      <c r="DMC2710" s="17"/>
      <c r="DMD2710" s="17"/>
      <c r="DME2710" s="17"/>
      <c r="DMF2710" s="17"/>
      <c r="DMG2710" s="17"/>
      <c r="DMH2710" s="17"/>
      <c r="DMI2710" s="17"/>
      <c r="DMJ2710" s="17"/>
      <c r="DMK2710" s="17"/>
      <c r="DML2710" s="17"/>
      <c r="DMM2710" s="17"/>
      <c r="DMN2710" s="17"/>
      <c r="DMO2710" s="17"/>
      <c r="DMP2710" s="17"/>
      <c r="DMQ2710" s="17"/>
    </row>
    <row r="2711" spans="3044:3059">
      <c r="DMB2711" s="17"/>
      <c r="DMC2711" s="17"/>
      <c r="DMD2711" s="17"/>
      <c r="DME2711" s="17"/>
      <c r="DMF2711" s="17"/>
      <c r="DMG2711" s="17"/>
      <c r="DMH2711" s="17"/>
      <c r="DMI2711" s="17"/>
      <c r="DMJ2711" s="17"/>
      <c r="DMK2711" s="17"/>
      <c r="DML2711" s="17"/>
      <c r="DMM2711" s="17"/>
      <c r="DMN2711" s="17"/>
      <c r="DMO2711" s="17"/>
      <c r="DMP2711" s="17"/>
      <c r="DMQ2711" s="17"/>
    </row>
    <row r="2712" spans="3044:3059">
      <c r="DMB2712" s="17"/>
      <c r="DMC2712" s="17"/>
      <c r="DMD2712" s="17"/>
      <c r="DME2712" s="17"/>
      <c r="DMF2712" s="17"/>
      <c r="DMG2712" s="17"/>
      <c r="DMH2712" s="17"/>
      <c r="DMI2712" s="17"/>
      <c r="DMJ2712" s="17"/>
      <c r="DMK2712" s="17"/>
      <c r="DML2712" s="17"/>
      <c r="DMM2712" s="17"/>
      <c r="DMN2712" s="17"/>
      <c r="DMO2712" s="17"/>
      <c r="DMP2712" s="17"/>
      <c r="DMQ2712" s="17"/>
    </row>
    <row r="2713" spans="3044:3059">
      <c r="DMB2713" s="17"/>
      <c r="DMC2713" s="17"/>
      <c r="DMD2713" s="17"/>
      <c r="DME2713" s="17"/>
      <c r="DMF2713" s="17"/>
      <c r="DMG2713" s="17"/>
      <c r="DMH2713" s="17"/>
      <c r="DMI2713" s="17"/>
      <c r="DMJ2713" s="17"/>
      <c r="DMK2713" s="17"/>
      <c r="DML2713" s="17"/>
      <c r="DMM2713" s="17"/>
      <c r="DMN2713" s="17"/>
      <c r="DMO2713" s="17"/>
      <c r="DMP2713" s="17"/>
      <c r="DMQ2713" s="17"/>
    </row>
    <row r="2714" spans="3044:3059">
      <c r="DMB2714" s="17"/>
      <c r="DMC2714" s="17"/>
      <c r="DMD2714" s="17"/>
      <c r="DME2714" s="17"/>
      <c r="DMF2714" s="17"/>
      <c r="DMG2714" s="17"/>
      <c r="DMH2714" s="17"/>
      <c r="DMI2714" s="17"/>
      <c r="DMJ2714" s="17"/>
      <c r="DMK2714" s="17"/>
      <c r="DML2714" s="17"/>
      <c r="DMM2714" s="17"/>
      <c r="DMN2714" s="17"/>
      <c r="DMO2714" s="17"/>
      <c r="DMP2714" s="17"/>
      <c r="DMQ2714" s="17"/>
    </row>
    <row r="2715" spans="3044:3059">
      <c r="DMB2715" s="17"/>
      <c r="DMC2715" s="17"/>
      <c r="DMD2715" s="17"/>
      <c r="DME2715" s="17"/>
      <c r="DMF2715" s="17"/>
      <c r="DMG2715" s="17"/>
      <c r="DMH2715" s="17"/>
      <c r="DMI2715" s="17"/>
      <c r="DMJ2715" s="17"/>
      <c r="DMK2715" s="17"/>
      <c r="DML2715" s="17"/>
      <c r="DMM2715" s="17"/>
      <c r="DMN2715" s="17"/>
      <c r="DMO2715" s="17"/>
      <c r="DMP2715" s="17"/>
      <c r="DMQ2715" s="17"/>
    </row>
    <row r="2716" spans="3044:3059">
      <c r="DMB2716" s="17"/>
      <c r="DMC2716" s="17"/>
      <c r="DMD2716" s="17"/>
      <c r="DME2716" s="17"/>
      <c r="DMF2716" s="17"/>
      <c r="DMG2716" s="17"/>
      <c r="DMH2716" s="17"/>
      <c r="DMI2716" s="17"/>
      <c r="DMJ2716" s="17"/>
      <c r="DMK2716" s="17"/>
      <c r="DML2716" s="17"/>
      <c r="DMM2716" s="17"/>
      <c r="DMN2716" s="17"/>
      <c r="DMO2716" s="17"/>
      <c r="DMP2716" s="17"/>
      <c r="DMQ2716" s="17"/>
    </row>
    <row r="2717" spans="3044:3059">
      <c r="DMB2717" s="17"/>
      <c r="DMC2717" s="17"/>
      <c r="DMD2717" s="17"/>
      <c r="DME2717" s="17"/>
      <c r="DMF2717" s="17"/>
      <c r="DMG2717" s="17"/>
      <c r="DMH2717" s="17"/>
      <c r="DMI2717" s="17"/>
      <c r="DMJ2717" s="17"/>
      <c r="DMK2717" s="17"/>
      <c r="DML2717" s="17"/>
      <c r="DMM2717" s="17"/>
      <c r="DMN2717" s="17"/>
      <c r="DMO2717" s="17"/>
      <c r="DMP2717" s="17"/>
      <c r="DMQ2717" s="17"/>
    </row>
    <row r="2718" spans="3044:3059">
      <c r="DMB2718" s="17"/>
      <c r="DMC2718" s="17"/>
      <c r="DMD2718" s="17"/>
      <c r="DME2718" s="17"/>
      <c r="DMF2718" s="17"/>
      <c r="DMG2718" s="17"/>
      <c r="DMH2718" s="17"/>
      <c r="DMI2718" s="17"/>
      <c r="DMJ2718" s="17"/>
      <c r="DMK2718" s="17"/>
      <c r="DML2718" s="17"/>
      <c r="DMM2718" s="17"/>
      <c r="DMN2718" s="17"/>
      <c r="DMO2718" s="17"/>
      <c r="DMP2718" s="17"/>
      <c r="DMQ2718" s="17"/>
    </row>
    <row r="2719" spans="3044:3059">
      <c r="DMB2719" s="17"/>
      <c r="DMC2719" s="17"/>
      <c r="DMD2719" s="17"/>
      <c r="DME2719" s="17"/>
      <c r="DMF2719" s="17"/>
      <c r="DMG2719" s="17"/>
      <c r="DMH2719" s="17"/>
      <c r="DMI2719" s="17"/>
      <c r="DMJ2719" s="17"/>
      <c r="DMK2719" s="17"/>
      <c r="DML2719" s="17"/>
      <c r="DMM2719" s="17"/>
      <c r="DMN2719" s="17"/>
      <c r="DMO2719" s="17"/>
      <c r="DMP2719" s="17"/>
      <c r="DMQ2719" s="17"/>
    </row>
    <row r="2720" spans="3044:3059">
      <c r="DMB2720" s="17"/>
      <c r="DMC2720" s="17"/>
      <c r="DMD2720" s="17"/>
      <c r="DME2720" s="17"/>
      <c r="DMF2720" s="17"/>
      <c r="DMG2720" s="17"/>
      <c r="DMH2720" s="17"/>
      <c r="DMI2720" s="17"/>
      <c r="DMJ2720" s="17"/>
      <c r="DMK2720" s="17"/>
      <c r="DML2720" s="17"/>
      <c r="DMM2720" s="17"/>
      <c r="DMN2720" s="17"/>
      <c r="DMO2720" s="17"/>
      <c r="DMP2720" s="17"/>
      <c r="DMQ2720" s="17"/>
    </row>
    <row r="2721" spans="3044:3059">
      <c r="DMB2721" s="17"/>
      <c r="DMC2721" s="17"/>
      <c r="DMD2721" s="17"/>
      <c r="DME2721" s="17"/>
      <c r="DMF2721" s="17"/>
      <c r="DMG2721" s="17"/>
      <c r="DMH2721" s="17"/>
      <c r="DMI2721" s="17"/>
      <c r="DMJ2721" s="17"/>
      <c r="DMK2721" s="17"/>
      <c r="DML2721" s="17"/>
      <c r="DMM2721" s="17"/>
      <c r="DMN2721" s="17"/>
      <c r="DMO2721" s="17"/>
      <c r="DMP2721" s="17"/>
      <c r="DMQ2721" s="17"/>
    </row>
    <row r="2722" spans="3044:3059">
      <c r="DMB2722" s="17"/>
      <c r="DMC2722" s="17"/>
      <c r="DMD2722" s="17"/>
      <c r="DME2722" s="17"/>
      <c r="DMF2722" s="17"/>
      <c r="DMG2722" s="17"/>
      <c r="DMH2722" s="17"/>
      <c r="DMI2722" s="17"/>
      <c r="DMJ2722" s="17"/>
      <c r="DMK2722" s="17"/>
      <c r="DML2722" s="17"/>
      <c r="DMM2722" s="17"/>
      <c r="DMN2722" s="17"/>
      <c r="DMO2722" s="17"/>
      <c r="DMP2722" s="17"/>
      <c r="DMQ2722" s="17"/>
    </row>
    <row r="2723" spans="3044:3059">
      <c r="DMB2723" s="17"/>
      <c r="DMC2723" s="17"/>
      <c r="DMD2723" s="17"/>
      <c r="DME2723" s="17"/>
      <c r="DMF2723" s="17"/>
      <c r="DMG2723" s="17"/>
      <c r="DMH2723" s="17"/>
      <c r="DMI2723" s="17"/>
      <c r="DMJ2723" s="17"/>
      <c r="DMK2723" s="17"/>
      <c r="DML2723" s="17"/>
      <c r="DMM2723" s="17"/>
      <c r="DMN2723" s="17"/>
      <c r="DMO2723" s="17"/>
      <c r="DMP2723" s="17"/>
      <c r="DMQ2723" s="17"/>
    </row>
    <row r="2724" spans="3044:3059">
      <c r="DMB2724" s="17"/>
      <c r="DMC2724" s="17"/>
      <c r="DMD2724" s="17"/>
      <c r="DME2724" s="17"/>
      <c r="DMF2724" s="17"/>
      <c r="DMG2724" s="17"/>
      <c r="DMH2724" s="17"/>
      <c r="DMI2724" s="17"/>
      <c r="DMJ2724" s="17"/>
      <c r="DMK2724" s="17"/>
      <c r="DML2724" s="17"/>
      <c r="DMM2724" s="17"/>
      <c r="DMN2724" s="17"/>
      <c r="DMO2724" s="17"/>
      <c r="DMP2724" s="17"/>
      <c r="DMQ2724" s="17"/>
    </row>
    <row r="2725" spans="3044:3059">
      <c r="DMB2725" s="17"/>
      <c r="DMC2725" s="17"/>
      <c r="DMD2725" s="17"/>
      <c r="DME2725" s="17"/>
      <c r="DMF2725" s="17"/>
      <c r="DMG2725" s="17"/>
      <c r="DMH2725" s="17"/>
      <c r="DMI2725" s="17"/>
      <c r="DMJ2725" s="17"/>
      <c r="DMK2725" s="17"/>
      <c r="DML2725" s="17"/>
      <c r="DMM2725" s="17"/>
      <c r="DMN2725" s="17"/>
      <c r="DMO2725" s="17"/>
      <c r="DMP2725" s="17"/>
      <c r="DMQ2725" s="17"/>
    </row>
    <row r="2726" spans="3044:3059">
      <c r="DMB2726" s="17"/>
      <c r="DMC2726" s="17"/>
      <c r="DMD2726" s="17"/>
      <c r="DME2726" s="17"/>
      <c r="DMF2726" s="17"/>
      <c r="DMG2726" s="17"/>
      <c r="DMH2726" s="17"/>
      <c r="DMI2726" s="17"/>
      <c r="DMJ2726" s="17"/>
      <c r="DMK2726" s="17"/>
      <c r="DML2726" s="17"/>
      <c r="DMM2726" s="17"/>
      <c r="DMN2726" s="17"/>
      <c r="DMO2726" s="17"/>
      <c r="DMP2726" s="17"/>
      <c r="DMQ2726" s="17"/>
    </row>
    <row r="2727" spans="3044:3059">
      <c r="DMB2727" s="17"/>
      <c r="DMC2727" s="17"/>
      <c r="DMD2727" s="17"/>
      <c r="DME2727" s="17"/>
      <c r="DMF2727" s="17"/>
      <c r="DMG2727" s="17"/>
      <c r="DMH2727" s="17"/>
      <c r="DMI2727" s="17"/>
      <c r="DMJ2727" s="17"/>
      <c r="DMK2727" s="17"/>
      <c r="DML2727" s="17"/>
      <c r="DMM2727" s="17"/>
      <c r="DMN2727" s="17"/>
      <c r="DMO2727" s="17"/>
      <c r="DMP2727" s="17"/>
      <c r="DMQ2727" s="17"/>
    </row>
    <row r="2728" spans="3044:3059">
      <c r="DMB2728" s="17"/>
      <c r="DMC2728" s="17"/>
      <c r="DMD2728" s="17"/>
      <c r="DME2728" s="17"/>
      <c r="DMF2728" s="17"/>
      <c r="DMG2728" s="17"/>
      <c r="DMH2728" s="17"/>
      <c r="DMI2728" s="17"/>
      <c r="DMJ2728" s="17"/>
      <c r="DMK2728" s="17"/>
      <c r="DML2728" s="17"/>
      <c r="DMM2728" s="17"/>
      <c r="DMN2728" s="17"/>
      <c r="DMO2728" s="17"/>
      <c r="DMP2728" s="17"/>
      <c r="DMQ2728" s="17"/>
    </row>
    <row r="2729" spans="3044:3059">
      <c r="DMB2729" s="17"/>
      <c r="DMC2729" s="17"/>
      <c r="DMD2729" s="17"/>
      <c r="DME2729" s="17"/>
      <c r="DMF2729" s="17"/>
      <c r="DMG2729" s="17"/>
      <c r="DMH2729" s="17"/>
      <c r="DMI2729" s="17"/>
      <c r="DMJ2729" s="17"/>
      <c r="DMK2729" s="17"/>
      <c r="DML2729" s="17"/>
      <c r="DMM2729" s="17"/>
      <c r="DMN2729" s="17"/>
      <c r="DMO2729" s="17"/>
      <c r="DMP2729" s="17"/>
      <c r="DMQ2729" s="17"/>
    </row>
    <row r="2730" spans="3044:3059">
      <c r="DMB2730" s="17"/>
      <c r="DMC2730" s="17"/>
      <c r="DMD2730" s="17"/>
      <c r="DME2730" s="17"/>
      <c r="DMF2730" s="17"/>
      <c r="DMG2730" s="17"/>
      <c r="DMH2730" s="17"/>
      <c r="DMI2730" s="17"/>
      <c r="DMJ2730" s="17"/>
      <c r="DMK2730" s="17"/>
      <c r="DML2730" s="17"/>
      <c r="DMM2730" s="17"/>
      <c r="DMN2730" s="17"/>
      <c r="DMO2730" s="17"/>
      <c r="DMP2730" s="17"/>
      <c r="DMQ2730" s="17"/>
    </row>
    <row r="2731" spans="3044:3059">
      <c r="DMB2731" s="17"/>
      <c r="DMC2731" s="17"/>
      <c r="DMD2731" s="17"/>
      <c r="DME2731" s="17"/>
      <c r="DMF2731" s="17"/>
      <c r="DMG2731" s="17"/>
      <c r="DMH2731" s="17"/>
      <c r="DMI2731" s="17"/>
      <c r="DMJ2731" s="17"/>
      <c r="DMK2731" s="17"/>
      <c r="DML2731" s="17"/>
      <c r="DMM2731" s="17"/>
      <c r="DMN2731" s="17"/>
      <c r="DMO2731" s="17"/>
      <c r="DMP2731" s="17"/>
      <c r="DMQ2731" s="17"/>
    </row>
    <row r="2732" spans="3044:3059">
      <c r="DMB2732" s="17"/>
      <c r="DMC2732" s="17"/>
      <c r="DMD2732" s="17"/>
      <c r="DME2732" s="17"/>
      <c r="DMF2732" s="17"/>
      <c r="DMG2732" s="17"/>
      <c r="DMH2732" s="17"/>
      <c r="DMI2732" s="17"/>
      <c r="DMJ2732" s="17"/>
      <c r="DMK2732" s="17"/>
      <c r="DML2732" s="17"/>
      <c r="DMM2732" s="17"/>
      <c r="DMN2732" s="17"/>
      <c r="DMO2732" s="17"/>
      <c r="DMP2732" s="17"/>
      <c r="DMQ2732" s="17"/>
    </row>
    <row r="2733" spans="3044:3059">
      <c r="DMB2733" s="17"/>
      <c r="DMC2733" s="17"/>
      <c r="DMD2733" s="17"/>
      <c r="DME2733" s="17"/>
      <c r="DMF2733" s="17"/>
      <c r="DMG2733" s="17"/>
      <c r="DMH2733" s="17"/>
      <c r="DMI2733" s="17"/>
      <c r="DMJ2733" s="17"/>
      <c r="DMK2733" s="17"/>
      <c r="DML2733" s="17"/>
      <c r="DMM2733" s="17"/>
      <c r="DMN2733" s="17"/>
      <c r="DMO2733" s="17"/>
      <c r="DMP2733" s="17"/>
      <c r="DMQ2733" s="17"/>
    </row>
    <row r="2734" spans="3044:3059">
      <c r="DMB2734" s="17"/>
      <c r="DMC2734" s="17"/>
      <c r="DMD2734" s="17"/>
      <c r="DME2734" s="17"/>
      <c r="DMF2734" s="17"/>
      <c r="DMG2734" s="17"/>
      <c r="DMH2734" s="17"/>
      <c r="DMI2734" s="17"/>
      <c r="DMJ2734" s="17"/>
      <c r="DMK2734" s="17"/>
      <c r="DML2734" s="17"/>
      <c r="DMM2734" s="17"/>
      <c r="DMN2734" s="17"/>
      <c r="DMO2734" s="17"/>
      <c r="DMP2734" s="17"/>
      <c r="DMQ2734" s="17"/>
    </row>
    <row r="2735" spans="3044:3059">
      <c r="DMB2735" s="17"/>
      <c r="DMC2735" s="17"/>
      <c r="DMD2735" s="17"/>
      <c r="DME2735" s="17"/>
      <c r="DMF2735" s="17"/>
      <c r="DMG2735" s="17"/>
      <c r="DMH2735" s="17"/>
      <c r="DMI2735" s="17"/>
      <c r="DMJ2735" s="17"/>
      <c r="DMK2735" s="17"/>
      <c r="DML2735" s="17"/>
      <c r="DMM2735" s="17"/>
      <c r="DMN2735" s="17"/>
      <c r="DMO2735" s="17"/>
      <c r="DMP2735" s="17"/>
      <c r="DMQ2735" s="17"/>
    </row>
    <row r="2736" spans="3044:3059">
      <c r="DMB2736" s="17"/>
      <c r="DMC2736" s="17"/>
      <c r="DMD2736" s="17"/>
      <c r="DME2736" s="17"/>
      <c r="DMF2736" s="17"/>
      <c r="DMG2736" s="17"/>
      <c r="DMH2736" s="17"/>
      <c r="DMI2736" s="17"/>
      <c r="DMJ2736" s="17"/>
      <c r="DMK2736" s="17"/>
      <c r="DML2736" s="17"/>
      <c r="DMM2736" s="17"/>
      <c r="DMN2736" s="17"/>
      <c r="DMO2736" s="17"/>
      <c r="DMP2736" s="17"/>
      <c r="DMQ2736" s="17"/>
    </row>
    <row r="2737" spans="3044:3059">
      <c r="DMB2737" s="17"/>
      <c r="DMC2737" s="17"/>
      <c r="DMD2737" s="17"/>
      <c r="DME2737" s="17"/>
      <c r="DMF2737" s="17"/>
      <c r="DMG2737" s="17"/>
      <c r="DMH2737" s="17"/>
      <c r="DMI2737" s="17"/>
      <c r="DMJ2737" s="17"/>
      <c r="DMK2737" s="17"/>
      <c r="DML2737" s="17"/>
      <c r="DMM2737" s="17"/>
      <c r="DMN2737" s="17"/>
      <c r="DMO2737" s="17"/>
      <c r="DMP2737" s="17"/>
      <c r="DMQ2737" s="17"/>
    </row>
    <row r="2738" spans="3044:3059">
      <c r="DMB2738" s="17"/>
      <c r="DMC2738" s="17"/>
      <c r="DMD2738" s="17"/>
      <c r="DME2738" s="17"/>
      <c r="DMF2738" s="17"/>
      <c r="DMG2738" s="17"/>
      <c r="DMH2738" s="17"/>
      <c r="DMI2738" s="17"/>
      <c r="DMJ2738" s="17"/>
      <c r="DMK2738" s="17"/>
      <c r="DML2738" s="17"/>
      <c r="DMM2738" s="17"/>
      <c r="DMN2738" s="17"/>
      <c r="DMO2738" s="17"/>
      <c r="DMP2738" s="17"/>
      <c r="DMQ2738" s="17"/>
    </row>
    <row r="2739" spans="3044:3059">
      <c r="DMB2739" s="17"/>
      <c r="DMC2739" s="17"/>
      <c r="DMD2739" s="17"/>
      <c r="DME2739" s="17"/>
      <c r="DMF2739" s="17"/>
      <c r="DMG2739" s="17"/>
      <c r="DMH2739" s="17"/>
      <c r="DMI2739" s="17"/>
      <c r="DMJ2739" s="17"/>
      <c r="DMK2739" s="17"/>
      <c r="DML2739" s="17"/>
      <c r="DMM2739" s="17"/>
      <c r="DMN2739" s="17"/>
      <c r="DMO2739" s="17"/>
      <c r="DMP2739" s="17"/>
      <c r="DMQ2739" s="17"/>
    </row>
    <row r="2740" spans="3044:3059">
      <c r="DMB2740" s="17"/>
      <c r="DMC2740" s="17"/>
      <c r="DMD2740" s="17"/>
      <c r="DME2740" s="17"/>
      <c r="DMF2740" s="17"/>
      <c r="DMG2740" s="17"/>
      <c r="DMH2740" s="17"/>
      <c r="DMI2740" s="17"/>
      <c r="DMJ2740" s="17"/>
      <c r="DMK2740" s="17"/>
      <c r="DML2740" s="17"/>
      <c r="DMM2740" s="17"/>
      <c r="DMN2740" s="17"/>
      <c r="DMO2740" s="17"/>
      <c r="DMP2740" s="17"/>
      <c r="DMQ2740" s="17"/>
    </row>
    <row r="2741" spans="3044:3059">
      <c r="DMB2741" s="17"/>
      <c r="DMC2741" s="17"/>
      <c r="DMD2741" s="17"/>
      <c r="DME2741" s="17"/>
      <c r="DMF2741" s="17"/>
      <c r="DMG2741" s="17"/>
      <c r="DMH2741" s="17"/>
      <c r="DMI2741" s="17"/>
      <c r="DMJ2741" s="17"/>
      <c r="DMK2741" s="17"/>
      <c r="DML2741" s="17"/>
      <c r="DMM2741" s="17"/>
      <c r="DMN2741" s="17"/>
      <c r="DMO2741" s="17"/>
      <c r="DMP2741" s="17"/>
      <c r="DMQ2741" s="17"/>
    </row>
    <row r="2742" spans="3044:3059">
      <c r="DMB2742" s="17"/>
      <c r="DMC2742" s="17"/>
      <c r="DMD2742" s="17"/>
      <c r="DME2742" s="17"/>
      <c r="DMF2742" s="17"/>
      <c r="DMG2742" s="17"/>
      <c r="DMH2742" s="17"/>
      <c r="DMI2742" s="17"/>
      <c r="DMJ2742" s="17"/>
      <c r="DMK2742" s="17"/>
      <c r="DML2742" s="17"/>
      <c r="DMM2742" s="17"/>
      <c r="DMN2742" s="17"/>
      <c r="DMO2742" s="17"/>
      <c r="DMP2742" s="17"/>
      <c r="DMQ2742" s="17"/>
    </row>
    <row r="2743" spans="3044:3059">
      <c r="DMB2743" s="17"/>
      <c r="DMC2743" s="17"/>
      <c r="DMD2743" s="17"/>
      <c r="DME2743" s="17"/>
      <c r="DMF2743" s="17"/>
      <c r="DMG2743" s="17"/>
      <c r="DMH2743" s="17"/>
      <c r="DMI2743" s="17"/>
      <c r="DMJ2743" s="17"/>
      <c r="DMK2743" s="17"/>
      <c r="DML2743" s="17"/>
      <c r="DMM2743" s="17"/>
      <c r="DMN2743" s="17"/>
      <c r="DMO2743" s="17"/>
      <c r="DMP2743" s="17"/>
      <c r="DMQ2743" s="17"/>
    </row>
    <row r="2744" spans="3044:3059">
      <c r="DMB2744" s="17"/>
      <c r="DMC2744" s="17"/>
      <c r="DMD2744" s="17"/>
      <c r="DME2744" s="17"/>
      <c r="DMF2744" s="17"/>
      <c r="DMG2744" s="17"/>
      <c r="DMH2744" s="17"/>
      <c r="DMI2744" s="17"/>
      <c r="DMJ2744" s="17"/>
      <c r="DMK2744" s="17"/>
      <c r="DML2744" s="17"/>
      <c r="DMM2744" s="17"/>
      <c r="DMN2744" s="17"/>
      <c r="DMO2744" s="17"/>
      <c r="DMP2744" s="17"/>
      <c r="DMQ2744" s="17"/>
    </row>
    <row r="2745" spans="3044:3059">
      <c r="DMB2745" s="17"/>
      <c r="DMC2745" s="17"/>
      <c r="DMD2745" s="17"/>
      <c r="DME2745" s="17"/>
      <c r="DMF2745" s="17"/>
      <c r="DMG2745" s="17"/>
      <c r="DMH2745" s="17"/>
      <c r="DMI2745" s="17"/>
      <c r="DMJ2745" s="17"/>
      <c r="DMK2745" s="17"/>
      <c r="DML2745" s="17"/>
      <c r="DMM2745" s="17"/>
      <c r="DMN2745" s="17"/>
      <c r="DMO2745" s="17"/>
      <c r="DMP2745" s="17"/>
      <c r="DMQ2745" s="17"/>
    </row>
    <row r="2746" spans="3044:3059">
      <c r="DMB2746" s="17"/>
      <c r="DMC2746" s="17"/>
      <c r="DMD2746" s="17"/>
      <c r="DME2746" s="17"/>
      <c r="DMF2746" s="17"/>
      <c r="DMG2746" s="17"/>
      <c r="DMH2746" s="17"/>
      <c r="DMI2746" s="17"/>
      <c r="DMJ2746" s="17"/>
      <c r="DMK2746" s="17"/>
      <c r="DML2746" s="17"/>
      <c r="DMM2746" s="17"/>
      <c r="DMN2746" s="17"/>
      <c r="DMO2746" s="17"/>
      <c r="DMP2746" s="17"/>
      <c r="DMQ2746" s="17"/>
    </row>
    <row r="2747" spans="3044:3059">
      <c r="DMB2747" s="17"/>
      <c r="DMC2747" s="17"/>
      <c r="DMD2747" s="17"/>
      <c r="DME2747" s="17"/>
      <c r="DMF2747" s="17"/>
      <c r="DMG2747" s="17"/>
      <c r="DMH2747" s="17"/>
      <c r="DMI2747" s="17"/>
      <c r="DMJ2747" s="17"/>
      <c r="DMK2747" s="17"/>
      <c r="DML2747" s="17"/>
      <c r="DMM2747" s="17"/>
      <c r="DMN2747" s="17"/>
      <c r="DMO2747" s="17"/>
      <c r="DMP2747" s="17"/>
      <c r="DMQ2747" s="17"/>
    </row>
    <row r="2748" spans="3044:3059">
      <c r="DMB2748" s="17"/>
      <c r="DMC2748" s="17"/>
      <c r="DMD2748" s="17"/>
      <c r="DME2748" s="17"/>
      <c r="DMF2748" s="17"/>
      <c r="DMG2748" s="17"/>
      <c r="DMH2748" s="17"/>
      <c r="DMI2748" s="17"/>
      <c r="DMJ2748" s="17"/>
      <c r="DMK2748" s="17"/>
      <c r="DML2748" s="17"/>
      <c r="DMM2748" s="17"/>
      <c r="DMN2748" s="17"/>
      <c r="DMO2748" s="17"/>
      <c r="DMP2748" s="17"/>
      <c r="DMQ2748" s="17"/>
    </row>
    <row r="2749" spans="3044:3059">
      <c r="DMB2749" s="17"/>
      <c r="DMC2749" s="17"/>
      <c r="DMD2749" s="17"/>
      <c r="DME2749" s="17"/>
      <c r="DMF2749" s="17"/>
      <c r="DMG2749" s="17"/>
      <c r="DMH2749" s="17"/>
      <c r="DMI2749" s="17"/>
      <c r="DMJ2749" s="17"/>
      <c r="DMK2749" s="17"/>
      <c r="DML2749" s="17"/>
      <c r="DMM2749" s="17"/>
      <c r="DMN2749" s="17"/>
      <c r="DMO2749" s="17"/>
      <c r="DMP2749" s="17"/>
      <c r="DMQ2749" s="17"/>
    </row>
    <row r="2750" spans="3044:3059">
      <c r="DMB2750" s="17"/>
      <c r="DMC2750" s="17"/>
      <c r="DMD2750" s="17"/>
      <c r="DME2750" s="17"/>
      <c r="DMF2750" s="17"/>
      <c r="DMG2750" s="17"/>
      <c r="DMH2750" s="17"/>
      <c r="DMI2750" s="17"/>
      <c r="DMJ2750" s="17"/>
      <c r="DMK2750" s="17"/>
      <c r="DML2750" s="17"/>
      <c r="DMM2750" s="17"/>
      <c r="DMN2750" s="17"/>
      <c r="DMO2750" s="17"/>
      <c r="DMP2750" s="17"/>
      <c r="DMQ2750" s="17"/>
    </row>
    <row r="2751" spans="3044:3059">
      <c r="DMB2751" s="17"/>
      <c r="DMC2751" s="17"/>
      <c r="DMD2751" s="17"/>
      <c r="DME2751" s="17"/>
      <c r="DMF2751" s="17"/>
      <c r="DMG2751" s="17"/>
      <c r="DMH2751" s="17"/>
      <c r="DMI2751" s="17"/>
      <c r="DMJ2751" s="17"/>
      <c r="DMK2751" s="17"/>
      <c r="DML2751" s="17"/>
      <c r="DMM2751" s="17"/>
      <c r="DMN2751" s="17"/>
      <c r="DMO2751" s="17"/>
      <c r="DMP2751" s="17"/>
      <c r="DMQ2751" s="17"/>
    </row>
    <row r="2752" spans="3044:3059">
      <c r="DMB2752" s="17"/>
      <c r="DMC2752" s="17"/>
      <c r="DMD2752" s="17"/>
      <c r="DME2752" s="17"/>
      <c r="DMF2752" s="17"/>
      <c r="DMG2752" s="17"/>
      <c r="DMH2752" s="17"/>
      <c r="DMI2752" s="17"/>
      <c r="DMJ2752" s="17"/>
      <c r="DMK2752" s="17"/>
      <c r="DML2752" s="17"/>
      <c r="DMM2752" s="17"/>
      <c r="DMN2752" s="17"/>
      <c r="DMO2752" s="17"/>
      <c r="DMP2752" s="17"/>
      <c r="DMQ2752" s="17"/>
    </row>
    <row r="2753" spans="3044:3059">
      <c r="DMB2753" s="17"/>
      <c r="DMC2753" s="17"/>
      <c r="DMD2753" s="17"/>
      <c r="DME2753" s="17"/>
      <c r="DMF2753" s="17"/>
      <c r="DMG2753" s="17"/>
      <c r="DMH2753" s="17"/>
      <c r="DMI2753" s="17"/>
      <c r="DMJ2753" s="17"/>
      <c r="DMK2753" s="17"/>
      <c r="DML2753" s="17"/>
      <c r="DMM2753" s="17"/>
      <c r="DMN2753" s="17"/>
      <c r="DMO2753" s="17"/>
      <c r="DMP2753" s="17"/>
      <c r="DMQ2753" s="17"/>
    </row>
    <row r="2754" spans="3044:3059">
      <c r="DMB2754" s="17"/>
      <c r="DMC2754" s="17"/>
      <c r="DMD2754" s="17"/>
      <c r="DME2754" s="17"/>
      <c r="DMF2754" s="17"/>
      <c r="DMG2754" s="17"/>
      <c r="DMH2754" s="17"/>
      <c r="DMI2754" s="17"/>
      <c r="DMJ2754" s="17"/>
      <c r="DMK2754" s="17"/>
      <c r="DML2754" s="17"/>
      <c r="DMM2754" s="17"/>
      <c r="DMN2754" s="17"/>
      <c r="DMO2754" s="17"/>
      <c r="DMP2754" s="17"/>
      <c r="DMQ2754" s="17"/>
    </row>
    <row r="2755" spans="3044:3059">
      <c r="DMB2755" s="17"/>
      <c r="DMC2755" s="17"/>
      <c r="DMD2755" s="17"/>
      <c r="DME2755" s="17"/>
      <c r="DMF2755" s="17"/>
      <c r="DMG2755" s="17"/>
      <c r="DMH2755" s="17"/>
      <c r="DMI2755" s="17"/>
      <c r="DMJ2755" s="17"/>
      <c r="DMK2755" s="17"/>
      <c r="DML2755" s="17"/>
      <c r="DMM2755" s="17"/>
      <c r="DMN2755" s="17"/>
      <c r="DMO2755" s="17"/>
      <c r="DMP2755" s="17"/>
      <c r="DMQ2755" s="17"/>
    </row>
    <row r="2756" spans="3044:3059">
      <c r="DMB2756" s="17"/>
      <c r="DMC2756" s="17"/>
      <c r="DMD2756" s="17"/>
      <c r="DME2756" s="17"/>
      <c r="DMF2756" s="17"/>
      <c r="DMG2756" s="17"/>
      <c r="DMH2756" s="17"/>
      <c r="DMI2756" s="17"/>
      <c r="DMJ2756" s="17"/>
      <c r="DMK2756" s="17"/>
      <c r="DML2756" s="17"/>
      <c r="DMM2756" s="17"/>
      <c r="DMN2756" s="17"/>
      <c r="DMO2756" s="17"/>
      <c r="DMP2756" s="17"/>
      <c r="DMQ2756" s="17"/>
    </row>
    <row r="2757" spans="3044:3059">
      <c r="DMB2757" s="17"/>
      <c r="DMC2757" s="17"/>
      <c r="DMD2757" s="17"/>
      <c r="DME2757" s="17"/>
      <c r="DMF2757" s="17"/>
      <c r="DMG2757" s="17"/>
      <c r="DMH2757" s="17"/>
      <c r="DMI2757" s="17"/>
      <c r="DMJ2757" s="17"/>
      <c r="DMK2757" s="17"/>
      <c r="DML2757" s="17"/>
      <c r="DMM2757" s="17"/>
      <c r="DMN2757" s="17"/>
      <c r="DMO2757" s="17"/>
      <c r="DMP2757" s="17"/>
      <c r="DMQ2757" s="17"/>
    </row>
    <row r="2758" spans="3044:3059">
      <c r="DMB2758" s="17"/>
      <c r="DMC2758" s="17"/>
      <c r="DMD2758" s="17"/>
      <c r="DME2758" s="17"/>
      <c r="DMF2758" s="17"/>
      <c r="DMG2758" s="17"/>
      <c r="DMH2758" s="17"/>
      <c r="DMI2758" s="17"/>
      <c r="DMJ2758" s="17"/>
      <c r="DMK2758" s="17"/>
      <c r="DML2758" s="17"/>
      <c r="DMM2758" s="17"/>
      <c r="DMN2758" s="17"/>
      <c r="DMO2758" s="17"/>
      <c r="DMP2758" s="17"/>
      <c r="DMQ2758" s="17"/>
    </row>
    <row r="2759" spans="3044:3059">
      <c r="DMB2759" s="17"/>
      <c r="DMC2759" s="17"/>
      <c r="DMD2759" s="17"/>
      <c r="DME2759" s="17"/>
      <c r="DMF2759" s="17"/>
      <c r="DMG2759" s="17"/>
      <c r="DMH2759" s="17"/>
      <c r="DMI2759" s="17"/>
      <c r="DMJ2759" s="17"/>
      <c r="DMK2759" s="17"/>
      <c r="DML2759" s="17"/>
      <c r="DMM2759" s="17"/>
      <c r="DMN2759" s="17"/>
      <c r="DMO2759" s="17"/>
      <c r="DMP2759" s="17"/>
      <c r="DMQ2759" s="17"/>
    </row>
    <row r="2760" spans="3044:3059">
      <c r="DMB2760" s="17"/>
      <c r="DMC2760" s="17"/>
      <c r="DMD2760" s="17"/>
      <c r="DME2760" s="17"/>
      <c r="DMF2760" s="17"/>
      <c r="DMG2760" s="17"/>
      <c r="DMH2760" s="17"/>
      <c r="DMI2760" s="17"/>
      <c r="DMJ2760" s="17"/>
      <c r="DMK2760" s="17"/>
      <c r="DML2760" s="17"/>
      <c r="DMM2760" s="17"/>
      <c r="DMN2760" s="17"/>
      <c r="DMO2760" s="17"/>
      <c r="DMP2760" s="17"/>
      <c r="DMQ2760" s="17"/>
    </row>
    <row r="2761" spans="3044:3059">
      <c r="DMB2761" s="17"/>
      <c r="DMC2761" s="17"/>
      <c r="DMD2761" s="17"/>
      <c r="DME2761" s="17"/>
      <c r="DMF2761" s="17"/>
      <c r="DMG2761" s="17"/>
      <c r="DMH2761" s="17"/>
      <c r="DMI2761" s="17"/>
      <c r="DMJ2761" s="17"/>
      <c r="DMK2761" s="17"/>
      <c r="DML2761" s="17"/>
      <c r="DMM2761" s="17"/>
      <c r="DMN2761" s="17"/>
      <c r="DMO2761" s="17"/>
      <c r="DMP2761" s="17"/>
      <c r="DMQ2761" s="17"/>
    </row>
    <row r="2762" spans="3044:3059">
      <c r="DMB2762" s="17"/>
      <c r="DMC2762" s="17"/>
      <c r="DMD2762" s="17"/>
      <c r="DME2762" s="17"/>
      <c r="DMF2762" s="17"/>
      <c r="DMG2762" s="17"/>
      <c r="DMH2762" s="17"/>
      <c r="DMI2762" s="17"/>
      <c r="DMJ2762" s="17"/>
      <c r="DMK2762" s="17"/>
      <c r="DML2762" s="17"/>
      <c r="DMM2762" s="17"/>
      <c r="DMN2762" s="17"/>
      <c r="DMO2762" s="17"/>
      <c r="DMP2762" s="17"/>
      <c r="DMQ2762" s="17"/>
    </row>
    <row r="2763" spans="3044:3059">
      <c r="DMB2763" s="17"/>
      <c r="DMC2763" s="17"/>
      <c r="DMD2763" s="17"/>
      <c r="DME2763" s="17"/>
      <c r="DMF2763" s="17"/>
      <c r="DMG2763" s="17"/>
      <c r="DMH2763" s="17"/>
      <c r="DMI2763" s="17"/>
      <c r="DMJ2763" s="17"/>
      <c r="DMK2763" s="17"/>
      <c r="DML2763" s="17"/>
      <c r="DMM2763" s="17"/>
      <c r="DMN2763" s="17"/>
      <c r="DMO2763" s="17"/>
      <c r="DMP2763" s="17"/>
      <c r="DMQ2763" s="17"/>
    </row>
    <row r="2764" spans="3044:3059">
      <c r="DMB2764" s="17"/>
      <c r="DMC2764" s="17"/>
      <c r="DMD2764" s="17"/>
      <c r="DME2764" s="17"/>
      <c r="DMF2764" s="17"/>
      <c r="DMG2764" s="17"/>
      <c r="DMH2764" s="17"/>
      <c r="DMI2764" s="17"/>
      <c r="DMJ2764" s="17"/>
      <c r="DMK2764" s="17"/>
      <c r="DML2764" s="17"/>
      <c r="DMM2764" s="17"/>
      <c r="DMN2764" s="17"/>
      <c r="DMO2764" s="17"/>
      <c r="DMP2764" s="17"/>
      <c r="DMQ2764" s="17"/>
    </row>
    <row r="2765" spans="3044:3059">
      <c r="DMB2765" s="17"/>
      <c r="DMC2765" s="17"/>
      <c r="DMD2765" s="17"/>
      <c r="DME2765" s="17"/>
      <c r="DMF2765" s="17"/>
      <c r="DMG2765" s="17"/>
      <c r="DMH2765" s="17"/>
      <c r="DMI2765" s="17"/>
      <c r="DMJ2765" s="17"/>
      <c r="DMK2765" s="17"/>
      <c r="DML2765" s="17"/>
      <c r="DMM2765" s="17"/>
      <c r="DMN2765" s="17"/>
      <c r="DMO2765" s="17"/>
      <c r="DMP2765" s="17"/>
      <c r="DMQ2765" s="17"/>
    </row>
    <row r="2766" spans="3044:3059">
      <c r="DMB2766" s="17"/>
      <c r="DMC2766" s="17"/>
      <c r="DMD2766" s="17"/>
      <c r="DME2766" s="17"/>
      <c r="DMF2766" s="17"/>
      <c r="DMG2766" s="17"/>
      <c r="DMH2766" s="17"/>
      <c r="DMI2766" s="17"/>
      <c r="DMJ2766" s="17"/>
      <c r="DMK2766" s="17"/>
      <c r="DML2766" s="17"/>
      <c r="DMM2766" s="17"/>
      <c r="DMN2766" s="17"/>
      <c r="DMO2766" s="17"/>
      <c r="DMP2766" s="17"/>
      <c r="DMQ2766" s="17"/>
    </row>
    <row r="2767" spans="3044:3059">
      <c r="DMB2767" s="17"/>
      <c r="DMC2767" s="17"/>
      <c r="DMD2767" s="17"/>
      <c r="DME2767" s="17"/>
      <c r="DMF2767" s="17"/>
      <c r="DMG2767" s="17"/>
      <c r="DMH2767" s="17"/>
      <c r="DMI2767" s="17"/>
      <c r="DMJ2767" s="17"/>
      <c r="DMK2767" s="17"/>
      <c r="DML2767" s="17"/>
      <c r="DMM2767" s="17"/>
      <c r="DMN2767" s="17"/>
      <c r="DMO2767" s="17"/>
      <c r="DMP2767" s="17"/>
      <c r="DMQ2767" s="17"/>
    </row>
    <row r="2768" spans="3044:3059">
      <c r="DMB2768" s="17"/>
      <c r="DMC2768" s="17"/>
      <c r="DMD2768" s="17"/>
      <c r="DME2768" s="17"/>
      <c r="DMF2768" s="17"/>
      <c r="DMG2768" s="17"/>
      <c r="DMH2768" s="17"/>
      <c r="DMI2768" s="17"/>
      <c r="DMJ2768" s="17"/>
      <c r="DMK2768" s="17"/>
      <c r="DML2768" s="17"/>
      <c r="DMM2768" s="17"/>
      <c r="DMN2768" s="17"/>
      <c r="DMO2768" s="17"/>
      <c r="DMP2768" s="17"/>
      <c r="DMQ2768" s="17"/>
    </row>
    <row r="2769" spans="3044:3059">
      <c r="DMB2769" s="17"/>
      <c r="DMC2769" s="17"/>
      <c r="DMD2769" s="17"/>
      <c r="DME2769" s="17"/>
      <c r="DMF2769" s="17"/>
      <c r="DMG2769" s="17"/>
      <c r="DMH2769" s="17"/>
      <c r="DMI2769" s="17"/>
      <c r="DMJ2769" s="17"/>
      <c r="DMK2769" s="17"/>
      <c r="DML2769" s="17"/>
      <c r="DMM2769" s="17"/>
      <c r="DMN2769" s="17"/>
      <c r="DMO2769" s="17"/>
      <c r="DMP2769" s="17"/>
      <c r="DMQ2769" s="17"/>
    </row>
    <row r="2770" spans="3044:3059">
      <c r="DMB2770" s="17"/>
      <c r="DMC2770" s="17"/>
      <c r="DMD2770" s="17"/>
      <c r="DME2770" s="17"/>
      <c r="DMF2770" s="17"/>
      <c r="DMG2770" s="17"/>
      <c r="DMH2770" s="17"/>
      <c r="DMI2770" s="17"/>
      <c r="DMJ2770" s="17"/>
      <c r="DMK2770" s="17"/>
      <c r="DML2770" s="17"/>
      <c r="DMM2770" s="17"/>
      <c r="DMN2770" s="17"/>
      <c r="DMO2770" s="17"/>
      <c r="DMP2770" s="17"/>
      <c r="DMQ2770" s="17"/>
    </row>
    <row r="2771" spans="3044:3059">
      <c r="DMB2771" s="17"/>
      <c r="DMC2771" s="17"/>
      <c r="DMD2771" s="17"/>
      <c r="DME2771" s="17"/>
      <c r="DMF2771" s="17"/>
      <c r="DMG2771" s="17"/>
      <c r="DMH2771" s="17"/>
      <c r="DMI2771" s="17"/>
      <c r="DMJ2771" s="17"/>
      <c r="DMK2771" s="17"/>
      <c r="DML2771" s="17"/>
      <c r="DMM2771" s="17"/>
      <c r="DMN2771" s="17"/>
      <c r="DMO2771" s="17"/>
      <c r="DMP2771" s="17"/>
      <c r="DMQ2771" s="17"/>
    </row>
    <row r="2772" spans="3044:3059">
      <c r="DMB2772" s="17"/>
      <c r="DMC2772" s="17"/>
      <c r="DMD2772" s="17"/>
      <c r="DME2772" s="17"/>
      <c r="DMF2772" s="17"/>
      <c r="DMG2772" s="17"/>
      <c r="DMH2772" s="17"/>
      <c r="DMI2772" s="17"/>
      <c r="DMJ2772" s="17"/>
      <c r="DMK2772" s="17"/>
      <c r="DML2772" s="17"/>
      <c r="DMM2772" s="17"/>
      <c r="DMN2772" s="17"/>
      <c r="DMO2772" s="17"/>
      <c r="DMP2772" s="17"/>
      <c r="DMQ2772" s="17"/>
    </row>
    <row r="2773" spans="3044:3059">
      <c r="DMB2773" s="17"/>
      <c r="DMC2773" s="17"/>
      <c r="DMD2773" s="17"/>
      <c r="DME2773" s="17"/>
      <c r="DMF2773" s="17"/>
      <c r="DMG2773" s="17"/>
      <c r="DMH2773" s="17"/>
      <c r="DMI2773" s="17"/>
      <c r="DMJ2773" s="17"/>
      <c r="DMK2773" s="17"/>
      <c r="DML2773" s="17"/>
      <c r="DMM2773" s="17"/>
      <c r="DMN2773" s="17"/>
      <c r="DMO2773" s="17"/>
      <c r="DMP2773" s="17"/>
      <c r="DMQ2773" s="17"/>
    </row>
    <row r="2774" spans="3044:3059">
      <c r="DMB2774" s="17"/>
      <c r="DMC2774" s="17"/>
      <c r="DMD2774" s="17"/>
      <c r="DME2774" s="17"/>
      <c r="DMF2774" s="17"/>
      <c r="DMG2774" s="17"/>
      <c r="DMH2774" s="17"/>
      <c r="DMI2774" s="17"/>
      <c r="DMJ2774" s="17"/>
      <c r="DMK2774" s="17"/>
      <c r="DML2774" s="17"/>
      <c r="DMM2774" s="17"/>
      <c r="DMN2774" s="17"/>
      <c r="DMO2774" s="17"/>
      <c r="DMP2774" s="17"/>
      <c r="DMQ2774" s="17"/>
    </row>
    <row r="2775" spans="3044:3059">
      <c r="DMB2775" s="17"/>
      <c r="DMC2775" s="17"/>
      <c r="DMD2775" s="17"/>
      <c r="DME2775" s="17"/>
      <c r="DMF2775" s="17"/>
      <c r="DMG2775" s="17"/>
      <c r="DMH2775" s="17"/>
      <c r="DMI2775" s="17"/>
      <c r="DMJ2775" s="17"/>
      <c r="DMK2775" s="17"/>
      <c r="DML2775" s="17"/>
      <c r="DMM2775" s="17"/>
      <c r="DMN2775" s="17"/>
      <c r="DMO2775" s="17"/>
      <c r="DMP2775" s="17"/>
      <c r="DMQ2775" s="17"/>
    </row>
    <row r="2776" spans="3044:3059">
      <c r="DMB2776" s="17"/>
      <c r="DMC2776" s="17"/>
      <c r="DMD2776" s="17"/>
      <c r="DME2776" s="17"/>
      <c r="DMF2776" s="17"/>
      <c r="DMG2776" s="17"/>
      <c r="DMH2776" s="17"/>
      <c r="DMI2776" s="17"/>
      <c r="DMJ2776" s="17"/>
      <c r="DMK2776" s="17"/>
      <c r="DML2776" s="17"/>
      <c r="DMM2776" s="17"/>
      <c r="DMN2776" s="17"/>
      <c r="DMO2776" s="17"/>
      <c r="DMP2776" s="17"/>
      <c r="DMQ2776" s="17"/>
    </row>
    <row r="2777" spans="3044:3059">
      <c r="DMB2777" s="17"/>
      <c r="DMC2777" s="17"/>
      <c r="DMD2777" s="17"/>
      <c r="DME2777" s="17"/>
      <c r="DMF2777" s="17"/>
      <c r="DMG2777" s="17"/>
      <c r="DMH2777" s="17"/>
      <c r="DMI2777" s="17"/>
      <c r="DMJ2777" s="17"/>
      <c r="DMK2777" s="17"/>
      <c r="DML2777" s="17"/>
      <c r="DMM2777" s="17"/>
      <c r="DMN2777" s="17"/>
      <c r="DMO2777" s="17"/>
      <c r="DMP2777" s="17"/>
      <c r="DMQ2777" s="17"/>
    </row>
    <row r="2778" spans="3044:3059">
      <c r="DMB2778" s="17"/>
      <c r="DMC2778" s="17"/>
      <c r="DMD2778" s="17"/>
      <c r="DME2778" s="17"/>
      <c r="DMF2778" s="17"/>
      <c r="DMG2778" s="17"/>
      <c r="DMH2778" s="17"/>
      <c r="DMI2778" s="17"/>
      <c r="DMJ2778" s="17"/>
      <c r="DMK2778" s="17"/>
      <c r="DML2778" s="17"/>
      <c r="DMM2778" s="17"/>
      <c r="DMN2778" s="17"/>
      <c r="DMO2778" s="17"/>
      <c r="DMP2778" s="17"/>
      <c r="DMQ2778" s="17"/>
    </row>
    <row r="2779" spans="3044:3059">
      <c r="DMB2779" s="17"/>
      <c r="DMC2779" s="17"/>
      <c r="DMD2779" s="17"/>
      <c r="DME2779" s="17"/>
      <c r="DMF2779" s="17"/>
      <c r="DMG2779" s="17"/>
      <c r="DMH2779" s="17"/>
      <c r="DMI2779" s="17"/>
      <c r="DMJ2779" s="17"/>
      <c r="DMK2779" s="17"/>
      <c r="DML2779" s="17"/>
      <c r="DMM2779" s="17"/>
      <c r="DMN2779" s="17"/>
      <c r="DMO2779" s="17"/>
      <c r="DMP2779" s="17"/>
      <c r="DMQ2779" s="17"/>
    </row>
    <row r="2780" spans="3044:3059">
      <c r="DMB2780" s="17"/>
      <c r="DMC2780" s="17"/>
      <c r="DMD2780" s="17"/>
      <c r="DME2780" s="17"/>
      <c r="DMF2780" s="17"/>
      <c r="DMG2780" s="17"/>
      <c r="DMH2780" s="17"/>
      <c r="DMI2780" s="17"/>
      <c r="DMJ2780" s="17"/>
      <c r="DMK2780" s="17"/>
      <c r="DML2780" s="17"/>
      <c r="DMM2780" s="17"/>
      <c r="DMN2780" s="17"/>
      <c r="DMO2780" s="17"/>
      <c r="DMP2780" s="17"/>
      <c r="DMQ2780" s="17"/>
    </row>
    <row r="2781" spans="3044:3059">
      <c r="DMB2781" s="17"/>
      <c r="DMC2781" s="17"/>
      <c r="DMD2781" s="17"/>
      <c r="DME2781" s="17"/>
      <c r="DMF2781" s="17"/>
      <c r="DMG2781" s="17"/>
      <c r="DMH2781" s="17"/>
      <c r="DMI2781" s="17"/>
      <c r="DMJ2781" s="17"/>
      <c r="DMK2781" s="17"/>
      <c r="DML2781" s="17"/>
      <c r="DMM2781" s="17"/>
      <c r="DMN2781" s="17"/>
      <c r="DMO2781" s="17"/>
      <c r="DMP2781" s="17"/>
      <c r="DMQ2781" s="17"/>
    </row>
    <row r="2782" spans="3044:3059">
      <c r="DMB2782" s="17"/>
      <c r="DMC2782" s="17"/>
      <c r="DMD2782" s="17"/>
      <c r="DME2782" s="17"/>
      <c r="DMF2782" s="17"/>
      <c r="DMG2782" s="17"/>
      <c r="DMH2782" s="17"/>
      <c r="DMI2782" s="17"/>
      <c r="DMJ2782" s="17"/>
      <c r="DMK2782" s="17"/>
      <c r="DML2782" s="17"/>
      <c r="DMM2782" s="17"/>
      <c r="DMN2782" s="17"/>
      <c r="DMO2782" s="17"/>
      <c r="DMP2782" s="17"/>
      <c r="DMQ2782" s="17"/>
    </row>
    <row r="2783" spans="3044:3059">
      <c r="DMB2783" s="17"/>
      <c r="DMC2783" s="17"/>
      <c r="DMD2783" s="17"/>
      <c r="DME2783" s="17"/>
      <c r="DMF2783" s="17"/>
      <c r="DMG2783" s="17"/>
      <c r="DMH2783" s="17"/>
      <c r="DMI2783" s="17"/>
      <c r="DMJ2783" s="17"/>
      <c r="DMK2783" s="17"/>
      <c r="DML2783" s="17"/>
      <c r="DMM2783" s="17"/>
      <c r="DMN2783" s="17"/>
      <c r="DMO2783" s="17"/>
      <c r="DMP2783" s="17"/>
      <c r="DMQ2783" s="17"/>
    </row>
    <row r="2784" spans="3044:3059">
      <c r="DMB2784" s="17"/>
      <c r="DMC2784" s="17"/>
      <c r="DMD2784" s="17"/>
      <c r="DME2784" s="17"/>
      <c r="DMF2784" s="17"/>
      <c r="DMG2784" s="17"/>
      <c r="DMH2784" s="17"/>
      <c r="DMI2784" s="17"/>
      <c r="DMJ2784" s="17"/>
      <c r="DMK2784" s="17"/>
      <c r="DML2784" s="17"/>
      <c r="DMM2784" s="17"/>
      <c r="DMN2784" s="17"/>
      <c r="DMO2784" s="17"/>
      <c r="DMP2784" s="17"/>
      <c r="DMQ2784" s="17"/>
    </row>
    <row r="2785" spans="3044:3059">
      <c r="DMB2785" s="17"/>
      <c r="DMC2785" s="17"/>
      <c r="DMD2785" s="17"/>
      <c r="DME2785" s="17"/>
      <c r="DMF2785" s="17"/>
      <c r="DMG2785" s="17"/>
      <c r="DMH2785" s="17"/>
      <c r="DMI2785" s="17"/>
      <c r="DMJ2785" s="17"/>
      <c r="DMK2785" s="17"/>
      <c r="DML2785" s="17"/>
      <c r="DMM2785" s="17"/>
      <c r="DMN2785" s="17"/>
      <c r="DMO2785" s="17"/>
      <c r="DMP2785" s="17"/>
      <c r="DMQ2785" s="17"/>
    </row>
    <row r="2786" spans="3044:3059">
      <c r="DMB2786" s="17"/>
      <c r="DMC2786" s="17"/>
      <c r="DMD2786" s="17"/>
      <c r="DME2786" s="17"/>
      <c r="DMF2786" s="17"/>
      <c r="DMG2786" s="17"/>
      <c r="DMH2786" s="17"/>
      <c r="DMI2786" s="17"/>
      <c r="DMJ2786" s="17"/>
      <c r="DMK2786" s="17"/>
      <c r="DML2786" s="17"/>
      <c r="DMM2786" s="17"/>
      <c r="DMN2786" s="17"/>
      <c r="DMO2786" s="17"/>
      <c r="DMP2786" s="17"/>
      <c r="DMQ2786" s="17"/>
    </row>
    <row r="2787" spans="3044:3059">
      <c r="DMB2787" s="17"/>
      <c r="DMC2787" s="17"/>
      <c r="DMD2787" s="17"/>
      <c r="DME2787" s="17"/>
      <c r="DMF2787" s="17"/>
      <c r="DMG2787" s="17"/>
      <c r="DMH2787" s="17"/>
      <c r="DMI2787" s="17"/>
      <c r="DMJ2787" s="17"/>
      <c r="DMK2787" s="17"/>
      <c r="DML2787" s="17"/>
      <c r="DMM2787" s="17"/>
      <c r="DMN2787" s="17"/>
      <c r="DMO2787" s="17"/>
      <c r="DMP2787" s="17"/>
      <c r="DMQ2787" s="17"/>
    </row>
    <row r="2788" spans="3044:3059">
      <c r="DMB2788" s="17"/>
      <c r="DMC2788" s="17"/>
      <c r="DMD2788" s="17"/>
      <c r="DME2788" s="17"/>
      <c r="DMF2788" s="17"/>
      <c r="DMG2788" s="17"/>
      <c r="DMH2788" s="17"/>
      <c r="DMI2788" s="17"/>
      <c r="DMJ2788" s="17"/>
      <c r="DMK2788" s="17"/>
      <c r="DML2788" s="17"/>
      <c r="DMM2788" s="17"/>
      <c r="DMN2788" s="17"/>
      <c r="DMO2788" s="17"/>
      <c r="DMP2788" s="17"/>
      <c r="DMQ2788" s="17"/>
    </row>
    <row r="2789" spans="3044:3059">
      <c r="DMB2789" s="17"/>
      <c r="DMC2789" s="17"/>
      <c r="DMD2789" s="17"/>
      <c r="DME2789" s="17"/>
      <c r="DMF2789" s="17"/>
      <c r="DMG2789" s="17"/>
      <c r="DMH2789" s="17"/>
      <c r="DMI2789" s="17"/>
      <c r="DMJ2789" s="17"/>
      <c r="DMK2789" s="17"/>
      <c r="DML2789" s="17"/>
      <c r="DMM2789" s="17"/>
      <c r="DMN2789" s="17"/>
      <c r="DMO2789" s="17"/>
      <c r="DMP2789" s="17"/>
      <c r="DMQ2789" s="17"/>
    </row>
    <row r="2790" spans="3044:3059">
      <c r="DMB2790" s="17"/>
      <c r="DMC2790" s="17"/>
      <c r="DMD2790" s="17"/>
      <c r="DME2790" s="17"/>
      <c r="DMF2790" s="17"/>
      <c r="DMG2790" s="17"/>
      <c r="DMH2790" s="17"/>
      <c r="DMI2790" s="17"/>
      <c r="DMJ2790" s="17"/>
      <c r="DMK2790" s="17"/>
      <c r="DML2790" s="17"/>
      <c r="DMM2790" s="17"/>
      <c r="DMN2790" s="17"/>
      <c r="DMO2790" s="17"/>
      <c r="DMP2790" s="17"/>
      <c r="DMQ2790" s="17"/>
    </row>
    <row r="2791" spans="3044:3059">
      <c r="DMB2791" s="17"/>
      <c r="DMC2791" s="17"/>
      <c r="DMD2791" s="17"/>
      <c r="DME2791" s="17"/>
      <c r="DMF2791" s="17"/>
      <c r="DMG2791" s="17"/>
      <c r="DMH2791" s="17"/>
      <c r="DMI2791" s="17"/>
      <c r="DMJ2791" s="17"/>
      <c r="DMK2791" s="17"/>
      <c r="DML2791" s="17"/>
      <c r="DMM2791" s="17"/>
      <c r="DMN2791" s="17"/>
      <c r="DMO2791" s="17"/>
      <c r="DMP2791" s="17"/>
      <c r="DMQ2791" s="17"/>
    </row>
    <row r="2792" spans="3044:3059">
      <c r="DMB2792" s="17"/>
      <c r="DMC2792" s="17"/>
      <c r="DMD2792" s="17"/>
      <c r="DME2792" s="17"/>
      <c r="DMF2792" s="17"/>
      <c r="DMG2792" s="17"/>
      <c r="DMH2792" s="17"/>
      <c r="DMI2792" s="17"/>
      <c r="DMJ2792" s="17"/>
      <c r="DMK2792" s="17"/>
      <c r="DML2792" s="17"/>
      <c r="DMM2792" s="17"/>
      <c r="DMN2792" s="17"/>
      <c r="DMO2792" s="17"/>
      <c r="DMP2792" s="17"/>
      <c r="DMQ2792" s="17"/>
    </row>
    <row r="2793" spans="3044:3059">
      <c r="DMB2793" s="17"/>
      <c r="DMC2793" s="17"/>
      <c r="DMD2793" s="17"/>
      <c r="DME2793" s="17"/>
      <c r="DMF2793" s="17"/>
      <c r="DMG2793" s="17"/>
      <c r="DMH2793" s="17"/>
      <c r="DMI2793" s="17"/>
      <c r="DMJ2793" s="17"/>
      <c r="DMK2793" s="17"/>
      <c r="DML2793" s="17"/>
      <c r="DMM2793" s="17"/>
      <c r="DMN2793" s="17"/>
      <c r="DMO2793" s="17"/>
      <c r="DMP2793" s="17"/>
      <c r="DMQ2793" s="17"/>
    </row>
    <row r="2794" spans="3044:3059">
      <c r="DMB2794" s="17"/>
      <c r="DMC2794" s="17"/>
      <c r="DMD2794" s="17"/>
      <c r="DME2794" s="17"/>
      <c r="DMF2794" s="17"/>
      <c r="DMG2794" s="17"/>
      <c r="DMH2794" s="17"/>
      <c r="DMI2794" s="17"/>
      <c r="DMJ2794" s="17"/>
      <c r="DMK2794" s="17"/>
      <c r="DML2794" s="17"/>
      <c r="DMM2794" s="17"/>
      <c r="DMN2794" s="17"/>
      <c r="DMO2794" s="17"/>
      <c r="DMP2794" s="17"/>
      <c r="DMQ2794" s="17"/>
    </row>
    <row r="2795" spans="3044:3059">
      <c r="DMB2795" s="17"/>
      <c r="DMC2795" s="17"/>
      <c r="DMD2795" s="17"/>
      <c r="DME2795" s="17"/>
      <c r="DMF2795" s="17"/>
      <c r="DMG2795" s="17"/>
      <c r="DMH2795" s="17"/>
      <c r="DMI2795" s="17"/>
      <c r="DMJ2795" s="17"/>
      <c r="DMK2795" s="17"/>
      <c r="DML2795" s="17"/>
      <c r="DMM2795" s="17"/>
      <c r="DMN2795" s="17"/>
      <c r="DMO2795" s="17"/>
      <c r="DMP2795" s="17"/>
      <c r="DMQ2795" s="17"/>
    </row>
    <row r="2796" spans="3044:3059">
      <c r="DMB2796" s="17"/>
      <c r="DMC2796" s="17"/>
      <c r="DMD2796" s="17"/>
      <c r="DME2796" s="17"/>
      <c r="DMF2796" s="17"/>
      <c r="DMG2796" s="17"/>
      <c r="DMH2796" s="17"/>
      <c r="DMI2796" s="17"/>
      <c r="DMJ2796" s="17"/>
      <c r="DMK2796" s="17"/>
      <c r="DML2796" s="17"/>
      <c r="DMM2796" s="17"/>
      <c r="DMN2796" s="17"/>
      <c r="DMO2796" s="17"/>
      <c r="DMP2796" s="17"/>
      <c r="DMQ2796" s="17"/>
    </row>
    <row r="2797" spans="3044:3059">
      <c r="DMB2797" s="17"/>
      <c r="DMC2797" s="17"/>
      <c r="DMD2797" s="17"/>
      <c r="DME2797" s="17"/>
      <c r="DMF2797" s="17"/>
      <c r="DMG2797" s="17"/>
      <c r="DMH2797" s="17"/>
      <c r="DMI2797" s="17"/>
      <c r="DMJ2797" s="17"/>
      <c r="DMK2797" s="17"/>
      <c r="DML2797" s="17"/>
      <c r="DMM2797" s="17"/>
      <c r="DMN2797" s="17"/>
      <c r="DMO2797" s="17"/>
      <c r="DMP2797" s="17"/>
      <c r="DMQ2797" s="17"/>
    </row>
    <row r="2798" spans="3044:3059">
      <c r="DMB2798" s="17"/>
      <c r="DMC2798" s="17"/>
      <c r="DMD2798" s="17"/>
      <c r="DME2798" s="17"/>
      <c r="DMF2798" s="17"/>
      <c r="DMG2798" s="17"/>
      <c r="DMH2798" s="17"/>
      <c r="DMI2798" s="17"/>
      <c r="DMJ2798" s="17"/>
      <c r="DMK2798" s="17"/>
      <c r="DML2798" s="17"/>
      <c r="DMM2798" s="17"/>
      <c r="DMN2798" s="17"/>
      <c r="DMO2798" s="17"/>
      <c r="DMP2798" s="17"/>
      <c r="DMQ2798" s="17"/>
    </row>
    <row r="2799" spans="3044:3059">
      <c r="DMB2799" s="17"/>
      <c r="DMC2799" s="17"/>
      <c r="DMD2799" s="17"/>
      <c r="DME2799" s="17"/>
      <c r="DMF2799" s="17"/>
      <c r="DMG2799" s="17"/>
      <c r="DMH2799" s="17"/>
      <c r="DMI2799" s="17"/>
      <c r="DMJ2799" s="17"/>
      <c r="DMK2799" s="17"/>
      <c r="DML2799" s="17"/>
      <c r="DMM2799" s="17"/>
      <c r="DMN2799" s="17"/>
      <c r="DMO2799" s="17"/>
      <c r="DMP2799" s="17"/>
      <c r="DMQ2799" s="17"/>
    </row>
    <row r="2800" spans="3044:3059">
      <c r="DMB2800" s="17"/>
      <c r="DMC2800" s="17"/>
      <c r="DMD2800" s="17"/>
      <c r="DME2800" s="17"/>
      <c r="DMF2800" s="17"/>
      <c r="DMG2800" s="17"/>
      <c r="DMH2800" s="17"/>
      <c r="DMI2800" s="17"/>
      <c r="DMJ2800" s="17"/>
      <c r="DMK2800" s="17"/>
      <c r="DML2800" s="17"/>
      <c r="DMM2800" s="17"/>
      <c r="DMN2800" s="17"/>
      <c r="DMO2800" s="17"/>
      <c r="DMP2800" s="17"/>
      <c r="DMQ2800" s="17"/>
    </row>
    <row r="2801" spans="3044:3059">
      <c r="DMB2801" s="17"/>
      <c r="DMC2801" s="17"/>
      <c r="DMD2801" s="17"/>
      <c r="DME2801" s="17"/>
      <c r="DMF2801" s="17"/>
      <c r="DMG2801" s="17"/>
      <c r="DMH2801" s="17"/>
      <c r="DMI2801" s="17"/>
      <c r="DMJ2801" s="17"/>
      <c r="DMK2801" s="17"/>
      <c r="DML2801" s="17"/>
      <c r="DMM2801" s="17"/>
      <c r="DMN2801" s="17"/>
      <c r="DMO2801" s="17"/>
      <c r="DMP2801" s="17"/>
      <c r="DMQ2801" s="17"/>
    </row>
    <row r="2802" spans="3044:3059">
      <c r="DMB2802" s="17"/>
      <c r="DMC2802" s="17"/>
      <c r="DMD2802" s="17"/>
      <c r="DME2802" s="17"/>
      <c r="DMF2802" s="17"/>
      <c r="DMG2802" s="17"/>
      <c r="DMH2802" s="17"/>
      <c r="DMI2802" s="17"/>
      <c r="DMJ2802" s="17"/>
      <c r="DMK2802" s="17"/>
      <c r="DML2802" s="17"/>
      <c r="DMM2802" s="17"/>
      <c r="DMN2802" s="17"/>
      <c r="DMO2802" s="17"/>
      <c r="DMP2802" s="17"/>
      <c r="DMQ2802" s="17"/>
    </row>
    <row r="2803" spans="3044:3059">
      <c r="DMB2803" s="17"/>
      <c r="DMC2803" s="17"/>
      <c r="DMD2803" s="17"/>
      <c r="DME2803" s="17"/>
      <c r="DMF2803" s="17"/>
      <c r="DMG2803" s="17"/>
      <c r="DMH2803" s="17"/>
      <c r="DMI2803" s="17"/>
      <c r="DMJ2803" s="17"/>
      <c r="DMK2803" s="17"/>
      <c r="DML2803" s="17"/>
      <c r="DMM2803" s="17"/>
      <c r="DMN2803" s="17"/>
      <c r="DMO2803" s="17"/>
      <c r="DMP2803" s="17"/>
      <c r="DMQ2803" s="17"/>
    </row>
    <row r="2804" spans="3044:3059">
      <c r="DMB2804" s="17"/>
      <c r="DMC2804" s="17"/>
      <c r="DMD2804" s="17"/>
      <c r="DME2804" s="17"/>
      <c r="DMF2804" s="17"/>
      <c r="DMG2804" s="17"/>
      <c r="DMH2804" s="17"/>
      <c r="DMI2804" s="17"/>
      <c r="DMJ2804" s="17"/>
      <c r="DMK2804" s="17"/>
      <c r="DML2804" s="17"/>
      <c r="DMM2804" s="17"/>
      <c r="DMN2804" s="17"/>
      <c r="DMO2804" s="17"/>
      <c r="DMP2804" s="17"/>
      <c r="DMQ2804" s="17"/>
    </row>
    <row r="2805" spans="3044:3059">
      <c r="DMB2805" s="17"/>
      <c r="DMC2805" s="17"/>
      <c r="DMD2805" s="17"/>
      <c r="DME2805" s="17"/>
      <c r="DMF2805" s="17"/>
      <c r="DMG2805" s="17"/>
      <c r="DMH2805" s="17"/>
      <c r="DMI2805" s="17"/>
      <c r="DMJ2805" s="17"/>
      <c r="DMK2805" s="17"/>
      <c r="DML2805" s="17"/>
      <c r="DMM2805" s="17"/>
      <c r="DMN2805" s="17"/>
      <c r="DMO2805" s="17"/>
      <c r="DMP2805" s="17"/>
      <c r="DMQ2805" s="17"/>
    </row>
    <row r="2806" spans="3044:3059">
      <c r="DMB2806" s="17"/>
      <c r="DMC2806" s="17"/>
      <c r="DMD2806" s="17"/>
      <c r="DME2806" s="17"/>
      <c r="DMF2806" s="17"/>
      <c r="DMG2806" s="17"/>
      <c r="DMH2806" s="17"/>
      <c r="DMI2806" s="17"/>
      <c r="DMJ2806" s="17"/>
      <c r="DMK2806" s="17"/>
      <c r="DML2806" s="17"/>
      <c r="DMM2806" s="17"/>
      <c r="DMN2806" s="17"/>
      <c r="DMO2806" s="17"/>
      <c r="DMP2806" s="17"/>
      <c r="DMQ2806" s="17"/>
    </row>
    <row r="2807" spans="3044:3059">
      <c r="DMB2807" s="17"/>
      <c r="DMC2807" s="17"/>
      <c r="DMD2807" s="17"/>
      <c r="DME2807" s="17"/>
      <c r="DMF2807" s="17"/>
      <c r="DMG2807" s="17"/>
      <c r="DMH2807" s="17"/>
      <c r="DMI2807" s="17"/>
      <c r="DMJ2807" s="17"/>
      <c r="DMK2807" s="17"/>
      <c r="DML2807" s="17"/>
      <c r="DMM2807" s="17"/>
      <c r="DMN2807" s="17"/>
      <c r="DMO2807" s="17"/>
      <c r="DMP2807" s="17"/>
      <c r="DMQ2807" s="17"/>
    </row>
    <row r="2808" spans="3044:3059">
      <c r="DMB2808" s="17"/>
      <c r="DMC2808" s="17"/>
      <c r="DMD2808" s="17"/>
      <c r="DME2808" s="17"/>
      <c r="DMF2808" s="17"/>
      <c r="DMG2808" s="17"/>
      <c r="DMH2808" s="17"/>
      <c r="DMI2808" s="17"/>
      <c r="DMJ2808" s="17"/>
      <c r="DMK2808" s="17"/>
      <c r="DML2808" s="17"/>
      <c r="DMM2808" s="17"/>
      <c r="DMN2808" s="17"/>
      <c r="DMO2808" s="17"/>
      <c r="DMP2808" s="17"/>
      <c r="DMQ2808" s="17"/>
    </row>
    <row r="2809" spans="3044:3059">
      <c r="DMB2809" s="17"/>
      <c r="DMC2809" s="17"/>
      <c r="DMD2809" s="17"/>
      <c r="DME2809" s="17"/>
      <c r="DMF2809" s="17"/>
      <c r="DMG2809" s="17"/>
      <c r="DMH2809" s="17"/>
      <c r="DMI2809" s="17"/>
      <c r="DMJ2809" s="17"/>
      <c r="DMK2809" s="17"/>
      <c r="DML2809" s="17"/>
      <c r="DMM2809" s="17"/>
      <c r="DMN2809" s="17"/>
      <c r="DMO2809" s="17"/>
      <c r="DMP2809" s="17"/>
      <c r="DMQ2809" s="17"/>
    </row>
    <row r="2810" spans="3044:3059">
      <c r="DMB2810" s="17"/>
      <c r="DMC2810" s="17"/>
      <c r="DMD2810" s="17"/>
      <c r="DME2810" s="17"/>
      <c r="DMF2810" s="17"/>
      <c r="DMG2810" s="17"/>
      <c r="DMH2810" s="17"/>
      <c r="DMI2810" s="17"/>
      <c r="DMJ2810" s="17"/>
      <c r="DMK2810" s="17"/>
      <c r="DML2810" s="17"/>
      <c r="DMM2810" s="17"/>
      <c r="DMN2810" s="17"/>
      <c r="DMO2810" s="17"/>
      <c r="DMP2810" s="17"/>
      <c r="DMQ2810" s="17"/>
    </row>
    <row r="2811" spans="3044:3059">
      <c r="DMB2811" s="17"/>
      <c r="DMC2811" s="17"/>
      <c r="DMD2811" s="17"/>
      <c r="DME2811" s="17"/>
      <c r="DMF2811" s="17"/>
      <c r="DMG2811" s="17"/>
      <c r="DMH2811" s="17"/>
      <c r="DMI2811" s="17"/>
      <c r="DMJ2811" s="17"/>
      <c r="DMK2811" s="17"/>
      <c r="DML2811" s="17"/>
      <c r="DMM2811" s="17"/>
      <c r="DMN2811" s="17"/>
      <c r="DMO2811" s="17"/>
      <c r="DMP2811" s="17"/>
      <c r="DMQ2811" s="17"/>
    </row>
    <row r="2812" spans="3044:3059">
      <c r="DMB2812" s="17"/>
      <c r="DMC2812" s="17"/>
      <c r="DMD2812" s="17"/>
      <c r="DME2812" s="17"/>
      <c r="DMF2812" s="17"/>
      <c r="DMG2812" s="17"/>
      <c r="DMH2812" s="17"/>
      <c r="DMI2812" s="17"/>
      <c r="DMJ2812" s="17"/>
      <c r="DMK2812" s="17"/>
      <c r="DML2812" s="17"/>
      <c r="DMM2812" s="17"/>
      <c r="DMN2812" s="17"/>
      <c r="DMO2812" s="17"/>
      <c r="DMP2812" s="17"/>
      <c r="DMQ2812" s="17"/>
    </row>
    <row r="2813" spans="3044:3059">
      <c r="DMB2813" s="17"/>
      <c r="DMC2813" s="17"/>
      <c r="DMD2813" s="17"/>
      <c r="DME2813" s="17"/>
      <c r="DMF2813" s="17"/>
      <c r="DMG2813" s="17"/>
      <c r="DMH2813" s="17"/>
      <c r="DMI2813" s="17"/>
      <c r="DMJ2813" s="17"/>
      <c r="DMK2813" s="17"/>
      <c r="DML2813" s="17"/>
      <c r="DMM2813" s="17"/>
      <c r="DMN2813" s="17"/>
      <c r="DMO2813" s="17"/>
      <c r="DMP2813" s="17"/>
      <c r="DMQ2813" s="17"/>
    </row>
    <row r="2814" spans="3044:3059">
      <c r="DMB2814" s="17"/>
      <c r="DMC2814" s="17"/>
      <c r="DMD2814" s="17"/>
      <c r="DME2814" s="17"/>
      <c r="DMF2814" s="17"/>
      <c r="DMG2814" s="17"/>
      <c r="DMH2814" s="17"/>
      <c r="DMI2814" s="17"/>
      <c r="DMJ2814" s="17"/>
      <c r="DMK2814" s="17"/>
      <c r="DML2814" s="17"/>
      <c r="DMM2814" s="17"/>
      <c r="DMN2814" s="17"/>
      <c r="DMO2814" s="17"/>
      <c r="DMP2814" s="17"/>
      <c r="DMQ2814" s="17"/>
    </row>
    <row r="2815" spans="3044:3059">
      <c r="DMB2815" s="17"/>
      <c r="DMC2815" s="17"/>
      <c r="DMD2815" s="17"/>
      <c r="DME2815" s="17"/>
      <c r="DMF2815" s="17"/>
      <c r="DMG2815" s="17"/>
      <c r="DMH2815" s="17"/>
      <c r="DMI2815" s="17"/>
      <c r="DMJ2815" s="17"/>
      <c r="DMK2815" s="17"/>
      <c r="DML2815" s="17"/>
      <c r="DMM2815" s="17"/>
      <c r="DMN2815" s="17"/>
      <c r="DMO2815" s="17"/>
      <c r="DMP2815" s="17"/>
      <c r="DMQ2815" s="17"/>
    </row>
    <row r="2816" spans="3044:3059">
      <c r="DMB2816" s="17"/>
      <c r="DMC2816" s="17"/>
      <c r="DMD2816" s="17"/>
      <c r="DME2816" s="17"/>
      <c r="DMF2816" s="17"/>
      <c r="DMG2816" s="17"/>
      <c r="DMH2816" s="17"/>
      <c r="DMI2816" s="17"/>
      <c r="DMJ2816" s="17"/>
      <c r="DMK2816" s="17"/>
      <c r="DML2816" s="17"/>
      <c r="DMM2816" s="17"/>
      <c r="DMN2816" s="17"/>
      <c r="DMO2816" s="17"/>
      <c r="DMP2816" s="17"/>
      <c r="DMQ2816" s="17"/>
    </row>
    <row r="2817" spans="3044:3059">
      <c r="DMB2817" s="17"/>
      <c r="DMC2817" s="17"/>
      <c r="DMD2817" s="17"/>
      <c r="DME2817" s="17"/>
      <c r="DMF2817" s="17"/>
      <c r="DMG2817" s="17"/>
      <c r="DMH2817" s="17"/>
      <c r="DMI2817" s="17"/>
      <c r="DMJ2817" s="17"/>
      <c r="DMK2817" s="17"/>
      <c r="DML2817" s="17"/>
      <c r="DMM2817" s="17"/>
      <c r="DMN2817" s="17"/>
      <c r="DMO2817" s="17"/>
      <c r="DMP2817" s="17"/>
      <c r="DMQ2817" s="17"/>
    </row>
    <row r="2818" spans="3044:3059">
      <c r="DMB2818" s="17"/>
      <c r="DMC2818" s="17"/>
      <c r="DMD2818" s="17"/>
      <c r="DME2818" s="17"/>
      <c r="DMF2818" s="17"/>
      <c r="DMG2818" s="17"/>
      <c r="DMH2818" s="17"/>
      <c r="DMI2818" s="17"/>
      <c r="DMJ2818" s="17"/>
      <c r="DMK2818" s="17"/>
      <c r="DML2818" s="17"/>
      <c r="DMM2818" s="17"/>
      <c r="DMN2818" s="17"/>
      <c r="DMO2818" s="17"/>
      <c r="DMP2818" s="17"/>
      <c r="DMQ2818" s="17"/>
    </row>
    <row r="2819" spans="3044:3059">
      <c r="DMB2819" s="17"/>
      <c r="DMC2819" s="17"/>
      <c r="DMD2819" s="17"/>
      <c r="DME2819" s="17"/>
      <c r="DMF2819" s="17"/>
      <c r="DMG2819" s="17"/>
      <c r="DMH2819" s="17"/>
      <c r="DMI2819" s="17"/>
      <c r="DMJ2819" s="17"/>
      <c r="DMK2819" s="17"/>
      <c r="DML2819" s="17"/>
      <c r="DMM2819" s="17"/>
      <c r="DMN2819" s="17"/>
      <c r="DMO2819" s="17"/>
      <c r="DMP2819" s="17"/>
      <c r="DMQ2819" s="17"/>
    </row>
    <row r="2820" spans="3044:3059">
      <c r="DMB2820" s="17"/>
      <c r="DMC2820" s="17"/>
      <c r="DMD2820" s="17"/>
      <c r="DME2820" s="17"/>
      <c r="DMF2820" s="17"/>
      <c r="DMG2820" s="17"/>
      <c r="DMH2820" s="17"/>
      <c r="DMI2820" s="17"/>
      <c r="DMJ2820" s="17"/>
      <c r="DMK2820" s="17"/>
      <c r="DML2820" s="17"/>
      <c r="DMM2820" s="17"/>
      <c r="DMN2820" s="17"/>
      <c r="DMO2820" s="17"/>
      <c r="DMP2820" s="17"/>
      <c r="DMQ2820" s="17"/>
    </row>
    <row r="2821" spans="3044:3059">
      <c r="DMB2821" s="17"/>
      <c r="DMC2821" s="17"/>
      <c r="DMD2821" s="17"/>
      <c r="DME2821" s="17"/>
      <c r="DMF2821" s="17"/>
      <c r="DMG2821" s="17"/>
      <c r="DMH2821" s="17"/>
      <c r="DMI2821" s="17"/>
      <c r="DMJ2821" s="17"/>
      <c r="DMK2821" s="17"/>
      <c r="DML2821" s="17"/>
      <c r="DMM2821" s="17"/>
      <c r="DMN2821" s="17"/>
      <c r="DMO2821" s="17"/>
      <c r="DMP2821" s="17"/>
      <c r="DMQ2821" s="17"/>
    </row>
    <row r="2822" spans="3044:3059">
      <c r="DMB2822" s="17"/>
      <c r="DMC2822" s="17"/>
      <c r="DMD2822" s="17"/>
      <c r="DME2822" s="17"/>
      <c r="DMF2822" s="17"/>
      <c r="DMG2822" s="17"/>
      <c r="DMH2822" s="17"/>
      <c r="DMI2822" s="17"/>
      <c r="DMJ2822" s="17"/>
      <c r="DMK2822" s="17"/>
      <c r="DML2822" s="17"/>
      <c r="DMM2822" s="17"/>
      <c r="DMN2822" s="17"/>
      <c r="DMO2822" s="17"/>
      <c r="DMP2822" s="17"/>
      <c r="DMQ2822" s="17"/>
    </row>
    <row r="2823" spans="3044:3059">
      <c r="DMB2823" s="17"/>
      <c r="DMC2823" s="17"/>
      <c r="DMD2823" s="17"/>
      <c r="DME2823" s="17"/>
      <c r="DMF2823" s="17"/>
      <c r="DMG2823" s="17"/>
      <c r="DMH2823" s="17"/>
      <c r="DMI2823" s="17"/>
      <c r="DMJ2823" s="17"/>
      <c r="DMK2823" s="17"/>
      <c r="DML2823" s="17"/>
      <c r="DMM2823" s="17"/>
      <c r="DMN2823" s="17"/>
      <c r="DMO2823" s="17"/>
      <c r="DMP2823" s="17"/>
      <c r="DMQ2823" s="17"/>
    </row>
    <row r="2824" spans="3044:3059">
      <c r="DMB2824" s="17"/>
      <c r="DMC2824" s="17"/>
      <c r="DMD2824" s="17"/>
      <c r="DME2824" s="17"/>
      <c r="DMF2824" s="17"/>
      <c r="DMG2824" s="17"/>
      <c r="DMH2824" s="17"/>
      <c r="DMI2824" s="17"/>
      <c r="DMJ2824" s="17"/>
      <c r="DMK2824" s="17"/>
      <c r="DML2824" s="17"/>
      <c r="DMM2824" s="17"/>
      <c r="DMN2824" s="17"/>
      <c r="DMO2824" s="17"/>
      <c r="DMP2824" s="17"/>
      <c r="DMQ2824" s="17"/>
    </row>
    <row r="2825" spans="3044:3059">
      <c r="DMB2825" s="17"/>
      <c r="DMC2825" s="17"/>
      <c r="DMD2825" s="17"/>
      <c r="DME2825" s="17"/>
      <c r="DMF2825" s="17"/>
      <c r="DMG2825" s="17"/>
      <c r="DMH2825" s="17"/>
      <c r="DMI2825" s="17"/>
      <c r="DMJ2825" s="17"/>
      <c r="DMK2825" s="17"/>
      <c r="DML2825" s="17"/>
      <c r="DMM2825" s="17"/>
      <c r="DMN2825" s="17"/>
      <c r="DMO2825" s="17"/>
      <c r="DMP2825" s="17"/>
      <c r="DMQ2825" s="17"/>
    </row>
    <row r="2826" spans="3044:3059">
      <c r="DMB2826" s="17"/>
      <c r="DMC2826" s="17"/>
      <c r="DMD2826" s="17"/>
      <c r="DME2826" s="17"/>
      <c r="DMF2826" s="17"/>
      <c r="DMG2826" s="17"/>
      <c r="DMH2826" s="17"/>
      <c r="DMI2826" s="17"/>
      <c r="DMJ2826" s="17"/>
      <c r="DMK2826" s="17"/>
      <c r="DML2826" s="17"/>
      <c r="DMM2826" s="17"/>
      <c r="DMN2826" s="17"/>
      <c r="DMO2826" s="17"/>
      <c r="DMP2826" s="17"/>
      <c r="DMQ2826" s="17"/>
    </row>
    <row r="2827" spans="3044:3059">
      <c r="DMB2827" s="17"/>
      <c r="DMC2827" s="17"/>
      <c r="DMD2827" s="17"/>
      <c r="DME2827" s="17"/>
      <c r="DMF2827" s="17"/>
      <c r="DMG2827" s="17"/>
      <c r="DMH2827" s="17"/>
      <c r="DMI2827" s="17"/>
      <c r="DMJ2827" s="17"/>
      <c r="DMK2827" s="17"/>
      <c r="DML2827" s="17"/>
      <c r="DMM2827" s="17"/>
      <c r="DMN2827" s="17"/>
      <c r="DMO2827" s="17"/>
      <c r="DMP2827" s="17"/>
      <c r="DMQ2827" s="17"/>
    </row>
    <row r="2828" spans="3044:3059">
      <c r="DMB2828" s="17"/>
      <c r="DMC2828" s="17"/>
      <c r="DMD2828" s="17"/>
      <c r="DME2828" s="17"/>
      <c r="DMF2828" s="17"/>
      <c r="DMG2828" s="17"/>
      <c r="DMH2828" s="17"/>
      <c r="DMI2828" s="17"/>
      <c r="DMJ2828" s="17"/>
      <c r="DMK2828" s="17"/>
      <c r="DML2828" s="17"/>
      <c r="DMM2828" s="17"/>
      <c r="DMN2828" s="17"/>
      <c r="DMO2828" s="17"/>
      <c r="DMP2828" s="17"/>
      <c r="DMQ2828" s="17"/>
    </row>
    <row r="2829" spans="3044:3059">
      <c r="DMB2829" s="17"/>
      <c r="DMC2829" s="17"/>
      <c r="DMD2829" s="17"/>
      <c r="DME2829" s="17"/>
      <c r="DMF2829" s="17"/>
      <c r="DMG2829" s="17"/>
      <c r="DMH2829" s="17"/>
      <c r="DMI2829" s="17"/>
      <c r="DMJ2829" s="17"/>
      <c r="DMK2829" s="17"/>
      <c r="DML2829" s="17"/>
      <c r="DMM2829" s="17"/>
      <c r="DMN2829" s="17"/>
      <c r="DMO2829" s="17"/>
      <c r="DMP2829" s="17"/>
      <c r="DMQ2829" s="17"/>
    </row>
    <row r="2830" spans="3044:3059">
      <c r="DMB2830" s="17"/>
      <c r="DMC2830" s="17"/>
      <c r="DMD2830" s="17"/>
      <c r="DME2830" s="17"/>
      <c r="DMF2830" s="17"/>
      <c r="DMG2830" s="17"/>
      <c r="DMH2830" s="17"/>
      <c r="DMI2830" s="17"/>
      <c r="DMJ2830" s="17"/>
      <c r="DMK2830" s="17"/>
      <c r="DML2830" s="17"/>
      <c r="DMM2830" s="17"/>
      <c r="DMN2830" s="17"/>
      <c r="DMO2830" s="17"/>
      <c r="DMP2830" s="17"/>
      <c r="DMQ2830" s="17"/>
    </row>
    <row r="2831" spans="3044:3059">
      <c r="DMB2831" s="17"/>
      <c r="DMC2831" s="17"/>
      <c r="DMD2831" s="17"/>
      <c r="DME2831" s="17"/>
      <c r="DMF2831" s="17"/>
      <c r="DMG2831" s="17"/>
      <c r="DMH2831" s="17"/>
      <c r="DMI2831" s="17"/>
      <c r="DMJ2831" s="17"/>
      <c r="DMK2831" s="17"/>
      <c r="DML2831" s="17"/>
      <c r="DMM2831" s="17"/>
      <c r="DMN2831" s="17"/>
      <c r="DMO2831" s="17"/>
      <c r="DMP2831" s="17"/>
      <c r="DMQ2831" s="17"/>
    </row>
    <row r="2832" spans="3044:3059">
      <c r="DMB2832" s="17"/>
      <c r="DMC2832" s="17"/>
      <c r="DMD2832" s="17"/>
      <c r="DME2832" s="17"/>
      <c r="DMF2832" s="17"/>
      <c r="DMG2832" s="17"/>
      <c r="DMH2832" s="17"/>
      <c r="DMI2832" s="17"/>
      <c r="DMJ2832" s="17"/>
      <c r="DMK2832" s="17"/>
      <c r="DML2832" s="17"/>
      <c r="DMM2832" s="17"/>
      <c r="DMN2832" s="17"/>
      <c r="DMO2832" s="17"/>
      <c r="DMP2832" s="17"/>
      <c r="DMQ2832" s="17"/>
    </row>
    <row r="2833" spans="3044:3059">
      <c r="DMB2833" s="17"/>
      <c r="DMC2833" s="17"/>
      <c r="DMD2833" s="17"/>
      <c r="DME2833" s="17"/>
      <c r="DMF2833" s="17"/>
      <c r="DMG2833" s="17"/>
      <c r="DMH2833" s="17"/>
      <c r="DMI2833" s="17"/>
      <c r="DMJ2833" s="17"/>
      <c r="DMK2833" s="17"/>
      <c r="DML2833" s="17"/>
      <c r="DMM2833" s="17"/>
      <c r="DMN2833" s="17"/>
      <c r="DMO2833" s="17"/>
      <c r="DMP2833" s="17"/>
      <c r="DMQ2833" s="17"/>
    </row>
    <row r="2834" spans="3044:3059">
      <c r="DMB2834" s="17"/>
      <c r="DMC2834" s="17"/>
      <c r="DMD2834" s="17"/>
      <c r="DME2834" s="17"/>
      <c r="DMF2834" s="17"/>
      <c r="DMG2834" s="17"/>
      <c r="DMH2834" s="17"/>
      <c r="DMI2834" s="17"/>
      <c r="DMJ2834" s="17"/>
      <c r="DMK2834" s="17"/>
      <c r="DML2834" s="17"/>
      <c r="DMM2834" s="17"/>
      <c r="DMN2834" s="17"/>
      <c r="DMO2834" s="17"/>
      <c r="DMP2834" s="17"/>
      <c r="DMQ2834" s="17"/>
    </row>
    <row r="2835" spans="3044:3059">
      <c r="DMB2835" s="17"/>
      <c r="DMC2835" s="17"/>
      <c r="DMD2835" s="17"/>
      <c r="DME2835" s="17"/>
      <c r="DMF2835" s="17"/>
      <c r="DMG2835" s="17"/>
      <c r="DMH2835" s="17"/>
      <c r="DMI2835" s="17"/>
      <c r="DMJ2835" s="17"/>
      <c r="DMK2835" s="17"/>
      <c r="DML2835" s="17"/>
      <c r="DMM2835" s="17"/>
      <c r="DMN2835" s="17"/>
      <c r="DMO2835" s="17"/>
      <c r="DMP2835" s="17"/>
      <c r="DMQ2835" s="17"/>
    </row>
    <row r="2836" spans="3044:3059">
      <c r="DMB2836" s="17"/>
      <c r="DMC2836" s="17"/>
      <c r="DMD2836" s="17"/>
      <c r="DME2836" s="17"/>
      <c r="DMF2836" s="17"/>
      <c r="DMG2836" s="17"/>
      <c r="DMH2836" s="17"/>
      <c r="DMI2836" s="17"/>
      <c r="DMJ2836" s="17"/>
      <c r="DMK2836" s="17"/>
      <c r="DML2836" s="17"/>
      <c r="DMM2836" s="17"/>
      <c r="DMN2836" s="17"/>
      <c r="DMO2836" s="17"/>
      <c r="DMP2836" s="17"/>
      <c r="DMQ2836" s="17"/>
    </row>
    <row r="2837" spans="3044:3059">
      <c r="DMB2837" s="17"/>
      <c r="DMC2837" s="17"/>
      <c r="DMD2837" s="17"/>
      <c r="DME2837" s="17"/>
      <c r="DMF2837" s="17"/>
      <c r="DMG2837" s="17"/>
      <c r="DMH2837" s="17"/>
      <c r="DMI2837" s="17"/>
      <c r="DMJ2837" s="17"/>
      <c r="DMK2837" s="17"/>
      <c r="DML2837" s="17"/>
      <c r="DMM2837" s="17"/>
      <c r="DMN2837" s="17"/>
      <c r="DMO2837" s="17"/>
      <c r="DMP2837" s="17"/>
      <c r="DMQ2837" s="17"/>
    </row>
    <row r="2838" spans="3044:3059">
      <c r="DMB2838" s="17"/>
      <c r="DMC2838" s="17"/>
      <c r="DMD2838" s="17"/>
      <c r="DME2838" s="17"/>
      <c r="DMF2838" s="17"/>
      <c r="DMG2838" s="17"/>
      <c r="DMH2838" s="17"/>
      <c r="DMI2838" s="17"/>
      <c r="DMJ2838" s="17"/>
      <c r="DMK2838" s="17"/>
      <c r="DML2838" s="17"/>
      <c r="DMM2838" s="17"/>
      <c r="DMN2838" s="17"/>
      <c r="DMO2838" s="17"/>
      <c r="DMP2838" s="17"/>
      <c r="DMQ2838" s="17"/>
    </row>
    <row r="2839" spans="3044:3059">
      <c r="DMB2839" s="17"/>
      <c r="DMC2839" s="17"/>
      <c r="DMD2839" s="17"/>
      <c r="DME2839" s="17"/>
      <c r="DMF2839" s="17"/>
      <c r="DMG2839" s="17"/>
      <c r="DMH2839" s="17"/>
      <c r="DMI2839" s="17"/>
      <c r="DMJ2839" s="17"/>
      <c r="DMK2839" s="17"/>
      <c r="DML2839" s="17"/>
      <c r="DMM2839" s="17"/>
      <c r="DMN2839" s="17"/>
      <c r="DMO2839" s="17"/>
      <c r="DMP2839" s="17"/>
      <c r="DMQ2839" s="17"/>
    </row>
    <row r="2840" spans="3044:3059">
      <c r="DMB2840" s="17"/>
      <c r="DMC2840" s="17"/>
      <c r="DMD2840" s="17"/>
      <c r="DME2840" s="17"/>
      <c r="DMF2840" s="17"/>
      <c r="DMG2840" s="17"/>
      <c r="DMH2840" s="17"/>
      <c r="DMI2840" s="17"/>
      <c r="DMJ2840" s="17"/>
      <c r="DMK2840" s="17"/>
      <c r="DML2840" s="17"/>
      <c r="DMM2840" s="17"/>
      <c r="DMN2840" s="17"/>
      <c r="DMO2840" s="17"/>
      <c r="DMP2840" s="17"/>
      <c r="DMQ2840" s="17"/>
    </row>
    <row r="2841" spans="3044:3059">
      <c r="DMB2841" s="17"/>
      <c r="DMC2841" s="17"/>
      <c r="DMD2841" s="17"/>
      <c r="DME2841" s="17"/>
      <c r="DMF2841" s="17"/>
      <c r="DMG2841" s="17"/>
      <c r="DMH2841" s="17"/>
      <c r="DMI2841" s="17"/>
      <c r="DMJ2841" s="17"/>
      <c r="DMK2841" s="17"/>
      <c r="DML2841" s="17"/>
      <c r="DMM2841" s="17"/>
      <c r="DMN2841" s="17"/>
      <c r="DMO2841" s="17"/>
      <c r="DMP2841" s="17"/>
      <c r="DMQ2841" s="17"/>
    </row>
    <row r="2842" spans="3044:3059">
      <c r="DMB2842" s="17"/>
      <c r="DMC2842" s="17"/>
      <c r="DMD2842" s="17"/>
      <c r="DME2842" s="17"/>
      <c r="DMF2842" s="17"/>
      <c r="DMG2842" s="17"/>
      <c r="DMH2842" s="17"/>
      <c r="DMI2842" s="17"/>
      <c r="DMJ2842" s="17"/>
      <c r="DMK2842" s="17"/>
      <c r="DML2842" s="17"/>
      <c r="DMM2842" s="17"/>
      <c r="DMN2842" s="17"/>
      <c r="DMO2842" s="17"/>
      <c r="DMP2842" s="17"/>
      <c r="DMQ2842" s="17"/>
    </row>
    <row r="2843" spans="3044:3059">
      <c r="DMB2843" s="17"/>
      <c r="DMC2843" s="17"/>
      <c r="DMD2843" s="17"/>
      <c r="DME2843" s="17"/>
      <c r="DMF2843" s="17"/>
      <c r="DMG2843" s="17"/>
      <c r="DMH2843" s="17"/>
      <c r="DMI2843" s="17"/>
      <c r="DMJ2843" s="17"/>
      <c r="DMK2843" s="17"/>
      <c r="DML2843" s="17"/>
      <c r="DMM2843" s="17"/>
      <c r="DMN2843" s="17"/>
      <c r="DMO2843" s="17"/>
      <c r="DMP2843" s="17"/>
      <c r="DMQ2843" s="17"/>
    </row>
    <row r="2844" spans="3044:3059">
      <c r="DMB2844" s="17"/>
      <c r="DMC2844" s="17"/>
      <c r="DMD2844" s="17"/>
      <c r="DME2844" s="17"/>
      <c r="DMF2844" s="17"/>
      <c r="DMG2844" s="17"/>
      <c r="DMH2844" s="17"/>
      <c r="DMI2844" s="17"/>
      <c r="DMJ2844" s="17"/>
      <c r="DMK2844" s="17"/>
      <c r="DML2844" s="17"/>
      <c r="DMM2844" s="17"/>
      <c r="DMN2844" s="17"/>
      <c r="DMO2844" s="17"/>
      <c r="DMP2844" s="17"/>
      <c r="DMQ2844" s="17"/>
    </row>
    <row r="2845" spans="3044:3059">
      <c r="DMB2845" s="17"/>
      <c r="DMC2845" s="17"/>
      <c r="DMD2845" s="17"/>
      <c r="DME2845" s="17"/>
      <c r="DMF2845" s="17"/>
      <c r="DMG2845" s="17"/>
      <c r="DMH2845" s="17"/>
      <c r="DMI2845" s="17"/>
      <c r="DMJ2845" s="17"/>
      <c r="DMK2845" s="17"/>
      <c r="DML2845" s="17"/>
      <c r="DMM2845" s="17"/>
      <c r="DMN2845" s="17"/>
      <c r="DMO2845" s="17"/>
      <c r="DMP2845" s="17"/>
      <c r="DMQ2845" s="17"/>
    </row>
    <row r="2846" spans="3044:3059">
      <c r="DMB2846" s="17"/>
      <c r="DMC2846" s="17"/>
      <c r="DMD2846" s="17"/>
      <c r="DME2846" s="17"/>
      <c r="DMF2846" s="17"/>
      <c r="DMG2846" s="17"/>
      <c r="DMH2846" s="17"/>
      <c r="DMI2846" s="17"/>
      <c r="DMJ2846" s="17"/>
      <c r="DMK2846" s="17"/>
      <c r="DML2846" s="17"/>
      <c r="DMM2846" s="17"/>
      <c r="DMN2846" s="17"/>
      <c r="DMO2846" s="17"/>
      <c r="DMP2846" s="17"/>
      <c r="DMQ2846" s="17"/>
    </row>
    <row r="2847" spans="3044:3059">
      <c r="DMB2847" s="17"/>
      <c r="DMC2847" s="17"/>
      <c r="DMD2847" s="17"/>
      <c r="DME2847" s="17"/>
      <c r="DMF2847" s="17"/>
      <c r="DMG2847" s="17"/>
      <c r="DMH2847" s="17"/>
      <c r="DMI2847" s="17"/>
      <c r="DMJ2847" s="17"/>
      <c r="DMK2847" s="17"/>
      <c r="DML2847" s="17"/>
      <c r="DMM2847" s="17"/>
      <c r="DMN2847" s="17"/>
      <c r="DMO2847" s="17"/>
      <c r="DMP2847" s="17"/>
      <c r="DMQ2847" s="17"/>
    </row>
    <row r="2848" spans="3044:3059">
      <c r="DMB2848" s="17"/>
      <c r="DMC2848" s="17"/>
      <c r="DMD2848" s="17"/>
      <c r="DME2848" s="17"/>
      <c r="DMF2848" s="17"/>
      <c r="DMG2848" s="17"/>
      <c r="DMH2848" s="17"/>
      <c r="DMI2848" s="17"/>
      <c r="DMJ2848" s="17"/>
      <c r="DMK2848" s="17"/>
      <c r="DML2848" s="17"/>
      <c r="DMM2848" s="17"/>
      <c r="DMN2848" s="17"/>
      <c r="DMO2848" s="17"/>
      <c r="DMP2848" s="17"/>
      <c r="DMQ2848" s="17"/>
    </row>
    <row r="2849" spans="3044:3059">
      <c r="DMB2849" s="17"/>
      <c r="DMC2849" s="17"/>
      <c r="DMD2849" s="17"/>
      <c r="DME2849" s="17"/>
      <c r="DMF2849" s="17"/>
      <c r="DMG2849" s="17"/>
      <c r="DMH2849" s="17"/>
      <c r="DMI2849" s="17"/>
      <c r="DMJ2849" s="17"/>
      <c r="DMK2849" s="17"/>
      <c r="DML2849" s="17"/>
      <c r="DMM2849" s="17"/>
      <c r="DMN2849" s="17"/>
      <c r="DMO2849" s="17"/>
      <c r="DMP2849" s="17"/>
      <c r="DMQ2849" s="17"/>
    </row>
    <row r="2850" spans="3044:3059">
      <c r="DMB2850" s="17"/>
      <c r="DMC2850" s="17"/>
      <c r="DMD2850" s="17"/>
      <c r="DME2850" s="17"/>
      <c r="DMF2850" s="17"/>
      <c r="DMG2850" s="17"/>
      <c r="DMH2850" s="17"/>
      <c r="DMI2850" s="17"/>
      <c r="DMJ2850" s="17"/>
      <c r="DMK2850" s="17"/>
      <c r="DML2850" s="17"/>
      <c r="DMM2850" s="17"/>
      <c r="DMN2850" s="17"/>
      <c r="DMO2850" s="17"/>
      <c r="DMP2850" s="17"/>
      <c r="DMQ2850" s="17"/>
    </row>
    <row r="2851" spans="3044:3059">
      <c r="DMB2851" s="17"/>
      <c r="DMC2851" s="17"/>
      <c r="DMD2851" s="17"/>
      <c r="DME2851" s="17"/>
      <c r="DMF2851" s="17"/>
      <c r="DMG2851" s="17"/>
      <c r="DMH2851" s="17"/>
      <c r="DMI2851" s="17"/>
      <c r="DMJ2851" s="17"/>
      <c r="DMK2851" s="17"/>
      <c r="DML2851" s="17"/>
      <c r="DMM2851" s="17"/>
      <c r="DMN2851" s="17"/>
      <c r="DMO2851" s="17"/>
      <c r="DMP2851" s="17"/>
      <c r="DMQ2851" s="17"/>
    </row>
    <row r="2852" spans="3044:3059">
      <c r="DMB2852" s="17"/>
      <c r="DMC2852" s="17"/>
      <c r="DMD2852" s="17"/>
      <c r="DME2852" s="17"/>
      <c r="DMF2852" s="17"/>
      <c r="DMG2852" s="17"/>
      <c r="DMH2852" s="17"/>
      <c r="DMI2852" s="17"/>
      <c r="DMJ2852" s="17"/>
      <c r="DMK2852" s="17"/>
      <c r="DML2852" s="17"/>
      <c r="DMM2852" s="17"/>
      <c r="DMN2852" s="17"/>
      <c r="DMO2852" s="17"/>
      <c r="DMP2852" s="17"/>
      <c r="DMQ2852" s="17"/>
    </row>
    <row r="2853" spans="3044:3059">
      <c r="DMB2853" s="17"/>
      <c r="DMC2853" s="17"/>
      <c r="DMD2853" s="17"/>
      <c r="DME2853" s="17"/>
      <c r="DMF2853" s="17"/>
      <c r="DMG2853" s="17"/>
      <c r="DMH2853" s="17"/>
      <c r="DMI2853" s="17"/>
      <c r="DMJ2853" s="17"/>
      <c r="DMK2853" s="17"/>
      <c r="DML2853" s="17"/>
      <c r="DMM2853" s="17"/>
      <c r="DMN2853" s="17"/>
      <c r="DMO2853" s="17"/>
      <c r="DMP2853" s="17"/>
      <c r="DMQ2853" s="17"/>
    </row>
    <row r="2854" spans="3044:3059">
      <c r="DMB2854" s="17"/>
      <c r="DMC2854" s="17"/>
      <c r="DMD2854" s="17"/>
      <c r="DME2854" s="17"/>
      <c r="DMF2854" s="17"/>
      <c r="DMG2854" s="17"/>
      <c r="DMH2854" s="17"/>
      <c r="DMI2854" s="17"/>
      <c r="DMJ2854" s="17"/>
      <c r="DMK2854" s="17"/>
      <c r="DML2854" s="17"/>
      <c r="DMM2854" s="17"/>
      <c r="DMN2854" s="17"/>
      <c r="DMO2854" s="17"/>
      <c r="DMP2854" s="17"/>
      <c r="DMQ2854" s="17"/>
    </row>
    <row r="2855" spans="3044:3059">
      <c r="DMB2855" s="17"/>
      <c r="DMC2855" s="17"/>
      <c r="DMD2855" s="17"/>
      <c r="DME2855" s="17"/>
      <c r="DMF2855" s="17"/>
      <c r="DMG2855" s="17"/>
      <c r="DMH2855" s="17"/>
      <c r="DMI2855" s="17"/>
      <c r="DMJ2855" s="17"/>
      <c r="DMK2855" s="17"/>
      <c r="DML2855" s="17"/>
      <c r="DMM2855" s="17"/>
      <c r="DMN2855" s="17"/>
      <c r="DMO2855" s="17"/>
      <c r="DMP2855" s="17"/>
      <c r="DMQ2855" s="17"/>
    </row>
    <row r="2856" spans="3044:3059">
      <c r="DMB2856" s="17"/>
      <c r="DMC2856" s="17"/>
      <c r="DMD2856" s="17"/>
      <c r="DME2856" s="17"/>
      <c r="DMF2856" s="17"/>
      <c r="DMG2856" s="17"/>
      <c r="DMH2856" s="17"/>
      <c r="DMI2856" s="17"/>
      <c r="DMJ2856" s="17"/>
      <c r="DMK2856" s="17"/>
      <c r="DML2856" s="17"/>
      <c r="DMM2856" s="17"/>
      <c r="DMN2856" s="17"/>
      <c r="DMO2856" s="17"/>
      <c r="DMP2856" s="17"/>
      <c r="DMQ2856" s="17"/>
    </row>
    <row r="2857" spans="3044:3059">
      <c r="DMB2857" s="17"/>
      <c r="DMC2857" s="17"/>
      <c r="DMD2857" s="17"/>
      <c r="DME2857" s="17"/>
      <c r="DMF2857" s="17"/>
      <c r="DMG2857" s="17"/>
      <c r="DMH2857" s="17"/>
      <c r="DMI2857" s="17"/>
      <c r="DMJ2857" s="17"/>
      <c r="DMK2857" s="17"/>
      <c r="DML2857" s="17"/>
      <c r="DMM2857" s="17"/>
      <c r="DMN2857" s="17"/>
      <c r="DMO2857" s="17"/>
      <c r="DMP2857" s="17"/>
      <c r="DMQ2857" s="17"/>
    </row>
    <row r="2858" spans="3044:3059">
      <c r="DMB2858" s="17"/>
      <c r="DMC2858" s="17"/>
      <c r="DMD2858" s="17"/>
      <c r="DME2858" s="17"/>
      <c r="DMF2858" s="17"/>
      <c r="DMG2858" s="17"/>
      <c r="DMH2858" s="17"/>
      <c r="DMI2858" s="17"/>
      <c r="DMJ2858" s="17"/>
      <c r="DMK2858" s="17"/>
      <c r="DML2858" s="17"/>
      <c r="DMM2858" s="17"/>
      <c r="DMN2858" s="17"/>
      <c r="DMO2858" s="17"/>
      <c r="DMP2858" s="17"/>
      <c r="DMQ2858" s="17"/>
    </row>
    <row r="2859" spans="3044:3059">
      <c r="DMB2859" s="17"/>
      <c r="DMC2859" s="17"/>
      <c r="DMD2859" s="17"/>
      <c r="DME2859" s="17"/>
      <c r="DMF2859" s="17"/>
      <c r="DMG2859" s="17"/>
      <c r="DMH2859" s="17"/>
      <c r="DMI2859" s="17"/>
      <c r="DMJ2859" s="17"/>
      <c r="DMK2859" s="17"/>
      <c r="DML2859" s="17"/>
      <c r="DMM2859" s="17"/>
      <c r="DMN2859" s="17"/>
      <c r="DMO2859" s="17"/>
      <c r="DMP2859" s="17"/>
      <c r="DMQ2859" s="17"/>
    </row>
    <row r="2860" spans="3044:3059">
      <c r="DMB2860" s="17"/>
      <c r="DMC2860" s="17"/>
      <c r="DMD2860" s="17"/>
      <c r="DME2860" s="17"/>
      <c r="DMF2860" s="17"/>
      <c r="DMG2860" s="17"/>
      <c r="DMH2860" s="17"/>
      <c r="DMI2860" s="17"/>
      <c r="DMJ2860" s="17"/>
      <c r="DMK2860" s="17"/>
      <c r="DML2860" s="17"/>
      <c r="DMM2860" s="17"/>
      <c r="DMN2860" s="17"/>
      <c r="DMO2860" s="17"/>
      <c r="DMP2860" s="17"/>
      <c r="DMQ2860" s="17"/>
    </row>
    <row r="2861" spans="3044:3059">
      <c r="DMB2861" s="17"/>
      <c r="DMC2861" s="17"/>
      <c r="DMD2861" s="17"/>
      <c r="DME2861" s="17"/>
      <c r="DMF2861" s="17"/>
      <c r="DMG2861" s="17"/>
      <c r="DMH2861" s="17"/>
      <c r="DMI2861" s="17"/>
      <c r="DMJ2861" s="17"/>
      <c r="DMK2861" s="17"/>
      <c r="DML2861" s="17"/>
      <c r="DMM2861" s="17"/>
      <c r="DMN2861" s="17"/>
      <c r="DMO2861" s="17"/>
      <c r="DMP2861" s="17"/>
      <c r="DMQ2861" s="17"/>
    </row>
    <row r="2862" spans="3044:3059">
      <c r="DMB2862" s="17"/>
      <c r="DMC2862" s="17"/>
      <c r="DMD2862" s="17"/>
      <c r="DME2862" s="17"/>
      <c r="DMF2862" s="17"/>
      <c r="DMG2862" s="17"/>
      <c r="DMH2862" s="17"/>
      <c r="DMI2862" s="17"/>
      <c r="DMJ2862" s="17"/>
      <c r="DMK2862" s="17"/>
      <c r="DML2862" s="17"/>
      <c r="DMM2862" s="17"/>
      <c r="DMN2862" s="17"/>
      <c r="DMO2862" s="17"/>
      <c r="DMP2862" s="17"/>
      <c r="DMQ2862" s="17"/>
    </row>
    <row r="2863" spans="3044:3059">
      <c r="DMB2863" s="17"/>
      <c r="DMC2863" s="17"/>
      <c r="DMD2863" s="17"/>
      <c r="DME2863" s="17"/>
      <c r="DMF2863" s="17"/>
      <c r="DMG2863" s="17"/>
      <c r="DMH2863" s="17"/>
      <c r="DMI2863" s="17"/>
      <c r="DMJ2863" s="17"/>
      <c r="DMK2863" s="17"/>
      <c r="DML2863" s="17"/>
      <c r="DMM2863" s="17"/>
      <c r="DMN2863" s="17"/>
      <c r="DMO2863" s="17"/>
      <c r="DMP2863" s="17"/>
      <c r="DMQ2863" s="17"/>
    </row>
    <row r="2864" spans="3044:3059">
      <c r="DMB2864" s="17"/>
      <c r="DMC2864" s="17"/>
      <c r="DMD2864" s="17"/>
      <c r="DME2864" s="17"/>
      <c r="DMF2864" s="17"/>
      <c r="DMG2864" s="17"/>
      <c r="DMH2864" s="17"/>
      <c r="DMI2864" s="17"/>
      <c r="DMJ2864" s="17"/>
      <c r="DMK2864" s="17"/>
      <c r="DML2864" s="17"/>
      <c r="DMM2864" s="17"/>
      <c r="DMN2864" s="17"/>
      <c r="DMO2864" s="17"/>
      <c r="DMP2864" s="17"/>
      <c r="DMQ2864" s="17"/>
    </row>
    <row r="2865" spans="3044:3059">
      <c r="DMB2865" s="17"/>
      <c r="DMC2865" s="17"/>
      <c r="DMD2865" s="17"/>
      <c r="DME2865" s="17"/>
      <c r="DMF2865" s="17"/>
      <c r="DMG2865" s="17"/>
      <c r="DMH2865" s="17"/>
      <c r="DMI2865" s="17"/>
      <c r="DMJ2865" s="17"/>
      <c r="DMK2865" s="17"/>
      <c r="DML2865" s="17"/>
      <c r="DMM2865" s="17"/>
      <c r="DMN2865" s="17"/>
      <c r="DMO2865" s="17"/>
      <c r="DMP2865" s="17"/>
      <c r="DMQ2865" s="17"/>
    </row>
    <row r="2866" spans="3044:3059">
      <c r="DMB2866" s="17"/>
      <c r="DMC2866" s="17"/>
      <c r="DMD2866" s="17"/>
      <c r="DME2866" s="17"/>
      <c r="DMF2866" s="17"/>
      <c r="DMG2866" s="17"/>
      <c r="DMH2866" s="17"/>
      <c r="DMI2866" s="17"/>
      <c r="DMJ2866" s="17"/>
      <c r="DMK2866" s="17"/>
      <c r="DML2866" s="17"/>
      <c r="DMM2866" s="17"/>
      <c r="DMN2866" s="17"/>
      <c r="DMO2866" s="17"/>
      <c r="DMP2866" s="17"/>
      <c r="DMQ2866" s="17"/>
    </row>
    <row r="2867" spans="3044:3059">
      <c r="DMB2867" s="17"/>
      <c r="DMC2867" s="17"/>
      <c r="DMD2867" s="17"/>
      <c r="DME2867" s="17"/>
      <c r="DMF2867" s="17"/>
      <c r="DMG2867" s="17"/>
      <c r="DMH2867" s="17"/>
      <c r="DMI2867" s="17"/>
      <c r="DMJ2867" s="17"/>
      <c r="DMK2867" s="17"/>
      <c r="DML2867" s="17"/>
      <c r="DMM2867" s="17"/>
      <c r="DMN2867" s="17"/>
      <c r="DMO2867" s="17"/>
      <c r="DMP2867" s="17"/>
      <c r="DMQ2867" s="17"/>
    </row>
    <row r="2868" spans="3044:3059">
      <c r="DMB2868" s="17"/>
      <c r="DMC2868" s="17"/>
      <c r="DMD2868" s="17"/>
      <c r="DME2868" s="17"/>
      <c r="DMF2868" s="17"/>
      <c r="DMG2868" s="17"/>
      <c r="DMH2868" s="17"/>
      <c r="DMI2868" s="17"/>
      <c r="DMJ2868" s="17"/>
      <c r="DMK2868" s="17"/>
      <c r="DML2868" s="17"/>
      <c r="DMM2868" s="17"/>
      <c r="DMN2868" s="17"/>
      <c r="DMO2868" s="17"/>
      <c r="DMP2868" s="17"/>
      <c r="DMQ2868" s="17"/>
    </row>
    <row r="2869" spans="3044:3059">
      <c r="DMB2869" s="17"/>
      <c r="DMC2869" s="17"/>
      <c r="DMD2869" s="17"/>
      <c r="DME2869" s="17"/>
      <c r="DMF2869" s="17"/>
      <c r="DMG2869" s="17"/>
      <c r="DMH2869" s="17"/>
      <c r="DMI2869" s="17"/>
      <c r="DMJ2869" s="17"/>
      <c r="DMK2869" s="17"/>
      <c r="DML2869" s="17"/>
      <c r="DMM2869" s="17"/>
      <c r="DMN2869" s="17"/>
      <c r="DMO2869" s="17"/>
      <c r="DMP2869" s="17"/>
      <c r="DMQ2869" s="17"/>
    </row>
    <row r="2870" spans="3044:3059">
      <c r="DMB2870" s="17"/>
      <c r="DMC2870" s="17"/>
      <c r="DMD2870" s="17"/>
      <c r="DME2870" s="17"/>
      <c r="DMF2870" s="17"/>
      <c r="DMG2870" s="17"/>
      <c r="DMH2870" s="17"/>
      <c r="DMI2870" s="17"/>
      <c r="DMJ2870" s="17"/>
      <c r="DMK2870" s="17"/>
      <c r="DML2870" s="17"/>
      <c r="DMM2870" s="17"/>
      <c r="DMN2870" s="17"/>
      <c r="DMO2870" s="17"/>
      <c r="DMP2870" s="17"/>
      <c r="DMQ2870" s="17"/>
    </row>
    <row r="2871" spans="3044:3059">
      <c r="DMB2871" s="17"/>
      <c r="DMC2871" s="17"/>
      <c r="DMD2871" s="17"/>
      <c r="DME2871" s="17"/>
      <c r="DMF2871" s="17"/>
      <c r="DMG2871" s="17"/>
      <c r="DMH2871" s="17"/>
      <c r="DMI2871" s="17"/>
      <c r="DMJ2871" s="17"/>
      <c r="DMK2871" s="17"/>
      <c r="DML2871" s="17"/>
      <c r="DMM2871" s="17"/>
      <c r="DMN2871" s="17"/>
      <c r="DMO2871" s="17"/>
      <c r="DMP2871" s="17"/>
      <c r="DMQ2871" s="17"/>
    </row>
    <row r="2872" spans="3044:3059">
      <c r="DMB2872" s="17"/>
      <c r="DMC2872" s="17"/>
      <c r="DMD2872" s="17"/>
      <c r="DME2872" s="17"/>
      <c r="DMF2872" s="17"/>
      <c r="DMG2872" s="17"/>
      <c r="DMH2872" s="17"/>
      <c r="DMI2872" s="17"/>
      <c r="DMJ2872" s="17"/>
      <c r="DMK2872" s="17"/>
      <c r="DML2872" s="17"/>
      <c r="DMM2872" s="17"/>
      <c r="DMN2872" s="17"/>
      <c r="DMO2872" s="17"/>
      <c r="DMP2872" s="17"/>
      <c r="DMQ2872" s="17"/>
    </row>
    <row r="2873" spans="3044:3059">
      <c r="DMB2873" s="17"/>
      <c r="DMC2873" s="17"/>
      <c r="DMD2873" s="17"/>
      <c r="DME2873" s="17"/>
      <c r="DMF2873" s="17"/>
      <c r="DMG2873" s="17"/>
      <c r="DMH2873" s="17"/>
      <c r="DMI2873" s="17"/>
      <c r="DMJ2873" s="17"/>
      <c r="DMK2873" s="17"/>
      <c r="DML2873" s="17"/>
      <c r="DMM2873" s="17"/>
      <c r="DMN2873" s="17"/>
      <c r="DMO2873" s="17"/>
      <c r="DMP2873" s="17"/>
      <c r="DMQ2873" s="17"/>
    </row>
    <row r="2874" spans="3044:3059">
      <c r="DMB2874" s="17"/>
      <c r="DMC2874" s="17"/>
      <c r="DMD2874" s="17"/>
      <c r="DME2874" s="17"/>
      <c r="DMF2874" s="17"/>
      <c r="DMG2874" s="17"/>
      <c r="DMH2874" s="17"/>
      <c r="DMI2874" s="17"/>
      <c r="DMJ2874" s="17"/>
      <c r="DMK2874" s="17"/>
      <c r="DML2874" s="17"/>
      <c r="DMM2874" s="17"/>
      <c r="DMN2874" s="17"/>
      <c r="DMO2874" s="17"/>
      <c r="DMP2874" s="17"/>
      <c r="DMQ2874" s="17"/>
    </row>
    <row r="2875" spans="3044:3059">
      <c r="DMB2875" s="17"/>
      <c r="DMC2875" s="17"/>
      <c r="DMD2875" s="17"/>
      <c r="DME2875" s="17"/>
      <c r="DMF2875" s="17"/>
      <c r="DMG2875" s="17"/>
      <c r="DMH2875" s="17"/>
      <c r="DMI2875" s="17"/>
      <c r="DMJ2875" s="17"/>
      <c r="DMK2875" s="17"/>
      <c r="DML2875" s="17"/>
      <c r="DMM2875" s="17"/>
      <c r="DMN2875" s="17"/>
      <c r="DMO2875" s="17"/>
      <c r="DMP2875" s="17"/>
      <c r="DMQ2875" s="17"/>
    </row>
    <row r="2876" spans="3044:3059">
      <c r="DMB2876" s="17"/>
      <c r="DMC2876" s="17"/>
      <c r="DMD2876" s="17"/>
      <c r="DME2876" s="17"/>
      <c r="DMF2876" s="17"/>
      <c r="DMG2876" s="17"/>
      <c r="DMH2876" s="17"/>
      <c r="DMI2876" s="17"/>
      <c r="DMJ2876" s="17"/>
      <c r="DMK2876" s="17"/>
      <c r="DML2876" s="17"/>
      <c r="DMM2876" s="17"/>
      <c r="DMN2876" s="17"/>
      <c r="DMO2876" s="17"/>
      <c r="DMP2876" s="17"/>
      <c r="DMQ2876" s="17"/>
    </row>
    <row r="2877" spans="3044:3059">
      <c r="DMB2877" s="17"/>
      <c r="DMC2877" s="17"/>
      <c r="DMD2877" s="17"/>
      <c r="DME2877" s="17"/>
      <c r="DMF2877" s="17"/>
      <c r="DMG2877" s="17"/>
      <c r="DMH2877" s="17"/>
      <c r="DMI2877" s="17"/>
      <c r="DMJ2877" s="17"/>
      <c r="DMK2877" s="17"/>
      <c r="DML2877" s="17"/>
      <c r="DMM2877" s="17"/>
      <c r="DMN2877" s="17"/>
      <c r="DMO2877" s="17"/>
      <c r="DMP2877" s="17"/>
      <c r="DMQ2877" s="17"/>
    </row>
    <row r="2878" spans="3044:3059">
      <c r="DMB2878" s="17"/>
      <c r="DMC2878" s="17"/>
      <c r="DMD2878" s="17"/>
      <c r="DME2878" s="17"/>
      <c r="DMF2878" s="17"/>
      <c r="DMG2878" s="17"/>
      <c r="DMH2878" s="17"/>
      <c r="DMI2878" s="17"/>
      <c r="DMJ2878" s="17"/>
      <c r="DMK2878" s="17"/>
      <c r="DML2878" s="17"/>
      <c r="DMM2878" s="17"/>
      <c r="DMN2878" s="17"/>
      <c r="DMO2878" s="17"/>
      <c r="DMP2878" s="17"/>
      <c r="DMQ2878" s="17"/>
    </row>
    <row r="2879" spans="3044:3059">
      <c r="DMB2879" s="17"/>
      <c r="DMC2879" s="17"/>
      <c r="DMD2879" s="17"/>
      <c r="DME2879" s="17"/>
      <c r="DMF2879" s="17"/>
      <c r="DMG2879" s="17"/>
      <c r="DMH2879" s="17"/>
      <c r="DMI2879" s="17"/>
      <c r="DMJ2879" s="17"/>
      <c r="DMK2879" s="17"/>
      <c r="DML2879" s="17"/>
      <c r="DMM2879" s="17"/>
      <c r="DMN2879" s="17"/>
      <c r="DMO2879" s="17"/>
      <c r="DMP2879" s="17"/>
      <c r="DMQ2879" s="17"/>
    </row>
    <row r="2880" spans="3044:3059">
      <c r="DMB2880" s="17"/>
      <c r="DMC2880" s="17"/>
      <c r="DMD2880" s="17"/>
      <c r="DME2880" s="17"/>
      <c r="DMF2880" s="17"/>
      <c r="DMG2880" s="17"/>
      <c r="DMH2880" s="17"/>
      <c r="DMI2880" s="17"/>
      <c r="DMJ2880" s="17"/>
      <c r="DMK2880" s="17"/>
      <c r="DML2880" s="17"/>
      <c r="DMM2880" s="17"/>
      <c r="DMN2880" s="17"/>
      <c r="DMO2880" s="17"/>
      <c r="DMP2880" s="17"/>
      <c r="DMQ2880" s="17"/>
    </row>
    <row r="2881" spans="3044:3059">
      <c r="DMB2881" s="17"/>
      <c r="DMC2881" s="17"/>
      <c r="DMD2881" s="17"/>
      <c r="DME2881" s="17"/>
      <c r="DMF2881" s="17"/>
      <c r="DMG2881" s="17"/>
      <c r="DMH2881" s="17"/>
      <c r="DMI2881" s="17"/>
      <c r="DMJ2881" s="17"/>
      <c r="DMK2881" s="17"/>
      <c r="DML2881" s="17"/>
      <c r="DMM2881" s="17"/>
      <c r="DMN2881" s="17"/>
      <c r="DMO2881" s="17"/>
      <c r="DMP2881" s="17"/>
      <c r="DMQ2881" s="17"/>
    </row>
    <row r="2882" spans="3044:3059">
      <c r="DMB2882" s="17"/>
      <c r="DMC2882" s="17"/>
      <c r="DMD2882" s="17"/>
      <c r="DME2882" s="17"/>
      <c r="DMF2882" s="17"/>
      <c r="DMG2882" s="17"/>
      <c r="DMH2882" s="17"/>
      <c r="DMI2882" s="17"/>
      <c r="DMJ2882" s="17"/>
      <c r="DMK2882" s="17"/>
      <c r="DML2882" s="17"/>
      <c r="DMM2882" s="17"/>
      <c r="DMN2882" s="17"/>
      <c r="DMO2882" s="17"/>
      <c r="DMP2882" s="17"/>
      <c r="DMQ2882" s="17"/>
    </row>
    <row r="2883" spans="3044:3059">
      <c r="DMB2883" s="17"/>
      <c r="DMC2883" s="17"/>
      <c r="DMD2883" s="17"/>
      <c r="DME2883" s="17"/>
      <c r="DMF2883" s="17"/>
      <c r="DMG2883" s="17"/>
      <c r="DMH2883" s="17"/>
      <c r="DMI2883" s="17"/>
      <c r="DMJ2883" s="17"/>
      <c r="DMK2883" s="17"/>
      <c r="DML2883" s="17"/>
      <c r="DMM2883" s="17"/>
      <c r="DMN2883" s="17"/>
      <c r="DMO2883" s="17"/>
      <c r="DMP2883" s="17"/>
      <c r="DMQ2883" s="17"/>
    </row>
    <row r="2884" spans="3044:3059">
      <c r="DMB2884" s="17"/>
      <c r="DMC2884" s="17"/>
      <c r="DMD2884" s="17"/>
      <c r="DME2884" s="17"/>
      <c r="DMF2884" s="17"/>
      <c r="DMG2884" s="17"/>
      <c r="DMH2884" s="17"/>
      <c r="DMI2884" s="17"/>
      <c r="DMJ2884" s="17"/>
      <c r="DMK2884" s="17"/>
      <c r="DML2884" s="17"/>
      <c r="DMM2884" s="17"/>
      <c r="DMN2884" s="17"/>
      <c r="DMO2884" s="17"/>
      <c r="DMP2884" s="17"/>
      <c r="DMQ2884" s="17"/>
    </row>
    <row r="2885" spans="3044:3059">
      <c r="DMB2885" s="17"/>
      <c r="DMC2885" s="17"/>
      <c r="DMD2885" s="17"/>
      <c r="DME2885" s="17"/>
      <c r="DMF2885" s="17"/>
      <c r="DMG2885" s="17"/>
      <c r="DMH2885" s="17"/>
      <c r="DMI2885" s="17"/>
      <c r="DMJ2885" s="17"/>
      <c r="DMK2885" s="17"/>
      <c r="DML2885" s="17"/>
      <c r="DMM2885" s="17"/>
      <c r="DMN2885" s="17"/>
      <c r="DMO2885" s="17"/>
      <c r="DMP2885" s="17"/>
      <c r="DMQ2885" s="17"/>
    </row>
    <row r="2886" spans="3044:3059">
      <c r="DMB2886" s="17"/>
      <c r="DMC2886" s="17"/>
      <c r="DMD2886" s="17"/>
      <c r="DME2886" s="17"/>
      <c r="DMF2886" s="17"/>
      <c r="DMG2886" s="17"/>
      <c r="DMH2886" s="17"/>
      <c r="DMI2886" s="17"/>
      <c r="DMJ2886" s="17"/>
      <c r="DMK2886" s="17"/>
      <c r="DML2886" s="17"/>
      <c r="DMM2886" s="17"/>
      <c r="DMN2886" s="17"/>
      <c r="DMO2886" s="17"/>
      <c r="DMP2886" s="17"/>
      <c r="DMQ2886" s="17"/>
    </row>
    <row r="2887" spans="3044:3059">
      <c r="DMB2887" s="17"/>
      <c r="DMC2887" s="17"/>
      <c r="DMD2887" s="17"/>
      <c r="DME2887" s="17"/>
      <c r="DMF2887" s="17"/>
      <c r="DMG2887" s="17"/>
      <c r="DMH2887" s="17"/>
      <c r="DMI2887" s="17"/>
      <c r="DMJ2887" s="17"/>
      <c r="DMK2887" s="17"/>
      <c r="DML2887" s="17"/>
      <c r="DMM2887" s="17"/>
      <c r="DMN2887" s="17"/>
      <c r="DMO2887" s="17"/>
      <c r="DMP2887" s="17"/>
      <c r="DMQ2887" s="17"/>
    </row>
    <row r="2888" spans="3044:3059">
      <c r="DMB2888" s="17"/>
      <c r="DMC2888" s="17"/>
      <c r="DMD2888" s="17"/>
      <c r="DME2888" s="17"/>
      <c r="DMF2888" s="17"/>
      <c r="DMG2888" s="17"/>
      <c r="DMH2888" s="17"/>
      <c r="DMI2888" s="17"/>
      <c r="DMJ2888" s="17"/>
      <c r="DMK2888" s="17"/>
      <c r="DML2888" s="17"/>
      <c r="DMM2888" s="17"/>
      <c r="DMN2888" s="17"/>
      <c r="DMO2888" s="17"/>
      <c r="DMP2888" s="17"/>
      <c r="DMQ2888" s="17"/>
    </row>
    <row r="2889" spans="3044:3059">
      <c r="DMB2889" s="17"/>
      <c r="DMC2889" s="17"/>
      <c r="DMD2889" s="17"/>
      <c r="DME2889" s="17"/>
      <c r="DMF2889" s="17"/>
      <c r="DMG2889" s="17"/>
      <c r="DMH2889" s="17"/>
      <c r="DMI2889" s="17"/>
      <c r="DMJ2889" s="17"/>
      <c r="DMK2889" s="17"/>
      <c r="DML2889" s="17"/>
      <c r="DMM2889" s="17"/>
      <c r="DMN2889" s="17"/>
      <c r="DMO2889" s="17"/>
      <c r="DMP2889" s="17"/>
      <c r="DMQ2889" s="17"/>
    </row>
    <row r="2890" spans="3044:3059">
      <c r="DMB2890" s="17"/>
      <c r="DMC2890" s="17"/>
      <c r="DMD2890" s="17"/>
      <c r="DME2890" s="17"/>
      <c r="DMF2890" s="17"/>
      <c r="DMG2890" s="17"/>
      <c r="DMH2890" s="17"/>
      <c r="DMI2890" s="17"/>
      <c r="DMJ2890" s="17"/>
      <c r="DMK2890" s="17"/>
      <c r="DML2890" s="17"/>
      <c r="DMM2890" s="17"/>
      <c r="DMN2890" s="17"/>
      <c r="DMO2890" s="17"/>
      <c r="DMP2890" s="17"/>
      <c r="DMQ2890" s="17"/>
    </row>
    <row r="2891" spans="3044:3059">
      <c r="DMB2891" s="17"/>
      <c r="DMC2891" s="17"/>
      <c r="DMD2891" s="17"/>
      <c r="DME2891" s="17"/>
      <c r="DMF2891" s="17"/>
      <c r="DMG2891" s="17"/>
      <c r="DMH2891" s="17"/>
      <c r="DMI2891" s="17"/>
      <c r="DMJ2891" s="17"/>
      <c r="DMK2891" s="17"/>
      <c r="DML2891" s="17"/>
      <c r="DMM2891" s="17"/>
      <c r="DMN2891" s="17"/>
      <c r="DMO2891" s="17"/>
      <c r="DMP2891" s="17"/>
      <c r="DMQ2891" s="17"/>
    </row>
    <row r="2892" spans="3044:3059">
      <c r="DMB2892" s="17"/>
      <c r="DMC2892" s="17"/>
      <c r="DMD2892" s="17"/>
      <c r="DME2892" s="17"/>
      <c r="DMF2892" s="17"/>
      <c r="DMG2892" s="17"/>
      <c r="DMH2892" s="17"/>
      <c r="DMI2892" s="17"/>
      <c r="DMJ2892" s="17"/>
      <c r="DMK2892" s="17"/>
      <c r="DML2892" s="17"/>
      <c r="DMM2892" s="17"/>
      <c r="DMN2892" s="17"/>
      <c r="DMO2892" s="17"/>
      <c r="DMP2892" s="17"/>
      <c r="DMQ2892" s="17"/>
    </row>
    <row r="2893" spans="3044:3059">
      <c r="DMB2893" s="17"/>
      <c r="DMC2893" s="17"/>
      <c r="DMD2893" s="17"/>
      <c r="DME2893" s="17"/>
      <c r="DMF2893" s="17"/>
      <c r="DMG2893" s="17"/>
      <c r="DMH2893" s="17"/>
      <c r="DMI2893" s="17"/>
      <c r="DMJ2893" s="17"/>
      <c r="DMK2893" s="17"/>
      <c r="DML2893" s="17"/>
      <c r="DMM2893" s="17"/>
      <c r="DMN2893" s="17"/>
      <c r="DMO2893" s="17"/>
      <c r="DMP2893" s="17"/>
      <c r="DMQ2893" s="17"/>
    </row>
    <row r="2894" spans="3044:3059">
      <c r="DMB2894" s="17"/>
      <c r="DMC2894" s="17"/>
      <c r="DMD2894" s="17"/>
      <c r="DME2894" s="17"/>
      <c r="DMF2894" s="17"/>
      <c r="DMG2894" s="17"/>
      <c r="DMH2894" s="17"/>
      <c r="DMI2894" s="17"/>
      <c r="DMJ2894" s="17"/>
      <c r="DMK2894" s="17"/>
      <c r="DML2894" s="17"/>
      <c r="DMM2894" s="17"/>
      <c r="DMN2894" s="17"/>
      <c r="DMO2894" s="17"/>
      <c r="DMP2894" s="17"/>
      <c r="DMQ2894" s="17"/>
    </row>
    <row r="2895" spans="3044:3059">
      <c r="DMB2895" s="17"/>
      <c r="DMC2895" s="17"/>
      <c r="DMD2895" s="17"/>
      <c r="DME2895" s="17"/>
      <c r="DMF2895" s="17"/>
      <c r="DMG2895" s="17"/>
      <c r="DMH2895" s="17"/>
      <c r="DMI2895" s="17"/>
      <c r="DMJ2895" s="17"/>
      <c r="DMK2895" s="17"/>
      <c r="DML2895" s="17"/>
      <c r="DMM2895" s="17"/>
      <c r="DMN2895" s="17"/>
      <c r="DMO2895" s="17"/>
      <c r="DMP2895" s="17"/>
      <c r="DMQ2895" s="17"/>
    </row>
    <row r="2896" spans="3044:3059">
      <c r="DMB2896" s="17"/>
      <c r="DMC2896" s="17"/>
      <c r="DMD2896" s="17"/>
      <c r="DME2896" s="17"/>
      <c r="DMF2896" s="17"/>
      <c r="DMG2896" s="17"/>
      <c r="DMH2896" s="17"/>
      <c r="DMI2896" s="17"/>
      <c r="DMJ2896" s="17"/>
      <c r="DMK2896" s="17"/>
      <c r="DML2896" s="17"/>
      <c r="DMM2896" s="17"/>
      <c r="DMN2896" s="17"/>
      <c r="DMO2896" s="17"/>
      <c r="DMP2896" s="17"/>
      <c r="DMQ2896" s="17"/>
    </row>
    <row r="2897" spans="3044:3059">
      <c r="DMB2897" s="17"/>
      <c r="DMC2897" s="17"/>
      <c r="DMD2897" s="17"/>
      <c r="DME2897" s="17"/>
      <c r="DMF2897" s="17"/>
      <c r="DMG2897" s="17"/>
      <c r="DMH2897" s="17"/>
      <c r="DMI2897" s="17"/>
      <c r="DMJ2897" s="17"/>
      <c r="DMK2897" s="17"/>
      <c r="DML2897" s="17"/>
      <c r="DMM2897" s="17"/>
      <c r="DMN2897" s="17"/>
      <c r="DMO2897" s="17"/>
      <c r="DMP2897" s="17"/>
      <c r="DMQ2897" s="17"/>
    </row>
    <row r="2898" spans="3044:3059">
      <c r="DMB2898" s="17"/>
      <c r="DMC2898" s="17"/>
      <c r="DMD2898" s="17"/>
      <c r="DME2898" s="17"/>
      <c r="DMF2898" s="17"/>
      <c r="DMG2898" s="17"/>
      <c r="DMH2898" s="17"/>
      <c r="DMI2898" s="17"/>
      <c r="DMJ2898" s="17"/>
      <c r="DMK2898" s="17"/>
      <c r="DML2898" s="17"/>
      <c r="DMM2898" s="17"/>
      <c r="DMN2898" s="17"/>
      <c r="DMO2898" s="17"/>
      <c r="DMP2898" s="17"/>
      <c r="DMQ2898" s="17"/>
    </row>
    <row r="2899" spans="3044:3059">
      <c r="DMB2899" s="17"/>
      <c r="DMC2899" s="17"/>
      <c r="DMD2899" s="17"/>
      <c r="DME2899" s="17"/>
      <c r="DMF2899" s="17"/>
      <c r="DMG2899" s="17"/>
      <c r="DMH2899" s="17"/>
      <c r="DMI2899" s="17"/>
      <c r="DMJ2899" s="17"/>
      <c r="DMK2899" s="17"/>
      <c r="DML2899" s="17"/>
      <c r="DMM2899" s="17"/>
      <c r="DMN2899" s="17"/>
      <c r="DMO2899" s="17"/>
      <c r="DMP2899" s="17"/>
      <c r="DMQ2899" s="17"/>
    </row>
    <row r="2900" spans="3044:3059">
      <c r="DMB2900" s="17"/>
      <c r="DMC2900" s="17"/>
      <c r="DMD2900" s="17"/>
      <c r="DME2900" s="17"/>
      <c r="DMF2900" s="17"/>
      <c r="DMG2900" s="17"/>
      <c r="DMH2900" s="17"/>
      <c r="DMI2900" s="17"/>
      <c r="DMJ2900" s="17"/>
      <c r="DMK2900" s="17"/>
      <c r="DML2900" s="17"/>
      <c r="DMM2900" s="17"/>
      <c r="DMN2900" s="17"/>
      <c r="DMO2900" s="17"/>
      <c r="DMP2900" s="17"/>
      <c r="DMQ2900" s="17"/>
    </row>
    <row r="2901" spans="3044:3059">
      <c r="DMB2901" s="17"/>
      <c r="DMC2901" s="17"/>
      <c r="DMD2901" s="17"/>
      <c r="DME2901" s="17"/>
      <c r="DMF2901" s="17"/>
      <c r="DMG2901" s="17"/>
      <c r="DMH2901" s="17"/>
      <c r="DMI2901" s="17"/>
      <c r="DMJ2901" s="17"/>
      <c r="DMK2901" s="17"/>
      <c r="DML2901" s="17"/>
      <c r="DMM2901" s="17"/>
      <c r="DMN2901" s="17"/>
      <c r="DMO2901" s="17"/>
      <c r="DMP2901" s="17"/>
      <c r="DMQ2901" s="17"/>
    </row>
    <row r="2902" spans="3044:3059">
      <c r="DMB2902" s="17"/>
      <c r="DMC2902" s="17"/>
      <c r="DMD2902" s="17"/>
      <c r="DME2902" s="17"/>
      <c r="DMF2902" s="17"/>
      <c r="DMG2902" s="17"/>
      <c r="DMH2902" s="17"/>
      <c r="DMI2902" s="17"/>
      <c r="DMJ2902" s="17"/>
      <c r="DMK2902" s="17"/>
      <c r="DML2902" s="17"/>
      <c r="DMM2902" s="17"/>
      <c r="DMN2902" s="17"/>
      <c r="DMO2902" s="17"/>
      <c r="DMP2902" s="17"/>
      <c r="DMQ2902" s="17"/>
    </row>
    <row r="2903" spans="3044:3059">
      <c r="DMB2903" s="17"/>
      <c r="DMC2903" s="17"/>
      <c r="DMD2903" s="17"/>
      <c r="DME2903" s="17"/>
      <c r="DMF2903" s="17"/>
      <c r="DMG2903" s="17"/>
      <c r="DMH2903" s="17"/>
      <c r="DMI2903" s="17"/>
      <c r="DMJ2903" s="17"/>
      <c r="DMK2903" s="17"/>
      <c r="DML2903" s="17"/>
      <c r="DMM2903" s="17"/>
      <c r="DMN2903" s="17"/>
      <c r="DMO2903" s="17"/>
      <c r="DMP2903" s="17"/>
      <c r="DMQ2903" s="17"/>
    </row>
    <row r="2904" spans="3044:3059">
      <c r="DMB2904" s="17"/>
      <c r="DMC2904" s="17"/>
      <c r="DMD2904" s="17"/>
      <c r="DME2904" s="17"/>
      <c r="DMF2904" s="17"/>
      <c r="DMG2904" s="17"/>
      <c r="DMH2904" s="17"/>
      <c r="DMI2904" s="17"/>
      <c r="DMJ2904" s="17"/>
      <c r="DMK2904" s="17"/>
      <c r="DML2904" s="17"/>
      <c r="DMM2904" s="17"/>
      <c r="DMN2904" s="17"/>
      <c r="DMO2904" s="17"/>
      <c r="DMP2904" s="17"/>
      <c r="DMQ2904" s="17"/>
    </row>
    <row r="2905" spans="3044:3059">
      <c r="DMB2905" s="17"/>
      <c r="DMC2905" s="17"/>
      <c r="DMD2905" s="17"/>
      <c r="DME2905" s="17"/>
      <c r="DMF2905" s="17"/>
      <c r="DMG2905" s="17"/>
      <c r="DMH2905" s="17"/>
      <c r="DMI2905" s="17"/>
      <c r="DMJ2905" s="17"/>
      <c r="DMK2905" s="17"/>
      <c r="DML2905" s="17"/>
      <c r="DMM2905" s="17"/>
      <c r="DMN2905" s="17"/>
      <c r="DMO2905" s="17"/>
      <c r="DMP2905" s="17"/>
      <c r="DMQ2905" s="17"/>
    </row>
    <row r="2906" spans="3044:3059">
      <c r="DMB2906" s="17"/>
      <c r="DMC2906" s="17"/>
      <c r="DMD2906" s="17"/>
      <c r="DME2906" s="17"/>
      <c r="DMF2906" s="17"/>
      <c r="DMG2906" s="17"/>
      <c r="DMH2906" s="17"/>
      <c r="DMI2906" s="17"/>
      <c r="DMJ2906" s="17"/>
      <c r="DMK2906" s="17"/>
      <c r="DML2906" s="17"/>
      <c r="DMM2906" s="17"/>
      <c r="DMN2906" s="17"/>
      <c r="DMO2906" s="17"/>
      <c r="DMP2906" s="17"/>
      <c r="DMQ2906" s="17"/>
    </row>
    <row r="2907" spans="3044:3059">
      <c r="DMB2907" s="17"/>
      <c r="DMC2907" s="17"/>
      <c r="DMD2907" s="17"/>
      <c r="DME2907" s="17"/>
      <c r="DMF2907" s="17"/>
      <c r="DMG2907" s="17"/>
      <c r="DMH2907" s="17"/>
      <c r="DMI2907" s="17"/>
      <c r="DMJ2907" s="17"/>
      <c r="DMK2907" s="17"/>
      <c r="DML2907" s="17"/>
      <c r="DMM2907" s="17"/>
      <c r="DMN2907" s="17"/>
      <c r="DMO2907" s="17"/>
      <c r="DMP2907" s="17"/>
      <c r="DMQ2907" s="17"/>
    </row>
    <row r="2908" spans="3044:3059">
      <c r="DMB2908" s="17"/>
      <c r="DMC2908" s="17"/>
      <c r="DMD2908" s="17"/>
      <c r="DME2908" s="17"/>
      <c r="DMF2908" s="17"/>
      <c r="DMG2908" s="17"/>
      <c r="DMH2908" s="17"/>
      <c r="DMI2908" s="17"/>
      <c r="DMJ2908" s="17"/>
      <c r="DMK2908" s="17"/>
      <c r="DML2908" s="17"/>
      <c r="DMM2908" s="17"/>
      <c r="DMN2908" s="17"/>
      <c r="DMO2908" s="17"/>
      <c r="DMP2908" s="17"/>
      <c r="DMQ2908" s="17"/>
    </row>
    <row r="2909" spans="3044:3059">
      <c r="DMB2909" s="17"/>
      <c r="DMC2909" s="17"/>
      <c r="DMD2909" s="17"/>
      <c r="DME2909" s="17"/>
      <c r="DMF2909" s="17"/>
      <c r="DMG2909" s="17"/>
      <c r="DMH2909" s="17"/>
      <c r="DMI2909" s="17"/>
      <c r="DMJ2909" s="17"/>
      <c r="DMK2909" s="17"/>
      <c r="DML2909" s="17"/>
      <c r="DMM2909" s="17"/>
      <c r="DMN2909" s="17"/>
      <c r="DMO2909" s="17"/>
      <c r="DMP2909" s="17"/>
      <c r="DMQ2909" s="17"/>
    </row>
    <row r="2910" spans="3044:3059">
      <c r="DMB2910" s="17"/>
      <c r="DMC2910" s="17"/>
      <c r="DMD2910" s="17"/>
      <c r="DME2910" s="17"/>
      <c r="DMF2910" s="17"/>
      <c r="DMG2910" s="17"/>
      <c r="DMH2910" s="17"/>
      <c r="DMI2910" s="17"/>
      <c r="DMJ2910" s="17"/>
      <c r="DMK2910" s="17"/>
      <c r="DML2910" s="17"/>
      <c r="DMM2910" s="17"/>
      <c r="DMN2910" s="17"/>
      <c r="DMO2910" s="17"/>
      <c r="DMP2910" s="17"/>
      <c r="DMQ2910" s="17"/>
    </row>
    <row r="2911" spans="3044:3059">
      <c r="DMB2911" s="17"/>
      <c r="DMC2911" s="17"/>
      <c r="DMD2911" s="17"/>
      <c r="DME2911" s="17"/>
      <c r="DMF2911" s="17"/>
      <c r="DMG2911" s="17"/>
      <c r="DMH2911" s="17"/>
      <c r="DMI2911" s="17"/>
      <c r="DMJ2911" s="17"/>
      <c r="DMK2911" s="17"/>
      <c r="DML2911" s="17"/>
      <c r="DMM2911" s="17"/>
      <c r="DMN2911" s="17"/>
      <c r="DMO2911" s="17"/>
      <c r="DMP2911" s="17"/>
      <c r="DMQ2911" s="17"/>
    </row>
    <row r="2912" spans="3044:3059">
      <c r="DMB2912" s="17"/>
      <c r="DMC2912" s="17"/>
      <c r="DMD2912" s="17"/>
      <c r="DME2912" s="17"/>
      <c r="DMF2912" s="17"/>
      <c r="DMG2912" s="17"/>
      <c r="DMH2912" s="17"/>
      <c r="DMI2912" s="17"/>
      <c r="DMJ2912" s="17"/>
      <c r="DMK2912" s="17"/>
      <c r="DML2912" s="17"/>
      <c r="DMM2912" s="17"/>
      <c r="DMN2912" s="17"/>
      <c r="DMO2912" s="17"/>
      <c r="DMP2912" s="17"/>
      <c r="DMQ2912" s="17"/>
    </row>
    <row r="2913" spans="3044:3059">
      <c r="DMB2913" s="17"/>
      <c r="DMC2913" s="17"/>
      <c r="DMD2913" s="17"/>
      <c r="DME2913" s="17"/>
      <c r="DMF2913" s="17"/>
      <c r="DMG2913" s="17"/>
      <c r="DMH2913" s="17"/>
      <c r="DMI2913" s="17"/>
      <c r="DMJ2913" s="17"/>
      <c r="DMK2913" s="17"/>
      <c r="DML2913" s="17"/>
      <c r="DMM2913" s="17"/>
      <c r="DMN2913" s="17"/>
      <c r="DMO2913" s="17"/>
      <c r="DMP2913" s="17"/>
      <c r="DMQ2913" s="17"/>
    </row>
    <row r="2914" spans="3044:3059">
      <c r="DMB2914" s="17"/>
      <c r="DMC2914" s="17"/>
      <c r="DMD2914" s="17"/>
      <c r="DME2914" s="17"/>
      <c r="DMF2914" s="17"/>
      <c r="DMG2914" s="17"/>
      <c r="DMH2914" s="17"/>
      <c r="DMI2914" s="17"/>
      <c r="DMJ2914" s="17"/>
      <c r="DMK2914" s="17"/>
      <c r="DML2914" s="17"/>
      <c r="DMM2914" s="17"/>
      <c r="DMN2914" s="17"/>
      <c r="DMO2914" s="17"/>
      <c r="DMP2914" s="17"/>
      <c r="DMQ2914" s="17"/>
    </row>
    <row r="2915" spans="3044:3059">
      <c r="DMB2915" s="17"/>
      <c r="DMC2915" s="17"/>
      <c r="DMD2915" s="17"/>
      <c r="DME2915" s="17"/>
      <c r="DMF2915" s="17"/>
      <c r="DMG2915" s="17"/>
      <c r="DMH2915" s="17"/>
      <c r="DMI2915" s="17"/>
      <c r="DMJ2915" s="17"/>
      <c r="DMK2915" s="17"/>
      <c r="DML2915" s="17"/>
      <c r="DMM2915" s="17"/>
      <c r="DMN2915" s="17"/>
      <c r="DMO2915" s="17"/>
      <c r="DMP2915" s="17"/>
      <c r="DMQ2915" s="17"/>
    </row>
    <row r="2916" spans="3044:3059">
      <c r="DMB2916" s="17"/>
      <c r="DMC2916" s="17"/>
      <c r="DMD2916" s="17"/>
      <c r="DME2916" s="17"/>
      <c r="DMF2916" s="17"/>
      <c r="DMG2916" s="17"/>
      <c r="DMH2916" s="17"/>
      <c r="DMI2916" s="17"/>
      <c r="DMJ2916" s="17"/>
      <c r="DMK2916" s="17"/>
      <c r="DML2916" s="17"/>
      <c r="DMM2916" s="17"/>
      <c r="DMN2916" s="17"/>
      <c r="DMO2916" s="17"/>
      <c r="DMP2916" s="17"/>
      <c r="DMQ2916" s="17"/>
    </row>
    <row r="2917" spans="3044:3059">
      <c r="DMB2917" s="17"/>
      <c r="DMC2917" s="17"/>
      <c r="DMD2917" s="17"/>
      <c r="DME2917" s="17"/>
      <c r="DMF2917" s="17"/>
      <c r="DMG2917" s="17"/>
      <c r="DMH2917" s="17"/>
      <c r="DMI2917" s="17"/>
      <c r="DMJ2917" s="17"/>
      <c r="DMK2917" s="17"/>
      <c r="DML2917" s="17"/>
      <c r="DMM2917" s="17"/>
      <c r="DMN2917" s="17"/>
      <c r="DMO2917" s="17"/>
      <c r="DMP2917" s="17"/>
      <c r="DMQ2917" s="17"/>
    </row>
    <row r="2918" spans="3044:3059">
      <c r="DMB2918" s="17"/>
      <c r="DMC2918" s="17"/>
      <c r="DMD2918" s="17"/>
      <c r="DME2918" s="17"/>
      <c r="DMF2918" s="17"/>
      <c r="DMG2918" s="17"/>
      <c r="DMH2918" s="17"/>
      <c r="DMI2918" s="17"/>
      <c r="DMJ2918" s="17"/>
      <c r="DMK2918" s="17"/>
      <c r="DML2918" s="17"/>
      <c r="DMM2918" s="17"/>
      <c r="DMN2918" s="17"/>
      <c r="DMO2918" s="17"/>
      <c r="DMP2918" s="17"/>
      <c r="DMQ2918" s="17"/>
    </row>
    <row r="2919" spans="3044:3059">
      <c r="DMB2919" s="17"/>
      <c r="DMC2919" s="17"/>
      <c r="DMD2919" s="17"/>
      <c r="DME2919" s="17"/>
      <c r="DMF2919" s="17"/>
      <c r="DMG2919" s="17"/>
      <c r="DMH2919" s="17"/>
      <c r="DMI2919" s="17"/>
      <c r="DMJ2919" s="17"/>
      <c r="DMK2919" s="17"/>
      <c r="DML2919" s="17"/>
      <c r="DMM2919" s="17"/>
      <c r="DMN2919" s="17"/>
      <c r="DMO2919" s="17"/>
      <c r="DMP2919" s="17"/>
      <c r="DMQ2919" s="17"/>
    </row>
    <row r="2920" spans="3044:3059">
      <c r="DMB2920" s="17"/>
      <c r="DMC2920" s="17"/>
      <c r="DMD2920" s="17"/>
      <c r="DME2920" s="17"/>
      <c r="DMF2920" s="17"/>
      <c r="DMG2920" s="17"/>
      <c r="DMH2920" s="17"/>
      <c r="DMI2920" s="17"/>
      <c r="DMJ2920" s="17"/>
      <c r="DMK2920" s="17"/>
      <c r="DML2920" s="17"/>
      <c r="DMM2920" s="17"/>
      <c r="DMN2920" s="17"/>
      <c r="DMO2920" s="17"/>
      <c r="DMP2920" s="17"/>
      <c r="DMQ2920" s="17"/>
    </row>
    <row r="2921" spans="3044:3059">
      <c r="DMB2921" s="17"/>
      <c r="DMC2921" s="17"/>
      <c r="DMD2921" s="17"/>
      <c r="DME2921" s="17"/>
      <c r="DMF2921" s="17"/>
      <c r="DMG2921" s="17"/>
      <c r="DMH2921" s="17"/>
      <c r="DMI2921" s="17"/>
      <c r="DMJ2921" s="17"/>
      <c r="DMK2921" s="17"/>
      <c r="DML2921" s="17"/>
      <c r="DMM2921" s="17"/>
      <c r="DMN2921" s="17"/>
      <c r="DMO2921" s="17"/>
      <c r="DMP2921" s="17"/>
      <c r="DMQ2921" s="17"/>
    </row>
    <row r="2922" spans="3044:3059">
      <c r="DMB2922" s="17"/>
      <c r="DMC2922" s="17"/>
      <c r="DMD2922" s="17"/>
      <c r="DME2922" s="17"/>
      <c r="DMF2922" s="17"/>
      <c r="DMG2922" s="17"/>
      <c r="DMH2922" s="17"/>
      <c r="DMI2922" s="17"/>
      <c r="DMJ2922" s="17"/>
      <c r="DMK2922" s="17"/>
      <c r="DML2922" s="17"/>
      <c r="DMM2922" s="17"/>
      <c r="DMN2922" s="17"/>
      <c r="DMO2922" s="17"/>
      <c r="DMP2922" s="17"/>
      <c r="DMQ2922" s="17"/>
    </row>
    <row r="2923" spans="3044:3059">
      <c r="DMB2923" s="17"/>
      <c r="DMC2923" s="17"/>
      <c r="DMD2923" s="17"/>
      <c r="DME2923" s="17"/>
      <c r="DMF2923" s="17"/>
      <c r="DMG2923" s="17"/>
      <c r="DMH2923" s="17"/>
      <c r="DMI2923" s="17"/>
      <c r="DMJ2923" s="17"/>
      <c r="DMK2923" s="17"/>
      <c r="DML2923" s="17"/>
      <c r="DMM2923" s="17"/>
      <c r="DMN2923" s="17"/>
      <c r="DMO2923" s="17"/>
      <c r="DMP2923" s="17"/>
      <c r="DMQ2923" s="17"/>
    </row>
    <row r="2924" spans="3044:3059">
      <c r="DMB2924" s="17"/>
      <c r="DMC2924" s="17"/>
      <c r="DMD2924" s="17"/>
      <c r="DME2924" s="17"/>
      <c r="DMF2924" s="17"/>
      <c r="DMG2924" s="17"/>
      <c r="DMH2924" s="17"/>
      <c r="DMI2924" s="17"/>
      <c r="DMJ2924" s="17"/>
      <c r="DMK2924" s="17"/>
      <c r="DML2924" s="17"/>
      <c r="DMM2924" s="17"/>
      <c r="DMN2924" s="17"/>
      <c r="DMO2924" s="17"/>
      <c r="DMP2924" s="17"/>
      <c r="DMQ2924" s="17"/>
    </row>
    <row r="2925" spans="3044:3059">
      <c r="DMB2925" s="17"/>
      <c r="DMC2925" s="17"/>
      <c r="DMD2925" s="17"/>
      <c r="DME2925" s="17"/>
      <c r="DMF2925" s="17"/>
      <c r="DMG2925" s="17"/>
      <c r="DMH2925" s="17"/>
      <c r="DMI2925" s="17"/>
      <c r="DMJ2925" s="17"/>
      <c r="DMK2925" s="17"/>
      <c r="DML2925" s="17"/>
      <c r="DMM2925" s="17"/>
      <c r="DMN2925" s="17"/>
      <c r="DMO2925" s="17"/>
      <c r="DMP2925" s="17"/>
      <c r="DMQ2925" s="17"/>
    </row>
    <row r="2926" spans="3044:3059">
      <c r="DMB2926" s="17"/>
      <c r="DMC2926" s="17"/>
      <c r="DMD2926" s="17"/>
      <c r="DME2926" s="17"/>
      <c r="DMF2926" s="17"/>
      <c r="DMG2926" s="17"/>
      <c r="DMH2926" s="17"/>
      <c r="DMI2926" s="17"/>
      <c r="DMJ2926" s="17"/>
      <c r="DMK2926" s="17"/>
      <c r="DML2926" s="17"/>
      <c r="DMM2926" s="17"/>
      <c r="DMN2926" s="17"/>
      <c r="DMO2926" s="17"/>
      <c r="DMP2926" s="17"/>
      <c r="DMQ2926" s="17"/>
    </row>
    <row r="2927" spans="3044:3059">
      <c r="DMB2927" s="17"/>
      <c r="DMC2927" s="17"/>
      <c r="DMD2927" s="17"/>
      <c r="DME2927" s="17"/>
      <c r="DMF2927" s="17"/>
      <c r="DMG2927" s="17"/>
      <c r="DMH2927" s="17"/>
      <c r="DMI2927" s="17"/>
      <c r="DMJ2927" s="17"/>
      <c r="DMK2927" s="17"/>
      <c r="DML2927" s="17"/>
      <c r="DMM2927" s="17"/>
      <c r="DMN2927" s="17"/>
      <c r="DMO2927" s="17"/>
      <c r="DMP2927" s="17"/>
      <c r="DMQ2927" s="17"/>
    </row>
    <row r="2928" spans="3044:3059">
      <c r="DMB2928" s="17"/>
      <c r="DMC2928" s="17"/>
      <c r="DMD2928" s="17"/>
      <c r="DME2928" s="17"/>
      <c r="DMF2928" s="17"/>
      <c r="DMG2928" s="17"/>
      <c r="DMH2928" s="17"/>
      <c r="DMI2928" s="17"/>
      <c r="DMJ2928" s="17"/>
      <c r="DMK2928" s="17"/>
      <c r="DML2928" s="17"/>
      <c r="DMM2928" s="17"/>
      <c r="DMN2928" s="17"/>
      <c r="DMO2928" s="17"/>
      <c r="DMP2928" s="17"/>
      <c r="DMQ2928" s="17"/>
    </row>
    <row r="2929" spans="3044:3059">
      <c r="DMB2929" s="17"/>
      <c r="DMC2929" s="17"/>
      <c r="DMD2929" s="17"/>
      <c r="DME2929" s="17"/>
      <c r="DMF2929" s="17"/>
      <c r="DMG2929" s="17"/>
      <c r="DMH2929" s="17"/>
      <c r="DMI2929" s="17"/>
      <c r="DMJ2929" s="17"/>
      <c r="DMK2929" s="17"/>
      <c r="DML2929" s="17"/>
      <c r="DMM2929" s="17"/>
      <c r="DMN2929" s="17"/>
      <c r="DMO2929" s="17"/>
      <c r="DMP2929" s="17"/>
      <c r="DMQ2929" s="17"/>
    </row>
    <row r="2930" spans="3044:3059">
      <c r="DMB2930" s="17"/>
      <c r="DMC2930" s="17"/>
      <c r="DMD2930" s="17"/>
      <c r="DME2930" s="17"/>
      <c r="DMF2930" s="17"/>
      <c r="DMG2930" s="17"/>
      <c r="DMH2930" s="17"/>
      <c r="DMI2930" s="17"/>
      <c r="DMJ2930" s="17"/>
      <c r="DMK2930" s="17"/>
      <c r="DML2930" s="17"/>
      <c r="DMM2930" s="17"/>
      <c r="DMN2930" s="17"/>
      <c r="DMO2930" s="17"/>
      <c r="DMP2930" s="17"/>
      <c r="DMQ2930" s="17"/>
    </row>
    <row r="2931" spans="3044:3059">
      <c r="DMB2931" s="17"/>
      <c r="DMC2931" s="17"/>
      <c r="DMD2931" s="17"/>
      <c r="DME2931" s="17"/>
      <c r="DMF2931" s="17"/>
      <c r="DMG2931" s="17"/>
      <c r="DMH2931" s="17"/>
      <c r="DMI2931" s="17"/>
      <c r="DMJ2931" s="17"/>
      <c r="DMK2931" s="17"/>
      <c r="DML2931" s="17"/>
      <c r="DMM2931" s="17"/>
      <c r="DMN2931" s="17"/>
      <c r="DMO2931" s="17"/>
      <c r="DMP2931" s="17"/>
      <c r="DMQ2931" s="17"/>
    </row>
    <row r="2932" spans="3044:3059">
      <c r="DMB2932" s="17"/>
      <c r="DMC2932" s="17"/>
      <c r="DMD2932" s="17"/>
      <c r="DME2932" s="17"/>
      <c r="DMF2932" s="17"/>
      <c r="DMG2932" s="17"/>
      <c r="DMH2932" s="17"/>
      <c r="DMI2932" s="17"/>
      <c r="DMJ2932" s="17"/>
      <c r="DMK2932" s="17"/>
      <c r="DML2932" s="17"/>
      <c r="DMM2932" s="17"/>
      <c r="DMN2932" s="17"/>
      <c r="DMO2932" s="17"/>
      <c r="DMP2932" s="17"/>
      <c r="DMQ2932" s="17"/>
    </row>
    <row r="2933" spans="3044:3059">
      <c r="DMB2933" s="17"/>
      <c r="DMC2933" s="17"/>
      <c r="DMD2933" s="17"/>
      <c r="DME2933" s="17"/>
      <c r="DMF2933" s="17"/>
      <c r="DMG2933" s="17"/>
      <c r="DMH2933" s="17"/>
      <c r="DMI2933" s="17"/>
      <c r="DMJ2933" s="17"/>
      <c r="DMK2933" s="17"/>
      <c r="DML2933" s="17"/>
      <c r="DMM2933" s="17"/>
      <c r="DMN2933" s="17"/>
      <c r="DMO2933" s="17"/>
      <c r="DMP2933" s="17"/>
      <c r="DMQ2933" s="17"/>
    </row>
    <row r="2934" spans="3044:3059">
      <c r="DMB2934" s="17"/>
      <c r="DMC2934" s="17"/>
      <c r="DMD2934" s="17"/>
      <c r="DME2934" s="17"/>
      <c r="DMF2934" s="17"/>
      <c r="DMG2934" s="17"/>
      <c r="DMH2934" s="17"/>
      <c r="DMI2934" s="17"/>
      <c r="DMJ2934" s="17"/>
      <c r="DMK2934" s="17"/>
      <c r="DML2934" s="17"/>
      <c r="DMM2934" s="17"/>
      <c r="DMN2934" s="17"/>
      <c r="DMO2934" s="17"/>
      <c r="DMP2934" s="17"/>
      <c r="DMQ2934" s="17"/>
    </row>
    <row r="2935" spans="3044:3059">
      <c r="DMB2935" s="17"/>
      <c r="DMC2935" s="17"/>
      <c r="DMD2935" s="17"/>
      <c r="DME2935" s="17"/>
      <c r="DMF2935" s="17"/>
      <c r="DMG2935" s="17"/>
      <c r="DMH2935" s="17"/>
      <c r="DMI2935" s="17"/>
      <c r="DMJ2935" s="17"/>
      <c r="DMK2935" s="17"/>
      <c r="DML2935" s="17"/>
      <c r="DMM2935" s="17"/>
      <c r="DMN2935" s="17"/>
      <c r="DMO2935" s="17"/>
      <c r="DMP2935" s="17"/>
      <c r="DMQ2935" s="17"/>
    </row>
    <row r="2936" spans="3044:3059">
      <c r="DMB2936" s="17"/>
      <c r="DMC2936" s="17"/>
      <c r="DMD2936" s="17"/>
      <c r="DME2936" s="17"/>
      <c r="DMF2936" s="17"/>
      <c r="DMG2936" s="17"/>
      <c r="DMH2936" s="17"/>
      <c r="DMI2936" s="17"/>
      <c r="DMJ2936" s="17"/>
      <c r="DMK2936" s="17"/>
      <c r="DML2936" s="17"/>
      <c r="DMM2936" s="17"/>
      <c r="DMN2936" s="17"/>
      <c r="DMO2936" s="17"/>
      <c r="DMP2936" s="17"/>
      <c r="DMQ2936" s="17"/>
    </row>
    <row r="2937" spans="3044:3059">
      <c r="DMB2937" s="17"/>
      <c r="DMC2937" s="17"/>
      <c r="DMD2937" s="17"/>
      <c r="DME2937" s="17"/>
      <c r="DMF2937" s="17"/>
      <c r="DMG2937" s="17"/>
      <c r="DMH2937" s="17"/>
      <c r="DMI2937" s="17"/>
      <c r="DMJ2937" s="17"/>
      <c r="DMK2937" s="17"/>
      <c r="DML2937" s="17"/>
      <c r="DMM2937" s="17"/>
      <c r="DMN2937" s="17"/>
      <c r="DMO2937" s="17"/>
      <c r="DMP2937" s="17"/>
      <c r="DMQ2937" s="17"/>
    </row>
    <row r="2938" spans="3044:3059">
      <c r="DMB2938" s="17"/>
      <c r="DMC2938" s="17"/>
      <c r="DMD2938" s="17"/>
      <c r="DME2938" s="17"/>
      <c r="DMF2938" s="17"/>
      <c r="DMG2938" s="17"/>
      <c r="DMH2938" s="17"/>
      <c r="DMI2938" s="17"/>
      <c r="DMJ2938" s="17"/>
      <c r="DMK2938" s="17"/>
      <c r="DML2938" s="17"/>
      <c r="DMM2938" s="17"/>
      <c r="DMN2938" s="17"/>
      <c r="DMO2938" s="17"/>
      <c r="DMP2938" s="17"/>
      <c r="DMQ2938" s="17"/>
    </row>
    <row r="2939" spans="3044:3059">
      <c r="DMB2939" s="17"/>
      <c r="DMC2939" s="17"/>
      <c r="DMD2939" s="17"/>
      <c r="DME2939" s="17"/>
      <c r="DMF2939" s="17"/>
      <c r="DMG2939" s="17"/>
      <c r="DMH2939" s="17"/>
      <c r="DMI2939" s="17"/>
      <c r="DMJ2939" s="17"/>
      <c r="DMK2939" s="17"/>
      <c r="DML2939" s="17"/>
      <c r="DMM2939" s="17"/>
      <c r="DMN2939" s="17"/>
      <c r="DMO2939" s="17"/>
      <c r="DMP2939" s="17"/>
      <c r="DMQ2939" s="17"/>
    </row>
    <row r="2940" spans="3044:3059">
      <c r="DMB2940" s="17"/>
      <c r="DMC2940" s="17"/>
      <c r="DMD2940" s="17"/>
      <c r="DME2940" s="17"/>
      <c r="DMF2940" s="17"/>
      <c r="DMG2940" s="17"/>
      <c r="DMH2940" s="17"/>
      <c r="DMI2940" s="17"/>
      <c r="DMJ2940" s="17"/>
      <c r="DMK2940" s="17"/>
      <c r="DML2940" s="17"/>
      <c r="DMM2940" s="17"/>
      <c r="DMN2940" s="17"/>
      <c r="DMO2940" s="17"/>
      <c r="DMP2940" s="17"/>
      <c r="DMQ2940" s="17"/>
    </row>
    <row r="2941" spans="3044:3059">
      <c r="DMB2941" s="17"/>
      <c r="DMC2941" s="17"/>
      <c r="DMD2941" s="17"/>
      <c r="DME2941" s="17"/>
      <c r="DMF2941" s="17"/>
      <c r="DMG2941" s="17"/>
      <c r="DMH2941" s="17"/>
      <c r="DMI2941" s="17"/>
      <c r="DMJ2941" s="17"/>
      <c r="DMK2941" s="17"/>
      <c r="DML2941" s="17"/>
      <c r="DMM2941" s="17"/>
      <c r="DMN2941" s="17"/>
      <c r="DMO2941" s="17"/>
      <c r="DMP2941" s="17"/>
      <c r="DMQ2941" s="17"/>
    </row>
    <row r="2942" spans="3044:3059">
      <c r="DMB2942" s="17"/>
      <c r="DMC2942" s="17"/>
      <c r="DMD2942" s="17"/>
      <c r="DME2942" s="17"/>
      <c r="DMF2942" s="17"/>
      <c r="DMG2942" s="17"/>
      <c r="DMH2942" s="17"/>
      <c r="DMI2942" s="17"/>
      <c r="DMJ2942" s="17"/>
      <c r="DMK2942" s="17"/>
      <c r="DML2942" s="17"/>
      <c r="DMM2942" s="17"/>
      <c r="DMN2942" s="17"/>
      <c r="DMO2942" s="17"/>
      <c r="DMP2942" s="17"/>
      <c r="DMQ2942" s="17"/>
    </row>
    <row r="2943" spans="3044:3059">
      <c r="DMB2943" s="17"/>
      <c r="DMC2943" s="17"/>
      <c r="DMD2943" s="17"/>
      <c r="DME2943" s="17"/>
      <c r="DMF2943" s="17"/>
      <c r="DMG2943" s="17"/>
      <c r="DMH2943" s="17"/>
      <c r="DMI2943" s="17"/>
      <c r="DMJ2943" s="17"/>
      <c r="DMK2943" s="17"/>
      <c r="DML2943" s="17"/>
      <c r="DMM2943" s="17"/>
      <c r="DMN2943" s="17"/>
      <c r="DMO2943" s="17"/>
      <c r="DMP2943" s="17"/>
      <c r="DMQ2943" s="17"/>
    </row>
    <row r="2944" spans="3044:3059">
      <c r="DMB2944" s="17"/>
      <c r="DMC2944" s="17"/>
      <c r="DMD2944" s="17"/>
      <c r="DME2944" s="17"/>
      <c r="DMF2944" s="17"/>
      <c r="DMG2944" s="17"/>
      <c r="DMH2944" s="17"/>
      <c r="DMI2944" s="17"/>
      <c r="DMJ2944" s="17"/>
      <c r="DMK2944" s="17"/>
      <c r="DML2944" s="17"/>
      <c r="DMM2944" s="17"/>
      <c r="DMN2944" s="17"/>
      <c r="DMO2944" s="17"/>
      <c r="DMP2944" s="17"/>
      <c r="DMQ2944" s="17"/>
    </row>
    <row r="2945" spans="3044:3059">
      <c r="DMB2945" s="17"/>
      <c r="DMC2945" s="17"/>
      <c r="DMD2945" s="17"/>
      <c r="DME2945" s="17"/>
      <c r="DMF2945" s="17"/>
      <c r="DMG2945" s="17"/>
      <c r="DMH2945" s="17"/>
      <c r="DMI2945" s="17"/>
      <c r="DMJ2945" s="17"/>
      <c r="DMK2945" s="17"/>
      <c r="DML2945" s="17"/>
      <c r="DMM2945" s="17"/>
      <c r="DMN2945" s="17"/>
      <c r="DMO2945" s="17"/>
      <c r="DMP2945" s="17"/>
      <c r="DMQ2945" s="17"/>
    </row>
    <row r="2946" spans="3044:3059">
      <c r="DMB2946" s="17"/>
      <c r="DMC2946" s="17"/>
      <c r="DMD2946" s="17"/>
      <c r="DME2946" s="17"/>
      <c r="DMF2946" s="17"/>
      <c r="DMG2946" s="17"/>
      <c r="DMH2946" s="17"/>
      <c r="DMI2946" s="17"/>
      <c r="DMJ2946" s="17"/>
      <c r="DMK2946" s="17"/>
      <c r="DML2946" s="17"/>
      <c r="DMM2946" s="17"/>
      <c r="DMN2946" s="17"/>
      <c r="DMO2946" s="17"/>
      <c r="DMP2946" s="17"/>
      <c r="DMQ2946" s="17"/>
    </row>
    <row r="2947" spans="3044:3059">
      <c r="DMB2947" s="17"/>
      <c r="DMC2947" s="17"/>
      <c r="DMD2947" s="17"/>
      <c r="DME2947" s="17"/>
      <c r="DMF2947" s="17"/>
      <c r="DMG2947" s="17"/>
      <c r="DMH2947" s="17"/>
      <c r="DMI2947" s="17"/>
      <c r="DMJ2947" s="17"/>
      <c r="DMK2947" s="17"/>
      <c r="DML2947" s="17"/>
      <c r="DMM2947" s="17"/>
      <c r="DMN2947" s="17"/>
      <c r="DMO2947" s="17"/>
      <c r="DMP2947" s="17"/>
      <c r="DMQ2947" s="17"/>
    </row>
    <row r="2948" spans="3044:3059">
      <c r="DMB2948" s="17"/>
      <c r="DMC2948" s="17"/>
      <c r="DMD2948" s="17"/>
      <c r="DME2948" s="17"/>
      <c r="DMF2948" s="17"/>
      <c r="DMG2948" s="17"/>
      <c r="DMH2948" s="17"/>
      <c r="DMI2948" s="17"/>
      <c r="DMJ2948" s="17"/>
      <c r="DMK2948" s="17"/>
      <c r="DML2948" s="17"/>
      <c r="DMM2948" s="17"/>
      <c r="DMN2948" s="17"/>
      <c r="DMO2948" s="17"/>
      <c r="DMP2948" s="17"/>
      <c r="DMQ2948" s="17"/>
    </row>
    <row r="2949" spans="3044:3059">
      <c r="DMB2949" s="17"/>
      <c r="DMC2949" s="17"/>
      <c r="DMD2949" s="17"/>
      <c r="DME2949" s="17"/>
      <c r="DMF2949" s="17"/>
      <c r="DMG2949" s="17"/>
      <c r="DMH2949" s="17"/>
      <c r="DMI2949" s="17"/>
      <c r="DMJ2949" s="17"/>
      <c r="DMK2949" s="17"/>
      <c r="DML2949" s="17"/>
      <c r="DMM2949" s="17"/>
      <c r="DMN2949" s="17"/>
      <c r="DMO2949" s="17"/>
      <c r="DMP2949" s="17"/>
      <c r="DMQ2949" s="17"/>
    </row>
    <row r="2950" spans="3044:3059">
      <c r="DMB2950" s="17"/>
      <c r="DMC2950" s="17"/>
      <c r="DMD2950" s="17"/>
      <c r="DME2950" s="17"/>
      <c r="DMF2950" s="17"/>
      <c r="DMG2950" s="17"/>
      <c r="DMH2950" s="17"/>
      <c r="DMI2950" s="17"/>
      <c r="DMJ2950" s="17"/>
      <c r="DMK2950" s="17"/>
      <c r="DML2950" s="17"/>
      <c r="DMM2950" s="17"/>
      <c r="DMN2950" s="17"/>
      <c r="DMO2950" s="17"/>
      <c r="DMP2950" s="17"/>
      <c r="DMQ2950" s="17"/>
    </row>
    <row r="2951" spans="3044:3059">
      <c r="DMB2951" s="17"/>
      <c r="DMC2951" s="17"/>
      <c r="DMD2951" s="17"/>
      <c r="DME2951" s="17"/>
      <c r="DMF2951" s="17"/>
      <c r="DMG2951" s="17"/>
      <c r="DMH2951" s="17"/>
      <c r="DMI2951" s="17"/>
      <c r="DMJ2951" s="17"/>
      <c r="DMK2951" s="17"/>
      <c r="DML2951" s="17"/>
      <c r="DMM2951" s="17"/>
      <c r="DMN2951" s="17"/>
      <c r="DMO2951" s="17"/>
      <c r="DMP2951" s="17"/>
      <c r="DMQ2951" s="17"/>
    </row>
    <row r="2952" spans="3044:3059">
      <c r="DMB2952" s="17"/>
      <c r="DMC2952" s="17"/>
      <c r="DMD2952" s="17"/>
      <c r="DME2952" s="17"/>
      <c r="DMF2952" s="17"/>
      <c r="DMG2952" s="17"/>
      <c r="DMH2952" s="17"/>
      <c r="DMI2952" s="17"/>
      <c r="DMJ2952" s="17"/>
      <c r="DMK2952" s="17"/>
      <c r="DML2952" s="17"/>
      <c r="DMM2952" s="17"/>
      <c r="DMN2952" s="17"/>
      <c r="DMO2952" s="17"/>
      <c r="DMP2952" s="17"/>
      <c r="DMQ2952" s="17"/>
    </row>
    <row r="2953" spans="3044:3059">
      <c r="DMB2953" s="17"/>
      <c r="DMC2953" s="17"/>
      <c r="DMD2953" s="17"/>
      <c r="DME2953" s="17"/>
      <c r="DMF2953" s="17"/>
      <c r="DMG2953" s="17"/>
      <c r="DMH2953" s="17"/>
      <c r="DMI2953" s="17"/>
      <c r="DMJ2953" s="17"/>
      <c r="DMK2953" s="17"/>
      <c r="DML2953" s="17"/>
      <c r="DMM2953" s="17"/>
      <c r="DMN2953" s="17"/>
      <c r="DMO2953" s="17"/>
      <c r="DMP2953" s="17"/>
      <c r="DMQ2953" s="17"/>
    </row>
    <row r="2954" spans="3044:3059">
      <c r="DMB2954" s="17"/>
      <c r="DMC2954" s="17"/>
      <c r="DMD2954" s="17"/>
      <c r="DME2954" s="17"/>
      <c r="DMF2954" s="17"/>
      <c r="DMG2954" s="17"/>
      <c r="DMH2954" s="17"/>
      <c r="DMI2954" s="17"/>
      <c r="DMJ2954" s="17"/>
      <c r="DMK2954" s="17"/>
      <c r="DML2954" s="17"/>
      <c r="DMM2954" s="17"/>
      <c r="DMN2954" s="17"/>
      <c r="DMO2954" s="17"/>
      <c r="DMP2954" s="17"/>
      <c r="DMQ2954" s="17"/>
    </row>
    <row r="2955" spans="3044:3059">
      <c r="DMB2955" s="17"/>
      <c r="DMC2955" s="17"/>
      <c r="DMD2955" s="17"/>
      <c r="DME2955" s="17"/>
      <c r="DMF2955" s="17"/>
      <c r="DMG2955" s="17"/>
      <c r="DMH2955" s="17"/>
      <c r="DMI2955" s="17"/>
      <c r="DMJ2955" s="17"/>
      <c r="DMK2955" s="17"/>
      <c r="DML2955" s="17"/>
      <c r="DMM2955" s="17"/>
      <c r="DMN2955" s="17"/>
      <c r="DMO2955" s="17"/>
      <c r="DMP2955" s="17"/>
      <c r="DMQ2955" s="17"/>
    </row>
    <row r="2956" spans="3044:3059">
      <c r="DMB2956" s="17"/>
      <c r="DMC2956" s="17"/>
      <c r="DMD2956" s="17"/>
      <c r="DME2956" s="17"/>
      <c r="DMF2956" s="17"/>
      <c r="DMG2956" s="17"/>
      <c r="DMH2956" s="17"/>
      <c r="DMI2956" s="17"/>
      <c r="DMJ2956" s="17"/>
      <c r="DMK2956" s="17"/>
      <c r="DML2956" s="17"/>
      <c r="DMM2956" s="17"/>
      <c r="DMN2956" s="17"/>
      <c r="DMO2956" s="17"/>
      <c r="DMP2956" s="17"/>
      <c r="DMQ2956" s="17"/>
    </row>
    <row r="2957" spans="3044:3059">
      <c r="DMB2957" s="17"/>
      <c r="DMC2957" s="17"/>
      <c r="DMD2957" s="17"/>
      <c r="DME2957" s="17"/>
      <c r="DMF2957" s="17"/>
      <c r="DMG2957" s="17"/>
      <c r="DMH2957" s="17"/>
      <c r="DMI2957" s="17"/>
      <c r="DMJ2957" s="17"/>
      <c r="DMK2957" s="17"/>
      <c r="DML2957" s="17"/>
      <c r="DMM2957" s="17"/>
      <c r="DMN2957" s="17"/>
      <c r="DMO2957" s="17"/>
      <c r="DMP2957" s="17"/>
      <c r="DMQ2957" s="17"/>
    </row>
    <row r="2958" spans="3044:3059">
      <c r="DMB2958" s="17"/>
      <c r="DMC2958" s="17"/>
      <c r="DMD2958" s="17"/>
      <c r="DME2958" s="17"/>
      <c r="DMF2958" s="17"/>
      <c r="DMG2958" s="17"/>
      <c r="DMH2958" s="17"/>
      <c r="DMI2958" s="17"/>
      <c r="DMJ2958" s="17"/>
      <c r="DMK2958" s="17"/>
      <c r="DML2958" s="17"/>
      <c r="DMM2958" s="17"/>
      <c r="DMN2958" s="17"/>
      <c r="DMO2958" s="17"/>
      <c r="DMP2958" s="17"/>
      <c r="DMQ2958" s="17"/>
    </row>
    <row r="2959" spans="3044:3059">
      <c r="DMB2959" s="17"/>
      <c r="DMC2959" s="17"/>
      <c r="DMD2959" s="17"/>
      <c r="DME2959" s="17"/>
      <c r="DMF2959" s="17"/>
      <c r="DMG2959" s="17"/>
      <c r="DMH2959" s="17"/>
      <c r="DMI2959" s="17"/>
      <c r="DMJ2959" s="17"/>
      <c r="DMK2959" s="17"/>
      <c r="DML2959" s="17"/>
      <c r="DMM2959" s="17"/>
      <c r="DMN2959" s="17"/>
      <c r="DMO2959" s="17"/>
      <c r="DMP2959" s="17"/>
      <c r="DMQ2959" s="17"/>
    </row>
    <row r="2960" spans="3044:3059">
      <c r="DMB2960" s="17"/>
      <c r="DMC2960" s="17"/>
      <c r="DMD2960" s="17"/>
      <c r="DME2960" s="17"/>
      <c r="DMF2960" s="17"/>
      <c r="DMG2960" s="17"/>
      <c r="DMH2960" s="17"/>
      <c r="DMI2960" s="17"/>
      <c r="DMJ2960" s="17"/>
      <c r="DMK2960" s="17"/>
      <c r="DML2960" s="17"/>
      <c r="DMM2960" s="17"/>
      <c r="DMN2960" s="17"/>
      <c r="DMO2960" s="17"/>
      <c r="DMP2960" s="17"/>
      <c r="DMQ2960" s="17"/>
    </row>
    <row r="2961" spans="3044:3059">
      <c r="DMB2961" s="17"/>
      <c r="DMC2961" s="17"/>
      <c r="DMD2961" s="17"/>
      <c r="DME2961" s="17"/>
      <c r="DMF2961" s="17"/>
      <c r="DMG2961" s="17"/>
      <c r="DMH2961" s="17"/>
      <c r="DMI2961" s="17"/>
      <c r="DMJ2961" s="17"/>
      <c r="DMK2961" s="17"/>
      <c r="DML2961" s="17"/>
      <c r="DMM2961" s="17"/>
      <c r="DMN2961" s="17"/>
      <c r="DMO2961" s="17"/>
      <c r="DMP2961" s="17"/>
      <c r="DMQ2961" s="17"/>
    </row>
    <row r="2962" spans="3044:3059">
      <c r="DMB2962" s="17"/>
      <c r="DMC2962" s="17"/>
      <c r="DMD2962" s="17"/>
      <c r="DME2962" s="17"/>
      <c r="DMF2962" s="17"/>
      <c r="DMG2962" s="17"/>
      <c r="DMH2962" s="17"/>
      <c r="DMI2962" s="17"/>
      <c r="DMJ2962" s="17"/>
      <c r="DMK2962" s="17"/>
      <c r="DML2962" s="17"/>
      <c r="DMM2962" s="17"/>
      <c r="DMN2962" s="17"/>
      <c r="DMO2962" s="17"/>
      <c r="DMP2962" s="17"/>
      <c r="DMQ2962" s="17"/>
    </row>
    <row r="2963" spans="3044:3059">
      <c r="DMB2963" s="17"/>
      <c r="DMC2963" s="17"/>
      <c r="DMD2963" s="17"/>
      <c r="DME2963" s="17"/>
      <c r="DMF2963" s="17"/>
      <c r="DMG2963" s="17"/>
      <c r="DMH2963" s="17"/>
      <c r="DMI2963" s="17"/>
      <c r="DMJ2963" s="17"/>
      <c r="DMK2963" s="17"/>
      <c r="DML2963" s="17"/>
      <c r="DMM2963" s="17"/>
      <c r="DMN2963" s="17"/>
      <c r="DMO2963" s="17"/>
      <c r="DMP2963" s="17"/>
      <c r="DMQ2963" s="17"/>
    </row>
    <row r="2964" spans="3044:3059">
      <c r="DMB2964" s="17"/>
      <c r="DMC2964" s="17"/>
      <c r="DMD2964" s="17"/>
      <c r="DME2964" s="17"/>
      <c r="DMF2964" s="17"/>
      <c r="DMG2964" s="17"/>
      <c r="DMH2964" s="17"/>
      <c r="DMI2964" s="17"/>
      <c r="DMJ2964" s="17"/>
      <c r="DMK2964" s="17"/>
      <c r="DML2964" s="17"/>
      <c r="DMM2964" s="17"/>
      <c r="DMN2964" s="17"/>
      <c r="DMO2964" s="17"/>
      <c r="DMP2964" s="17"/>
      <c r="DMQ2964" s="17"/>
    </row>
    <row r="2965" spans="3044:3059">
      <c r="DMB2965" s="17"/>
      <c r="DMC2965" s="17"/>
      <c r="DMD2965" s="17"/>
      <c r="DME2965" s="17"/>
      <c r="DMF2965" s="17"/>
      <c r="DMG2965" s="17"/>
      <c r="DMH2965" s="17"/>
      <c r="DMI2965" s="17"/>
      <c r="DMJ2965" s="17"/>
      <c r="DMK2965" s="17"/>
      <c r="DML2965" s="17"/>
      <c r="DMM2965" s="17"/>
      <c r="DMN2965" s="17"/>
      <c r="DMO2965" s="17"/>
      <c r="DMP2965" s="17"/>
      <c r="DMQ2965" s="17"/>
    </row>
    <row r="2966" spans="3044:3059">
      <c r="DMB2966" s="17"/>
      <c r="DMC2966" s="17"/>
      <c r="DMD2966" s="17"/>
      <c r="DME2966" s="17"/>
      <c r="DMF2966" s="17"/>
      <c r="DMG2966" s="17"/>
      <c r="DMH2966" s="17"/>
      <c r="DMI2966" s="17"/>
      <c r="DMJ2966" s="17"/>
      <c r="DMK2966" s="17"/>
      <c r="DML2966" s="17"/>
      <c r="DMM2966" s="17"/>
      <c r="DMN2966" s="17"/>
      <c r="DMO2966" s="17"/>
      <c r="DMP2966" s="17"/>
      <c r="DMQ2966" s="17"/>
    </row>
    <row r="2967" spans="3044:3059">
      <c r="DMB2967" s="17"/>
      <c r="DMC2967" s="17"/>
      <c r="DMD2967" s="17"/>
      <c r="DME2967" s="17"/>
      <c r="DMF2967" s="17"/>
      <c r="DMG2967" s="17"/>
      <c r="DMH2967" s="17"/>
      <c r="DMI2967" s="17"/>
      <c r="DMJ2967" s="17"/>
      <c r="DMK2967" s="17"/>
      <c r="DML2967" s="17"/>
      <c r="DMM2967" s="17"/>
      <c r="DMN2967" s="17"/>
      <c r="DMO2967" s="17"/>
      <c r="DMP2967" s="17"/>
      <c r="DMQ2967" s="17"/>
    </row>
    <row r="2968" spans="3044:3059">
      <c r="DMB2968" s="17"/>
      <c r="DMC2968" s="17"/>
      <c r="DMD2968" s="17"/>
      <c r="DME2968" s="17"/>
      <c r="DMF2968" s="17"/>
      <c r="DMG2968" s="17"/>
      <c r="DMH2968" s="17"/>
      <c r="DMI2968" s="17"/>
      <c r="DMJ2968" s="17"/>
      <c r="DMK2968" s="17"/>
      <c r="DML2968" s="17"/>
      <c r="DMM2968" s="17"/>
      <c r="DMN2968" s="17"/>
      <c r="DMO2968" s="17"/>
      <c r="DMP2968" s="17"/>
      <c r="DMQ2968" s="17"/>
    </row>
    <row r="2969" spans="3044:3059">
      <c r="DMB2969" s="17"/>
      <c r="DMC2969" s="17"/>
      <c r="DMD2969" s="17"/>
      <c r="DME2969" s="17"/>
      <c r="DMF2969" s="17"/>
      <c r="DMG2969" s="17"/>
      <c r="DMH2969" s="17"/>
      <c r="DMI2969" s="17"/>
      <c r="DMJ2969" s="17"/>
      <c r="DMK2969" s="17"/>
      <c r="DML2969" s="17"/>
      <c r="DMM2969" s="17"/>
      <c r="DMN2969" s="17"/>
      <c r="DMO2969" s="17"/>
      <c r="DMP2969" s="17"/>
      <c r="DMQ2969" s="17"/>
    </row>
    <row r="2970" spans="3044:3059">
      <c r="DMB2970" s="17"/>
      <c r="DMC2970" s="17"/>
      <c r="DMD2970" s="17"/>
      <c r="DME2970" s="17"/>
      <c r="DMF2970" s="17"/>
      <c r="DMG2970" s="17"/>
      <c r="DMH2970" s="17"/>
      <c r="DMI2970" s="17"/>
      <c r="DMJ2970" s="17"/>
      <c r="DMK2970" s="17"/>
      <c r="DML2970" s="17"/>
      <c r="DMM2970" s="17"/>
      <c r="DMN2970" s="17"/>
      <c r="DMO2970" s="17"/>
      <c r="DMP2970" s="17"/>
      <c r="DMQ2970" s="17"/>
    </row>
    <row r="2971" spans="3044:3059">
      <c r="DMB2971" s="17"/>
      <c r="DMC2971" s="17"/>
      <c r="DMD2971" s="17"/>
      <c r="DME2971" s="17"/>
      <c r="DMF2971" s="17"/>
      <c r="DMG2971" s="17"/>
      <c r="DMH2971" s="17"/>
      <c r="DMI2971" s="17"/>
      <c r="DMJ2971" s="17"/>
      <c r="DMK2971" s="17"/>
      <c r="DML2971" s="17"/>
      <c r="DMM2971" s="17"/>
      <c r="DMN2971" s="17"/>
      <c r="DMO2971" s="17"/>
      <c r="DMP2971" s="17"/>
      <c r="DMQ2971" s="17"/>
    </row>
    <row r="2972" spans="3044:3059">
      <c r="DMB2972" s="17"/>
      <c r="DMC2972" s="17"/>
      <c r="DMD2972" s="17"/>
      <c r="DME2972" s="17"/>
      <c r="DMF2972" s="17"/>
      <c r="DMG2972" s="17"/>
      <c r="DMH2972" s="17"/>
      <c r="DMI2972" s="17"/>
      <c r="DMJ2972" s="17"/>
      <c r="DMK2972" s="17"/>
      <c r="DML2972" s="17"/>
      <c r="DMM2972" s="17"/>
      <c r="DMN2972" s="17"/>
      <c r="DMO2972" s="17"/>
      <c r="DMP2972" s="17"/>
      <c r="DMQ2972" s="17"/>
    </row>
    <row r="2973" spans="3044:3059">
      <c r="DMB2973" s="17"/>
      <c r="DMC2973" s="17"/>
      <c r="DMD2973" s="17"/>
      <c r="DME2973" s="17"/>
      <c r="DMF2973" s="17"/>
      <c r="DMG2973" s="17"/>
      <c r="DMH2973" s="17"/>
      <c r="DMI2973" s="17"/>
      <c r="DMJ2973" s="17"/>
      <c r="DMK2973" s="17"/>
      <c r="DML2973" s="17"/>
      <c r="DMM2973" s="17"/>
      <c r="DMN2973" s="17"/>
      <c r="DMO2973" s="17"/>
      <c r="DMP2973" s="17"/>
      <c r="DMQ2973" s="17"/>
    </row>
    <row r="2974" spans="3044:3059">
      <c r="DMB2974" s="17"/>
      <c r="DMC2974" s="17"/>
      <c r="DMD2974" s="17"/>
      <c r="DME2974" s="17"/>
      <c r="DMF2974" s="17"/>
      <c r="DMG2974" s="17"/>
      <c r="DMH2974" s="17"/>
      <c r="DMI2974" s="17"/>
      <c r="DMJ2974" s="17"/>
      <c r="DMK2974" s="17"/>
      <c r="DML2974" s="17"/>
      <c r="DMM2974" s="17"/>
      <c r="DMN2974" s="17"/>
      <c r="DMO2974" s="17"/>
      <c r="DMP2974" s="17"/>
      <c r="DMQ2974" s="17"/>
    </row>
    <row r="2975" spans="3044:3059">
      <c r="DMB2975" s="17"/>
      <c r="DMC2975" s="17"/>
      <c r="DMD2975" s="17"/>
      <c r="DME2975" s="17"/>
      <c r="DMF2975" s="17"/>
      <c r="DMG2975" s="17"/>
      <c r="DMH2975" s="17"/>
      <c r="DMI2975" s="17"/>
      <c r="DMJ2975" s="17"/>
      <c r="DMK2975" s="17"/>
      <c r="DML2975" s="17"/>
      <c r="DMM2975" s="17"/>
      <c r="DMN2975" s="17"/>
      <c r="DMO2975" s="17"/>
      <c r="DMP2975" s="17"/>
      <c r="DMQ2975" s="17"/>
    </row>
    <row r="2976" spans="3044:3059">
      <c r="DMB2976" s="17"/>
      <c r="DMC2976" s="17"/>
      <c r="DMD2976" s="17"/>
      <c r="DME2976" s="17"/>
      <c r="DMF2976" s="17"/>
      <c r="DMG2976" s="17"/>
      <c r="DMH2976" s="17"/>
      <c r="DMI2976" s="17"/>
      <c r="DMJ2976" s="17"/>
      <c r="DMK2976" s="17"/>
      <c r="DML2976" s="17"/>
      <c r="DMM2976" s="17"/>
      <c r="DMN2976" s="17"/>
      <c r="DMO2976" s="17"/>
      <c r="DMP2976" s="17"/>
      <c r="DMQ2976" s="17"/>
    </row>
    <row r="2977" spans="3044:3059">
      <c r="DMB2977" s="17"/>
      <c r="DMC2977" s="17"/>
      <c r="DMD2977" s="17"/>
      <c r="DME2977" s="17"/>
      <c r="DMF2977" s="17"/>
      <c r="DMG2977" s="17"/>
      <c r="DMH2977" s="17"/>
      <c r="DMI2977" s="17"/>
      <c r="DMJ2977" s="17"/>
      <c r="DMK2977" s="17"/>
      <c r="DML2977" s="17"/>
      <c r="DMM2977" s="17"/>
      <c r="DMN2977" s="17"/>
      <c r="DMO2977" s="17"/>
      <c r="DMP2977" s="17"/>
      <c r="DMQ2977" s="17"/>
    </row>
    <row r="2978" spans="3044:3059">
      <c r="DMB2978" s="17"/>
      <c r="DMC2978" s="17"/>
      <c r="DMD2978" s="17"/>
      <c r="DME2978" s="17"/>
      <c r="DMF2978" s="17"/>
      <c r="DMG2978" s="17"/>
      <c r="DMH2978" s="17"/>
      <c r="DMI2978" s="17"/>
      <c r="DMJ2978" s="17"/>
      <c r="DMK2978" s="17"/>
      <c r="DML2978" s="17"/>
      <c r="DMM2978" s="17"/>
      <c r="DMN2978" s="17"/>
      <c r="DMO2978" s="17"/>
      <c r="DMP2978" s="17"/>
      <c r="DMQ2978" s="17"/>
    </row>
    <row r="2979" spans="3044:3059">
      <c r="DMB2979" s="17"/>
      <c r="DMC2979" s="17"/>
      <c r="DMD2979" s="17"/>
      <c r="DME2979" s="17"/>
      <c r="DMF2979" s="17"/>
      <c r="DMG2979" s="17"/>
      <c r="DMH2979" s="17"/>
      <c r="DMI2979" s="17"/>
      <c r="DMJ2979" s="17"/>
      <c r="DMK2979" s="17"/>
      <c r="DML2979" s="17"/>
      <c r="DMM2979" s="17"/>
      <c r="DMN2979" s="17"/>
      <c r="DMO2979" s="17"/>
      <c r="DMP2979" s="17"/>
      <c r="DMQ2979" s="17"/>
    </row>
    <row r="2980" spans="3044:3059">
      <c r="DMB2980" s="17"/>
      <c r="DMC2980" s="17"/>
      <c r="DMD2980" s="17"/>
      <c r="DME2980" s="17"/>
      <c r="DMF2980" s="17"/>
      <c r="DMG2980" s="17"/>
      <c r="DMH2980" s="17"/>
      <c r="DMI2980" s="17"/>
      <c r="DMJ2980" s="17"/>
      <c r="DMK2980" s="17"/>
      <c r="DML2980" s="17"/>
      <c r="DMM2980" s="17"/>
      <c r="DMN2980" s="17"/>
      <c r="DMO2980" s="17"/>
      <c r="DMP2980" s="17"/>
      <c r="DMQ2980" s="17"/>
    </row>
    <row r="2981" spans="3044:3059">
      <c r="DMB2981" s="17"/>
      <c r="DMC2981" s="17"/>
      <c r="DMD2981" s="17"/>
      <c r="DME2981" s="17"/>
      <c r="DMF2981" s="17"/>
      <c r="DMG2981" s="17"/>
      <c r="DMH2981" s="17"/>
      <c r="DMI2981" s="17"/>
      <c r="DMJ2981" s="17"/>
      <c r="DMK2981" s="17"/>
      <c r="DML2981" s="17"/>
      <c r="DMM2981" s="17"/>
      <c r="DMN2981" s="17"/>
      <c r="DMO2981" s="17"/>
      <c r="DMP2981" s="17"/>
      <c r="DMQ2981" s="17"/>
    </row>
    <row r="2982" spans="3044:3059">
      <c r="DMB2982" s="17"/>
      <c r="DMC2982" s="17"/>
      <c r="DMD2982" s="17"/>
      <c r="DME2982" s="17"/>
      <c r="DMF2982" s="17"/>
      <c r="DMG2982" s="17"/>
      <c r="DMH2982" s="17"/>
      <c r="DMI2982" s="17"/>
      <c r="DMJ2982" s="17"/>
      <c r="DMK2982" s="17"/>
      <c r="DML2982" s="17"/>
      <c r="DMM2982" s="17"/>
      <c r="DMN2982" s="17"/>
      <c r="DMO2982" s="17"/>
      <c r="DMP2982" s="17"/>
      <c r="DMQ2982" s="17"/>
    </row>
    <row r="2983" spans="3044:3059">
      <c r="DMB2983" s="17"/>
      <c r="DMC2983" s="17"/>
      <c r="DMD2983" s="17"/>
      <c r="DME2983" s="17"/>
      <c r="DMF2983" s="17"/>
      <c r="DMG2983" s="17"/>
      <c r="DMH2983" s="17"/>
      <c r="DMI2983" s="17"/>
      <c r="DMJ2983" s="17"/>
      <c r="DMK2983" s="17"/>
      <c r="DML2983" s="17"/>
      <c r="DMM2983" s="17"/>
      <c r="DMN2983" s="17"/>
      <c r="DMO2983" s="17"/>
      <c r="DMP2983" s="17"/>
      <c r="DMQ2983" s="17"/>
    </row>
    <row r="2984" spans="3044:3059">
      <c r="DMB2984" s="17"/>
      <c r="DMC2984" s="17"/>
      <c r="DMD2984" s="17"/>
      <c r="DME2984" s="17"/>
      <c r="DMF2984" s="17"/>
      <c r="DMG2984" s="17"/>
      <c r="DMH2984" s="17"/>
      <c r="DMI2984" s="17"/>
      <c r="DMJ2984" s="17"/>
      <c r="DMK2984" s="17"/>
      <c r="DML2984" s="17"/>
      <c r="DMM2984" s="17"/>
      <c r="DMN2984" s="17"/>
      <c r="DMO2984" s="17"/>
      <c r="DMP2984" s="17"/>
      <c r="DMQ2984" s="17"/>
    </row>
    <row r="2985" spans="3044:3059">
      <c r="DMB2985" s="17"/>
      <c r="DMC2985" s="17"/>
      <c r="DMD2985" s="17"/>
      <c r="DME2985" s="17"/>
      <c r="DMF2985" s="17"/>
      <c r="DMG2985" s="17"/>
      <c r="DMH2985" s="17"/>
      <c r="DMI2985" s="17"/>
      <c r="DMJ2985" s="17"/>
      <c r="DMK2985" s="17"/>
      <c r="DML2985" s="17"/>
      <c r="DMM2985" s="17"/>
      <c r="DMN2985" s="17"/>
      <c r="DMO2985" s="17"/>
      <c r="DMP2985" s="17"/>
      <c r="DMQ2985" s="17"/>
    </row>
    <row r="2986" spans="3044:3059">
      <c r="DMB2986" s="17"/>
      <c r="DMC2986" s="17"/>
      <c r="DMD2986" s="17"/>
      <c r="DME2986" s="17"/>
      <c r="DMF2986" s="17"/>
      <c r="DMG2986" s="17"/>
      <c r="DMH2986" s="17"/>
      <c r="DMI2986" s="17"/>
      <c r="DMJ2986" s="17"/>
      <c r="DMK2986" s="17"/>
      <c r="DML2986" s="17"/>
      <c r="DMM2986" s="17"/>
      <c r="DMN2986" s="17"/>
      <c r="DMO2986" s="17"/>
      <c r="DMP2986" s="17"/>
      <c r="DMQ2986" s="17"/>
    </row>
    <row r="2987" spans="3044:3059">
      <c r="DMB2987" s="17"/>
      <c r="DMC2987" s="17"/>
      <c r="DMD2987" s="17"/>
      <c r="DME2987" s="17"/>
      <c r="DMF2987" s="17"/>
      <c r="DMG2987" s="17"/>
      <c r="DMH2987" s="17"/>
      <c r="DMI2987" s="17"/>
      <c r="DMJ2987" s="17"/>
      <c r="DMK2987" s="17"/>
      <c r="DML2987" s="17"/>
      <c r="DMM2987" s="17"/>
      <c r="DMN2987" s="17"/>
      <c r="DMO2987" s="17"/>
      <c r="DMP2987" s="17"/>
      <c r="DMQ2987" s="17"/>
    </row>
    <row r="2988" spans="3044:3059">
      <c r="DMB2988" s="17"/>
      <c r="DMC2988" s="17"/>
      <c r="DMD2988" s="17"/>
      <c r="DME2988" s="17"/>
      <c r="DMF2988" s="17"/>
      <c r="DMG2988" s="17"/>
      <c r="DMH2988" s="17"/>
      <c r="DMI2988" s="17"/>
      <c r="DMJ2988" s="17"/>
      <c r="DMK2988" s="17"/>
      <c r="DML2988" s="17"/>
      <c r="DMM2988" s="17"/>
      <c r="DMN2988" s="17"/>
      <c r="DMO2988" s="17"/>
      <c r="DMP2988" s="17"/>
      <c r="DMQ2988" s="17"/>
    </row>
    <row r="2989" spans="3044:3059">
      <c r="DMB2989" s="17"/>
      <c r="DMC2989" s="17"/>
      <c r="DMD2989" s="17"/>
      <c r="DME2989" s="17"/>
      <c r="DMF2989" s="17"/>
      <c r="DMG2989" s="17"/>
      <c r="DMH2989" s="17"/>
      <c r="DMI2989" s="17"/>
      <c r="DMJ2989" s="17"/>
      <c r="DMK2989" s="17"/>
      <c r="DML2989" s="17"/>
      <c r="DMM2989" s="17"/>
      <c r="DMN2989" s="17"/>
      <c r="DMO2989" s="17"/>
      <c r="DMP2989" s="17"/>
      <c r="DMQ2989" s="17"/>
    </row>
    <row r="2990" spans="3044:3059">
      <c r="DMB2990" s="17"/>
      <c r="DMC2990" s="17"/>
      <c r="DMD2990" s="17"/>
      <c r="DME2990" s="17"/>
      <c r="DMF2990" s="17"/>
      <c r="DMG2990" s="17"/>
      <c r="DMH2990" s="17"/>
      <c r="DMI2990" s="17"/>
      <c r="DMJ2990" s="17"/>
      <c r="DMK2990" s="17"/>
      <c r="DML2990" s="17"/>
      <c r="DMM2990" s="17"/>
      <c r="DMN2990" s="17"/>
      <c r="DMO2990" s="17"/>
      <c r="DMP2990" s="17"/>
      <c r="DMQ2990" s="17"/>
    </row>
    <row r="2991" spans="3044:3059">
      <c r="DMB2991" s="17"/>
      <c r="DMC2991" s="17"/>
      <c r="DMD2991" s="17"/>
      <c r="DME2991" s="17"/>
      <c r="DMF2991" s="17"/>
      <c r="DMG2991" s="17"/>
      <c r="DMH2991" s="17"/>
      <c r="DMI2991" s="17"/>
      <c r="DMJ2991" s="17"/>
      <c r="DMK2991" s="17"/>
      <c r="DML2991" s="17"/>
      <c r="DMM2991" s="17"/>
      <c r="DMN2991" s="17"/>
      <c r="DMO2991" s="17"/>
      <c r="DMP2991" s="17"/>
      <c r="DMQ2991" s="17"/>
    </row>
    <row r="2992" spans="3044:3059">
      <c r="DMB2992" s="17"/>
      <c r="DMC2992" s="17"/>
      <c r="DMD2992" s="17"/>
      <c r="DME2992" s="17"/>
      <c r="DMF2992" s="17"/>
      <c r="DMG2992" s="17"/>
      <c r="DMH2992" s="17"/>
      <c r="DMI2992" s="17"/>
      <c r="DMJ2992" s="17"/>
      <c r="DMK2992" s="17"/>
      <c r="DML2992" s="17"/>
      <c r="DMM2992" s="17"/>
      <c r="DMN2992" s="17"/>
      <c r="DMO2992" s="17"/>
      <c r="DMP2992" s="17"/>
      <c r="DMQ2992" s="17"/>
    </row>
    <row r="2993" spans="3044:3059">
      <c r="DMB2993" s="17"/>
      <c r="DMC2993" s="17"/>
      <c r="DMD2993" s="17"/>
      <c r="DME2993" s="17"/>
      <c r="DMF2993" s="17"/>
      <c r="DMG2993" s="17"/>
      <c r="DMH2993" s="17"/>
      <c r="DMI2993" s="17"/>
      <c r="DMJ2993" s="17"/>
      <c r="DMK2993" s="17"/>
      <c r="DML2993" s="17"/>
      <c r="DMM2993" s="17"/>
      <c r="DMN2993" s="17"/>
      <c r="DMO2993" s="17"/>
      <c r="DMP2993" s="17"/>
      <c r="DMQ2993" s="17"/>
    </row>
    <row r="2994" spans="3044:3059">
      <c r="DMB2994" s="17"/>
      <c r="DMC2994" s="17"/>
      <c r="DMD2994" s="17"/>
      <c r="DME2994" s="17"/>
      <c r="DMF2994" s="17"/>
      <c r="DMG2994" s="17"/>
      <c r="DMH2994" s="17"/>
      <c r="DMI2994" s="17"/>
      <c r="DMJ2994" s="17"/>
      <c r="DMK2994" s="17"/>
      <c r="DML2994" s="17"/>
      <c r="DMM2994" s="17"/>
      <c r="DMN2994" s="17"/>
      <c r="DMO2994" s="17"/>
      <c r="DMP2994" s="17"/>
      <c r="DMQ2994" s="17"/>
    </row>
    <row r="2995" spans="3044:3059">
      <c r="DMB2995" s="17"/>
      <c r="DMC2995" s="17"/>
      <c r="DMD2995" s="17"/>
      <c r="DME2995" s="17"/>
      <c r="DMF2995" s="17"/>
      <c r="DMG2995" s="17"/>
      <c r="DMH2995" s="17"/>
      <c r="DMI2995" s="17"/>
      <c r="DMJ2995" s="17"/>
      <c r="DMK2995" s="17"/>
      <c r="DML2995" s="17"/>
      <c r="DMM2995" s="17"/>
      <c r="DMN2995" s="17"/>
      <c r="DMO2995" s="17"/>
      <c r="DMP2995" s="17"/>
      <c r="DMQ2995" s="17"/>
    </row>
    <row r="2996" spans="3044:3059">
      <c r="DMB2996" s="17"/>
      <c r="DMC2996" s="17"/>
      <c r="DMD2996" s="17"/>
      <c r="DME2996" s="17"/>
      <c r="DMF2996" s="17"/>
      <c r="DMG2996" s="17"/>
      <c r="DMH2996" s="17"/>
      <c r="DMI2996" s="17"/>
      <c r="DMJ2996" s="17"/>
      <c r="DMK2996" s="17"/>
      <c r="DML2996" s="17"/>
      <c r="DMM2996" s="17"/>
      <c r="DMN2996" s="17"/>
      <c r="DMO2996" s="17"/>
      <c r="DMP2996" s="17"/>
      <c r="DMQ2996" s="17"/>
    </row>
    <row r="2997" spans="3044:3059">
      <c r="DMB2997" s="17"/>
      <c r="DMC2997" s="17"/>
      <c r="DMD2997" s="17"/>
      <c r="DME2997" s="17"/>
      <c r="DMF2997" s="17"/>
      <c r="DMG2997" s="17"/>
      <c r="DMH2997" s="17"/>
      <c r="DMI2997" s="17"/>
      <c r="DMJ2997" s="17"/>
      <c r="DMK2997" s="17"/>
      <c r="DML2997" s="17"/>
      <c r="DMM2997" s="17"/>
      <c r="DMN2997" s="17"/>
      <c r="DMO2997" s="17"/>
      <c r="DMP2997" s="17"/>
      <c r="DMQ2997" s="17"/>
    </row>
    <row r="2998" spans="3044:3059">
      <c r="DMB2998" s="17"/>
      <c r="DMC2998" s="17"/>
      <c r="DMD2998" s="17"/>
      <c r="DME2998" s="17"/>
      <c r="DMF2998" s="17"/>
      <c r="DMG2998" s="17"/>
      <c r="DMH2998" s="17"/>
      <c r="DMI2998" s="17"/>
      <c r="DMJ2998" s="17"/>
      <c r="DMK2998" s="17"/>
      <c r="DML2998" s="17"/>
      <c r="DMM2998" s="17"/>
      <c r="DMN2998" s="17"/>
      <c r="DMO2998" s="17"/>
      <c r="DMP2998" s="17"/>
      <c r="DMQ2998" s="17"/>
    </row>
    <row r="2999" spans="3044:3059">
      <c r="DMB2999" s="17"/>
      <c r="DMC2999" s="17"/>
      <c r="DMD2999" s="17"/>
      <c r="DME2999" s="17"/>
      <c r="DMF2999" s="17"/>
      <c r="DMG2999" s="17"/>
      <c r="DMH2999" s="17"/>
      <c r="DMI2999" s="17"/>
      <c r="DMJ2999" s="17"/>
      <c r="DMK2999" s="17"/>
      <c r="DML2999" s="17"/>
      <c r="DMM2999" s="17"/>
      <c r="DMN2999" s="17"/>
      <c r="DMO2999" s="17"/>
      <c r="DMP2999" s="17"/>
      <c r="DMQ2999" s="17"/>
    </row>
    <row r="3000" spans="3044:3059">
      <c r="DMB3000" s="17"/>
      <c r="DMC3000" s="17"/>
      <c r="DMD3000" s="17"/>
      <c r="DME3000" s="17"/>
      <c r="DMF3000" s="17"/>
      <c r="DMG3000" s="17"/>
      <c r="DMH3000" s="17"/>
      <c r="DMI3000" s="17"/>
      <c r="DMJ3000" s="17"/>
      <c r="DMK3000" s="17"/>
      <c r="DML3000" s="17"/>
      <c r="DMM3000" s="17"/>
      <c r="DMN3000" s="17"/>
      <c r="DMO3000" s="17"/>
      <c r="DMP3000" s="17"/>
      <c r="DMQ3000"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2006-09-16T00:00:00Z</dcterms:created>
  <dcterms:modified xsi:type="dcterms:W3CDTF">2020-06-19T11:08:37Z</dcterms:modified>
</cp:coreProperties>
</file>