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614" codeName="{BFB45374-4EC8-2080-32AF-602F8B743B42}"/>
  <workbookPr codeName="ThisWorkbook"/>
  <mc:AlternateContent xmlns:mc="http://schemas.openxmlformats.org/markup-compatibility/2006">
    <mc:Choice Requires="x15">
      <x15ac:absPath xmlns:x15ac="http://schemas.microsoft.com/office/spreadsheetml/2010/11/ac" url="/Users/raunavsharma/Downloads/"/>
    </mc:Choice>
  </mc:AlternateContent>
  <xr:revisionPtr revIDLastSave="0" documentId="13_ncr:1_{0B5127B1-DBA5-0849-A506-A9ED551D55B8}" xr6:coauthVersionLast="45" xr6:coauthVersionMax="45" xr10:uidLastSave="{00000000-0000-0000-0000-000000000000}"/>
  <bookViews>
    <workbookView xWindow="0" yWindow="460" windowWidth="28800" windowHeight="16220" activeTab="4" xr2:uid="{00000000-000D-0000-FFFF-FFFF00000000}"/>
  </bookViews>
  <sheets>
    <sheet name="Documentation" sheetId="3" state="veryHidden" r:id="rId1"/>
    <sheet name="Model and simulation" sheetId="7" state="veryHidden" r:id="rId2"/>
    <sheet name="Simulation results" sheetId="11" state="veryHidden" r:id="rId3"/>
    <sheet name="Question options" sheetId="12" state="veryHidden" r:id="rId4"/>
    <sheet name="." sheetId="4" r:id="rId5"/>
    <sheet name="Times" sheetId="5" state="veryHidden" r:id="rId6"/>
    <sheet name="IDSheet" sheetId="6" state="veryHidden" r:id="rId7"/>
  </sheets>
  <definedNames>
    <definedName name="_xlchart.v1.0" hidden="1">'Model and simulation'!$O$8:$O$1007</definedName>
    <definedName name="_xlchart.v1.1" hidden="1">'Model and simulation'!$P$8:$P$1007</definedName>
    <definedName name="_xlchart.v1.2" hidden="1">'Model and simulation'!$Q$8:$Q$1007</definedName>
    <definedName name="_xlchart.v1.3" hidden="1">'Model and simulation'!$R$8:$R$1007</definedName>
    <definedName name="_xlchart.v1.4" hidden="1">'Model and simulation'!$S$8:$S$1007</definedName>
    <definedName name="_xlchart.v1.5" hidden="1">'Model and simulation'!$T$8:$T$1007</definedName>
    <definedName name="Pal_Workbook_GUID" localSheetId="0" hidden="1">"E5IUZ7NZ784FJ4SENL2C18BW"</definedName>
    <definedName name="Pal_Workbook_GUID" hidden="1">"6W8JMCC48CP5HS1HQLZ2ID3I"</definedName>
    <definedName name="RiskMultipleCPUSupportEnabled" hidden="1">TRUE</definedName>
    <definedName name="TopRankDefaultDistForRange" hidden="1">0</definedName>
    <definedName name="TopRankDefaultMaxChange" hidden="1">0.1</definedName>
    <definedName name="TopRankDefaultMinChange" hidden="1">-0.1</definedName>
    <definedName name="TopRankDefaultMultiGroupSize" hidden="1">2</definedName>
    <definedName name="TopRankDefaultMultiStepsPerInput" hidden="1">2</definedName>
    <definedName name="TopRankDefaultRangeType" hidden="1">0</definedName>
    <definedName name="TopRankDefaultStepsPerInput" hidden="1">5</definedName>
    <definedName name="TopRankDetailByInputReport" hidden="1">FALSE</definedName>
    <definedName name="TopRankMaxInputsPerGraph" hidden="1">20</definedName>
    <definedName name="TopRankMultiWayReport" hidden="1">FALSE</definedName>
    <definedName name="TopRankNumberOfRuns" hidden="1">1</definedName>
    <definedName name="TopRankOnlyInputsOverThreshold" hidden="1">FALSE</definedName>
    <definedName name="TopRankOnlyTopRanking" hidden="1">FALSE</definedName>
    <definedName name="TopRankOutputDetailReport" hidden="1">FALSE</definedName>
    <definedName name="TopRankOutputsAsPercentChange" hidden="1">FALSE</definedName>
    <definedName name="TopRankOverwriteExisting" hidden="1">FALSE</definedName>
    <definedName name="TopRankPauseOnError" hidden="1">FALSE</definedName>
    <definedName name="TopRankPerformPrecedentScanAddOutput" hidden="1">FALSE</definedName>
    <definedName name="TopRankPerformPrecedentScanAtStart" hidden="1">FALSE</definedName>
    <definedName name="TopRankPrecedentScanType" hidden="1">1</definedName>
    <definedName name="TopRankReportAllOutputCells" hidden="1">TRUE</definedName>
    <definedName name="TopRankReportsInExistingWorkbook" hidden="1">TRUE</definedName>
    <definedName name="TopRankReportsInExistingWorkbookName" hidden="1">"Active Workbook"</definedName>
    <definedName name="TopRankReportsInNewWorkbook" hidden="1">FALSE</definedName>
    <definedName name="TopRankSensitivityGraphs" hidden="1">FALSE</definedName>
    <definedName name="TopRankSingleWorkbookAllResults" hidden="1">TRUE</definedName>
    <definedName name="TopRankSpiderGraphs" hidden="1">FALSE</definedName>
    <definedName name="TopRankTornadoGraphs" hidden="1">TRUE</definedName>
    <definedName name="TopRankUpdateDisplay" hidden="1">FALSE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11" l="1"/>
  <c r="B4" i="11"/>
  <c r="B9" i="11" l="1"/>
  <c r="B10" i="11"/>
  <c r="B11" i="11"/>
  <c r="B12" i="11"/>
  <c r="B8" i="11"/>
  <c r="B2" i="11"/>
  <c r="H5" i="7"/>
  <c r="H6" i="7"/>
  <c r="H7" i="7"/>
  <c r="H8" i="7"/>
  <c r="H9" i="7"/>
  <c r="H10" i="7"/>
  <c r="H11" i="7"/>
  <c r="H12" i="7"/>
  <c r="H13" i="7"/>
  <c r="H14" i="7"/>
  <c r="H15" i="7"/>
  <c r="H16" i="7"/>
  <c r="H17" i="7"/>
  <c r="H18" i="7"/>
  <c r="H19" i="7"/>
  <c r="H20" i="7"/>
  <c r="H21" i="7"/>
  <c r="H22" i="7"/>
  <c r="H23" i="7"/>
  <c r="H24" i="7"/>
  <c r="H25" i="7"/>
  <c r="H26" i="7"/>
  <c r="H27" i="7"/>
  <c r="H28" i="7"/>
  <c r="H29" i="7"/>
  <c r="H30" i="7"/>
  <c r="H31" i="7"/>
  <c r="H4" i="7"/>
  <c r="G5" i="7"/>
  <c r="G6" i="7"/>
  <c r="G7" i="7"/>
  <c r="G8" i="7"/>
  <c r="G9" i="7"/>
  <c r="G10" i="7"/>
  <c r="G11" i="7"/>
  <c r="G12" i="7"/>
  <c r="G13" i="7"/>
  <c r="G14" i="7"/>
  <c r="G15" i="7"/>
  <c r="G16" i="7"/>
  <c r="G17" i="7"/>
  <c r="G18" i="7"/>
  <c r="G19" i="7"/>
  <c r="G20" i="7"/>
  <c r="G21" i="7"/>
  <c r="G22" i="7"/>
  <c r="G23" i="7"/>
  <c r="G24" i="7"/>
  <c r="G25" i="7"/>
  <c r="G26" i="7"/>
  <c r="G27" i="7"/>
  <c r="G28" i="7"/>
  <c r="G29" i="7"/>
  <c r="G30" i="7"/>
  <c r="G31" i="7"/>
  <c r="G4" i="7"/>
  <c r="F5" i="7"/>
  <c r="F6" i="7"/>
  <c r="F7" i="7"/>
  <c r="F8" i="7"/>
  <c r="F9" i="7"/>
  <c r="F10" i="7"/>
  <c r="F11" i="7"/>
  <c r="F12" i="7"/>
  <c r="F13" i="7"/>
  <c r="F14" i="7"/>
  <c r="F15" i="7"/>
  <c r="F16" i="7"/>
  <c r="F17" i="7"/>
  <c r="F18" i="7"/>
  <c r="F19" i="7"/>
  <c r="F20" i="7"/>
  <c r="F21" i="7"/>
  <c r="F22" i="7"/>
  <c r="F23" i="7"/>
  <c r="F24" i="7"/>
  <c r="F25" i="7"/>
  <c r="F26" i="7"/>
  <c r="F27" i="7"/>
  <c r="F28" i="7"/>
  <c r="F29" i="7"/>
  <c r="F30" i="7"/>
  <c r="F31" i="7"/>
  <c r="F4" i="7"/>
  <c r="E5" i="7"/>
  <c r="E6" i="7"/>
  <c r="E7" i="7"/>
  <c r="E8" i="7"/>
  <c r="E9" i="7"/>
  <c r="E10" i="7"/>
  <c r="E11" i="7"/>
  <c r="E12" i="7"/>
  <c r="E13" i="7"/>
  <c r="E14" i="7"/>
  <c r="E15" i="7"/>
  <c r="E16" i="7"/>
  <c r="E17" i="7"/>
  <c r="E18" i="7"/>
  <c r="E19" i="7"/>
  <c r="E20" i="7"/>
  <c r="E21" i="7"/>
  <c r="E22" i="7"/>
  <c r="E23" i="7"/>
  <c r="E24" i="7"/>
  <c r="E25" i="7"/>
  <c r="E26" i="7"/>
  <c r="E27" i="7"/>
  <c r="E28" i="7"/>
  <c r="E29" i="7"/>
  <c r="E30" i="7"/>
  <c r="E31" i="7"/>
  <c r="E4" i="7"/>
  <c r="J4" i="7"/>
  <c r="C6" i="3"/>
  <c r="J7" i="7" l="1"/>
  <c r="N7" i="7" s="1"/>
  <c r="K15" i="7"/>
  <c r="T7" i="7" s="1"/>
  <c r="K14" i="7"/>
  <c r="S7" i="7" s="1"/>
  <c r="K13" i="7"/>
  <c r="R7" i="7" s="1"/>
  <c r="K12" i="7"/>
  <c r="Q7" i="7" s="1"/>
  <c r="K11" i="7"/>
  <c r="P7" i="7" s="1"/>
  <c r="K10" i="7"/>
  <c r="O7" i="7" s="1"/>
  <c r="M6" i="7" l="1"/>
</calcChain>
</file>

<file path=xl/sharedStrings.xml><?xml version="1.0" encoding="utf-8"?>
<sst xmlns="http://schemas.openxmlformats.org/spreadsheetml/2006/main" count="144" uniqueCount="99">
  <si>
    <t>Item</t>
  </si>
  <si>
    <t>Min</t>
  </si>
  <si>
    <t>Max</t>
  </si>
  <si>
    <t>Construction Plans &amp; Specs</t>
  </si>
  <si>
    <t>Building Permit</t>
  </si>
  <si>
    <t>Utilities</t>
  </si>
  <si>
    <t>Utility Connection Fees</t>
  </si>
  <si>
    <t>Building Concrete</t>
  </si>
  <si>
    <t>Outside Concrete</t>
  </si>
  <si>
    <t>Rough Carpentry</t>
  </si>
  <si>
    <t>Cabinets</t>
  </si>
  <si>
    <t>Finish Carpentry</t>
  </si>
  <si>
    <t>Interior Doors</t>
  </si>
  <si>
    <t>Exterior Doors</t>
  </si>
  <si>
    <t>Insulation</t>
  </si>
  <si>
    <t>Exterior Siding</t>
  </si>
  <si>
    <t>Roofing</t>
  </si>
  <si>
    <t>Hardware</t>
  </si>
  <si>
    <t>Windows</t>
  </si>
  <si>
    <t>Drywall</t>
  </si>
  <si>
    <t>Painting</t>
  </si>
  <si>
    <t>Floor Covering</t>
  </si>
  <si>
    <t>Plumbing</t>
  </si>
  <si>
    <t>Bath Acces. &amp; Mirrors</t>
  </si>
  <si>
    <t>Appliances</t>
  </si>
  <si>
    <t>HVAC System</t>
  </si>
  <si>
    <t>Electrical</t>
  </si>
  <si>
    <t>Light Fixtures</t>
  </si>
  <si>
    <t>Fire Protection</t>
  </si>
  <si>
    <t>Final Cleanup</t>
  </si>
  <si>
    <t>Most likely (i.e., mode)</t>
  </si>
  <si>
    <t>BETA.INV</t>
  </si>
  <si>
    <t>PERT mean</t>
  </si>
  <si>
    <t>PERT alpha</t>
  </si>
  <si>
    <t>PERT beta</t>
  </si>
  <si>
    <t>Data table corner cell</t>
  </si>
  <si>
    <t>There is a</t>
  </si>
  <si>
    <t>"Base-case" total (sum of most likely figures)</t>
  </si>
  <si>
    <t>probability that total cost will exceed our budget of</t>
  </si>
  <si>
    <t>probability that total cost will exceed the "base-case" total of</t>
  </si>
  <si>
    <t>Probabilistic total cost</t>
  </si>
  <si>
    <t>Simulation</t>
  </si>
  <si>
    <t>K303 - Project 5</t>
  </si>
  <si>
    <t>Username:</t>
  </si>
  <si>
    <t>Class Number:</t>
  </si>
  <si>
    <t>Prepared by:</t>
  </si>
  <si>
    <t>Lab Instructor's Name:</t>
  </si>
  <si>
    <t>Today is:</t>
  </si>
  <si>
    <t>Please Enable Macros</t>
  </si>
  <si>
    <t>Username</t>
  </si>
  <si>
    <t>Class #</t>
  </si>
  <si>
    <t>Semester</t>
  </si>
  <si>
    <t>GP #</t>
  </si>
  <si>
    <t>Started</t>
  </si>
  <si>
    <t>Stopped</t>
  </si>
  <si>
    <t>Pts Earned</t>
  </si>
  <si>
    <t>Excel Version</t>
  </si>
  <si>
    <t>Documenation Username</t>
  </si>
  <si>
    <t>OS Version</t>
  </si>
  <si>
    <t>File Size On Open</t>
  </si>
  <si>
    <t>File Size On Close</t>
  </si>
  <si>
    <t>Filepath On Open</t>
  </si>
  <si>
    <t>Filepath On Close</t>
  </si>
  <si>
    <t>Classname</t>
  </si>
  <si>
    <t># of Attempts</t>
  </si>
  <si>
    <t>Cost model</t>
  </si>
  <si>
    <t>x</t>
  </si>
  <si>
    <t>Probabilistic total (sum of all BETA.INV functions)</t>
  </si>
  <si>
    <t>Excavation</t>
  </si>
  <si>
    <t>Site work</t>
  </si>
  <si>
    <t>Foundations</t>
  </si>
  <si>
    <t>Framing</t>
  </si>
  <si>
    <t>Exterior finishes</t>
  </si>
  <si>
    <t>Major systems</t>
  </si>
  <si>
    <t>Interior finishes</t>
  </si>
  <si>
    <t>Work package</t>
  </si>
  <si>
    <t>Probabilistic total</t>
  </si>
  <si>
    <t>Mean of total cost</t>
  </si>
  <si>
    <t>Percentiles (total cost)</t>
  </si>
  <si>
    <t>Analysis questions</t>
  </si>
  <si>
    <t>Which work package is fairly costly and also (in raw dollar terms) shows a lot of variability?</t>
  </si>
  <si>
    <t>(2) "We can afford to be wrong in our planning sometimes, but we can't be wrong all of the time" is an observation that captures one reason to use Monte Carlo simulation.</t>
  </si>
  <si>
    <t>Choose from the options below.</t>
  </si>
  <si>
    <t>(1) Create a box-whisker plot showing the simulation results for the six work packages (ignore the column for total cost). Place the graph in the shaded area to the right.</t>
  </si>
  <si>
    <t>(You would want to know this because, as the project progresses, it would be a good idea to monitor more closely work packages that meet this description.)</t>
  </si>
  <si>
    <t>Press F9 a few times and watch the box-whisker plot update before you choose an answer.</t>
  </si>
  <si>
    <t>But--it would be wasteful to try to budget for the absolute maximum cost. The project will almost certainly not cost that much, and there are other opportunities that we could use that money to invest in.</t>
  </si>
  <si>
    <t>So--say we can tolerate a 20% chance of running out of funds. How much in addition to the $99,000 do we need, to be 80% confident that we can successfully fund this project?</t>
  </si>
  <si>
    <t>Problem 1</t>
  </si>
  <si>
    <t>We have budgeted $99,000. You should already have found that there is a good chance that the total cost will be more than this, that we will exhaust the $99,000.</t>
  </si>
  <si>
    <t>Do whatever preliminary calculations are necessary wherever you like, and then enter the final calculation in the shaded cell. (In project risk management, this would commonly be called the "contingency required for 80% confidence.")</t>
  </si>
  <si>
    <t>Spring 2020</t>
  </si>
  <si>
    <t>5a</t>
  </si>
  <si>
    <t>RASHAR</t>
  </si>
  <si>
    <t>P5b</t>
  </si>
  <si>
    <t>Macintosh (Intel) Version 10.15.4 (Build 19E287)</t>
  </si>
  <si>
    <t>/Users/raunavsharma/Downloads\K303_SU20_Project5_Problem1.xlsm</t>
  </si>
  <si>
    <t>Raunav Sharma</t>
  </si>
  <si>
    <t>Taryn Malher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</si>
</sst>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44" formatCode="_(&quot;$&quot;* #,##0.00_);_(&quot;$&quot;* \(#,##0.00\);_(&quot;$&quot;* &quot;-&quot;??_);_(@_)"/>
    <numFmt numFmtId="43" formatCode="_(* #,##0.00_);_(* \(#,##0.00\);_(* &quot;-&quot;??_);_(@_)"/>
    <numFmt numFmtId="164" formatCode="_(* #,##0_);_(* \(#,##0\);_(* &quot;-&quot;??_);_(@_)"/>
  </numFmts>
  <fonts count="22">
    <font>
      <sz val="11"/>
      <color theme="1"/>
      <name val="Calibri"/>
      <family val="2"/>
      <scheme val="minor"/>
    </font>
    <font>
      <sz val="11"/>
      <color theme="1"/>
      <name val="Calibri"/>
      <family val="2"/>
      <scheme val="minor"/>
    </font>
    <font>
      <b/>
      <sz val="11"/>
      <color theme="1"/>
      <name val="Calibri"/>
      <family val="2"/>
      <scheme val="minor"/>
    </font>
    <font>
      <sz val="11"/>
      <name val="Calibri"/>
      <family val="2"/>
    </font>
    <font>
      <sz val="11"/>
      <name val="Calibri"/>
      <family val="2"/>
      <scheme val="minor"/>
    </font>
    <font>
      <b/>
      <sz val="11"/>
      <name val="Calibri"/>
      <family val="2"/>
    </font>
    <font>
      <sz val="11"/>
      <color theme="0"/>
      <name val="Calibri"/>
      <family val="2"/>
      <scheme val="minor"/>
    </font>
    <font>
      <b/>
      <sz val="15"/>
      <color theme="3"/>
      <name val="Calibri"/>
      <family val="2"/>
      <scheme val="minor"/>
    </font>
    <font>
      <b/>
      <sz val="14"/>
      <name val="Calibri"/>
      <family val="2"/>
      <scheme val="minor"/>
    </font>
    <font>
      <sz val="14"/>
      <color theme="1"/>
      <name val="Calibri"/>
      <family val="2"/>
      <scheme val="minor"/>
    </font>
    <font>
      <b/>
      <sz val="14"/>
      <color theme="3"/>
      <name val="Calibri"/>
      <family val="2"/>
      <scheme val="minor"/>
    </font>
    <font>
      <sz val="10"/>
      <name val="MS Sans Serif"/>
      <family val="2"/>
    </font>
    <font>
      <sz val="11"/>
      <color indexed="8"/>
      <name val="Calibri"/>
      <family val="2"/>
      <scheme val="minor"/>
    </font>
    <font>
      <sz val="11"/>
      <color rgb="FFFFFFFF"/>
      <name val="Calibri"/>
      <family val="2"/>
      <scheme val="minor"/>
    </font>
    <font>
      <sz val="11"/>
      <color rgb="FFFF0000"/>
      <name val="Calibri"/>
      <family val="2"/>
      <scheme val="minor"/>
    </font>
    <font>
      <b/>
      <sz val="12"/>
      <name val="Calibri"/>
      <family val="2"/>
      <scheme val="minor"/>
    </font>
    <font>
      <sz val="11"/>
      <color theme="9" tint="-0.249977111117893"/>
      <name val="Calibri"/>
      <family val="2"/>
      <scheme val="minor"/>
    </font>
    <font>
      <sz val="11"/>
      <color rgb="FF7030A0"/>
      <name val="Calibri"/>
      <family val="2"/>
      <scheme val="minor"/>
    </font>
    <font>
      <sz val="11"/>
      <color theme="4" tint="-0.249977111117893"/>
      <name val="Calibri"/>
      <family val="2"/>
      <scheme val="minor"/>
    </font>
    <font>
      <sz val="11"/>
      <color theme="7" tint="0.39997558519241921"/>
      <name val="Calibri"/>
      <family val="2"/>
      <scheme val="minor"/>
    </font>
    <font>
      <sz val="11"/>
      <color theme="5" tint="-0.499984740745262"/>
      <name val="Calibri"/>
      <family val="2"/>
      <scheme val="minor"/>
    </font>
    <font>
      <b/>
      <sz val="12"/>
      <color theme="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indexed="1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A5A5A5"/>
      </patternFill>
    </fill>
    <fill>
      <patternFill patternType="solid">
        <fgColor theme="8" tint="0.59999389629810485"/>
        <bgColor indexed="64"/>
      </patternFill>
    </fill>
    <fill>
      <patternFill patternType="solid">
        <fgColor theme="9" tint="0.59999389629810485"/>
        <bgColor indexed="64"/>
      </patternFill>
    </fill>
  </fills>
  <borders count="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medium">
        <color indexed="64"/>
      </bottom>
      <diagonal/>
    </border>
    <border>
      <left style="thin">
        <color indexed="64"/>
      </left>
      <right style="thin">
        <color indexed="64"/>
      </right>
      <top/>
      <bottom style="thin">
        <color indexed="64"/>
      </bottom>
      <diagonal/>
    </border>
    <border>
      <left style="double">
        <color rgb="FF3F3F3F"/>
      </left>
      <right style="double">
        <color rgb="FF3F3F3F"/>
      </right>
      <top style="double">
        <color rgb="FF3F3F3F"/>
      </top>
      <bottom style="double">
        <color rgb="FF3F3F3F"/>
      </bottom>
      <diagonal/>
    </border>
  </borders>
  <cellStyleXfs count="8">
    <xf numFmtId="0" fontId="0" fillId="0" borderId="0"/>
    <xf numFmtId="43" fontId="1" fillId="0" borderId="0" applyFont="0" applyFill="0" applyBorder="0" applyAlignment="0" applyProtection="0"/>
    <xf numFmtId="0" fontId="3" fillId="0" borderId="0"/>
    <xf numFmtId="44" fontId="3" fillId="0" borderId="0" applyFont="0" applyFill="0" applyBorder="0" applyAlignment="0" applyProtection="0"/>
    <xf numFmtId="9" fontId="1" fillId="0" borderId="0" applyFont="0" applyFill="0" applyBorder="0" applyAlignment="0" applyProtection="0"/>
    <xf numFmtId="0" fontId="7" fillId="0" borderId="3" applyNumberFormat="0" applyFill="0" applyAlignment="0" applyProtection="0"/>
    <xf numFmtId="0" fontId="11" fillId="0" borderId="0"/>
    <xf numFmtId="0" fontId="21" fillId="8" borderId="6" applyNumberFormat="0" applyAlignment="0" applyProtection="0"/>
  </cellStyleXfs>
  <cellXfs count="47">
    <xf numFmtId="0" fontId="0" fillId="0" borderId="0" xfId="0"/>
    <xf numFmtId="164" fontId="0" fillId="0" borderId="0" xfId="1" applyNumberFormat="1" applyFont="1"/>
    <xf numFmtId="0" fontId="2" fillId="0" borderId="1" xfId="0" applyFont="1" applyBorder="1"/>
    <xf numFmtId="164" fontId="0" fillId="0" borderId="0" xfId="0" applyNumberFormat="1"/>
    <xf numFmtId="0" fontId="5" fillId="0" borderId="1" xfId="2" applyFont="1" applyBorder="1" applyAlignment="1">
      <alignment horizontal="right"/>
    </xf>
    <xf numFmtId="0" fontId="6" fillId="2" borderId="0" xfId="0" applyFont="1" applyFill="1"/>
    <xf numFmtId="6" fontId="0" fillId="0" borderId="0" xfId="0" applyNumberFormat="1"/>
    <xf numFmtId="0" fontId="0" fillId="0" borderId="0" xfId="0" applyAlignment="1">
      <alignment horizontal="right"/>
    </xf>
    <xf numFmtId="9" fontId="0" fillId="0" borderId="0" xfId="4" applyFont="1"/>
    <xf numFmtId="0" fontId="0" fillId="0" borderId="0" xfId="0" applyAlignment="1">
      <alignment horizontal="left"/>
    </xf>
    <xf numFmtId="0" fontId="6" fillId="3" borderId="0" xfId="0" applyFont="1" applyFill="1"/>
    <xf numFmtId="0" fontId="7" fillId="0" borderId="3" xfId="5"/>
    <xf numFmtId="0" fontId="13" fillId="0" borderId="0" xfId="0" applyFont="1"/>
    <xf numFmtId="22" fontId="0" fillId="0" borderId="0" xfId="0" applyNumberFormat="1"/>
    <xf numFmtId="22" fontId="13" fillId="0" borderId="0" xfId="0" applyNumberFormat="1" applyFont="1"/>
    <xf numFmtId="0" fontId="6" fillId="0" borderId="0" xfId="0" applyFont="1"/>
    <xf numFmtId="0" fontId="6" fillId="4" borderId="0" xfId="0" applyFont="1" applyFill="1"/>
    <xf numFmtId="0" fontId="0" fillId="4" borderId="0" xfId="0" applyFill="1"/>
    <xf numFmtId="0" fontId="0" fillId="5" borderId="2" xfId="0" applyFill="1" applyBorder="1"/>
    <xf numFmtId="6" fontId="0" fillId="5" borderId="2" xfId="0" applyNumberFormat="1" applyFill="1" applyBorder="1"/>
    <xf numFmtId="2" fontId="4" fillId="0" borderId="0" xfId="3" applyNumberFormat="1" applyFont="1"/>
    <xf numFmtId="2" fontId="4" fillId="0" borderId="0" xfId="2" applyNumberFormat="1" applyFont="1"/>
    <xf numFmtId="2" fontId="0" fillId="0" borderId="0" xfId="0" applyNumberFormat="1"/>
    <xf numFmtId="164" fontId="0" fillId="0" borderId="2" xfId="0" applyNumberFormat="1" applyBorder="1"/>
    <xf numFmtId="0" fontId="15" fillId="0" borderId="0" xfId="0" applyFont="1"/>
    <xf numFmtId="0" fontId="16" fillId="0" borderId="0" xfId="0" applyFont="1"/>
    <xf numFmtId="0" fontId="17" fillId="0" borderId="0" xfId="0" applyFont="1"/>
    <xf numFmtId="0" fontId="18" fillId="0" borderId="0" xfId="0" applyFont="1"/>
    <xf numFmtId="0" fontId="14" fillId="0" borderId="0" xfId="0" applyFont="1"/>
    <xf numFmtId="0" fontId="19" fillId="0" borderId="0" xfId="0" applyFont="1"/>
    <xf numFmtId="0" fontId="20" fillId="0" borderId="0" xfId="0" applyFont="1"/>
    <xf numFmtId="0" fontId="2" fillId="0" borderId="0" xfId="0" applyFont="1" applyAlignment="1">
      <alignment horizontal="left"/>
    </xf>
    <xf numFmtId="0" fontId="0" fillId="6" borderId="0" xfId="0" applyFill="1"/>
    <xf numFmtId="0" fontId="8" fillId="7" borderId="0" xfId="0" applyFont="1" applyFill="1"/>
    <xf numFmtId="0" fontId="9" fillId="7" borderId="0" xfId="0" applyFont="1" applyFill="1"/>
    <xf numFmtId="0" fontId="0" fillId="7" borderId="0" xfId="0" applyFill="1"/>
    <xf numFmtId="0" fontId="2" fillId="7" borderId="0" xfId="0" applyFont="1" applyFill="1" applyAlignment="1">
      <alignment horizontal="right"/>
    </xf>
    <xf numFmtId="0" fontId="14" fillId="7" borderId="5" xfId="6" applyFont="1" applyFill="1" applyBorder="1" applyAlignment="1">
      <alignment horizontal="left"/>
    </xf>
    <xf numFmtId="0" fontId="4" fillId="7" borderId="5" xfId="6" applyFont="1" applyFill="1" applyBorder="1" applyAlignment="1">
      <alignment horizontal="left"/>
    </xf>
    <xf numFmtId="0" fontId="12" fillId="7" borderId="2" xfId="6" applyFont="1" applyFill="1" applyBorder="1" applyAlignment="1">
      <alignment horizontal="left"/>
    </xf>
    <xf numFmtId="0" fontId="4" fillId="7" borderId="2" xfId="6" applyFont="1" applyFill="1" applyBorder="1" applyAlignment="1">
      <alignment horizontal="left"/>
    </xf>
    <xf numFmtId="14" fontId="12" fillId="7" borderId="2" xfId="6" applyNumberFormat="1" applyFont="1" applyFill="1" applyBorder="1" applyAlignment="1">
      <alignment horizontal="left"/>
    </xf>
    <xf numFmtId="164" fontId="0" fillId="9" borderId="0" xfId="1" applyNumberFormat="1" applyFont="1" applyFill="1"/>
    <xf numFmtId="2" fontId="0" fillId="10" borderId="0" xfId="0" applyNumberFormat="1" applyFill="1"/>
    <xf numFmtId="2" fontId="21" fillId="8" borderId="6" xfId="7" applyNumberFormat="1"/>
    <xf numFmtId="0" fontId="10" fillId="7" borderId="4" xfId="5" applyFont="1" applyFill="1" applyBorder="1" applyAlignment="1">
      <alignment horizontal="left" vertical="top" wrapText="1"/>
    </xf>
    <xf numFmtId="2" fontId="0" fillId="9" borderId="2" xfId="0" applyNumberFormat="1" applyFill="1" applyBorder="1"/>
  </cellXfs>
  <cellStyles count="8">
    <cellStyle name="Check Cell" xfId="7" builtinId="23"/>
    <cellStyle name="Comma" xfId="1" builtinId="3"/>
    <cellStyle name="Currency 2" xfId="3" xr:uid="{00000000-0005-0000-0000-000001000000}"/>
    <cellStyle name="Heading 1" xfId="5" builtinId="16"/>
    <cellStyle name="Normal" xfId="0" builtinId="0"/>
    <cellStyle name="Normal 2" xfId="2" xr:uid="{00000000-0005-0000-0000-000004000000}"/>
    <cellStyle name="Normal 2 2" xfId="6" xr:uid="{00000000-0005-0000-0000-000005000000}"/>
    <cellStyle name="Percent" xfId="4" builtinId="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data id="1">
      <cx:numDim type="val">
        <cx:f>_xlchart.v1.1</cx:f>
      </cx:numDim>
    </cx:data>
    <cx:data id="2">
      <cx:numDim type="val">
        <cx:f>_xlchart.v1.2</cx:f>
      </cx:numDim>
    </cx:data>
    <cx:data id="3">
      <cx:numDim type="val">
        <cx:f>_xlchart.v1.3</cx:f>
      </cx:numDim>
    </cx:data>
    <cx:data id="4">
      <cx:numDim type="val">
        <cx:f>_xlchart.v1.4</cx:f>
      </cx:numDim>
    </cx:data>
    <cx:data id="5">
      <cx:numDim type="val">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Probabilistic cost of work packages (1)-(6)</a:t>
            </a:r>
            <a:r>
              <a:rPr lang="en-US"/>
              <a:t> </a:t>
            </a:r>
            <a:endParaRPr lang="en-US" sz="1400" b="0" i="0" u="none" strike="noStrike" baseline="0">
              <a:solidFill>
                <a:sysClr val="windowText" lastClr="000000">
                  <a:lumMod val="65000"/>
                  <a:lumOff val="35000"/>
                </a:sysClr>
              </a:solidFill>
              <a:latin typeface="Calibri" panose="020F0502020204030204"/>
            </a:endParaRPr>
          </a:p>
        </cx:rich>
      </cx:tx>
    </cx:title>
    <cx:plotArea>
      <cx:plotAreaRegion>
        <cx:series layoutId="boxWhisker" uniqueId="{12AF91E3-1017-8341-8114-D522FF841426}">
          <cx:dataId val="0"/>
          <cx:layoutPr>
            <cx:visibility meanLine="0" meanMarker="1" nonoutliers="0" outliers="1"/>
            <cx:statistics quartileMethod="exclusive"/>
          </cx:layoutPr>
        </cx:series>
        <cx:series layoutId="boxWhisker" uniqueId="{5A56437D-F346-6247-8632-E5D9F811818D}">
          <cx:dataId val="1"/>
          <cx:layoutPr>
            <cx:visibility meanLine="0" meanMarker="1" nonoutliers="0" outliers="1"/>
            <cx:statistics quartileMethod="exclusive"/>
          </cx:layoutPr>
        </cx:series>
        <cx:series layoutId="boxWhisker" uniqueId="{918C3B81-30A7-CE4E-BB47-723F0C59AD1A}">
          <cx:dataId val="2"/>
          <cx:layoutPr>
            <cx:visibility meanLine="0" meanMarker="1" nonoutliers="0" outliers="1"/>
            <cx:statistics quartileMethod="exclusive"/>
          </cx:layoutPr>
        </cx:series>
        <cx:series layoutId="boxWhisker" uniqueId="{7AEA7F71-E323-9E4B-A5E2-32B0E0336170}">
          <cx:dataId val="3"/>
          <cx:layoutPr>
            <cx:visibility meanLine="0" meanMarker="1" nonoutliers="0" outliers="1"/>
            <cx:statistics quartileMethod="exclusive"/>
          </cx:layoutPr>
        </cx:series>
        <cx:series layoutId="boxWhisker" uniqueId="{E40989B0-EDF3-C04C-89BA-6232FE71FF97}">
          <cx:dataId val="4"/>
          <cx:layoutPr>
            <cx:visibility meanLine="0" meanMarker="1" nonoutliers="0" outliers="1"/>
            <cx:statistics quartileMethod="exclusive"/>
          </cx:layoutPr>
        </cx:series>
        <cx:series layoutId="boxWhisker" uniqueId="{BE957318-442D-4045-B3C1-00AAC1C7BBB4}">
          <cx:dataId val="5"/>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xdr:col>
      <xdr:colOff>0</xdr:colOff>
      <xdr:row>9</xdr:row>
      <xdr:rowOff>0</xdr:rowOff>
    </xdr:from>
    <xdr:to>
      <xdr:col>8</xdr:col>
      <xdr:colOff>66675</xdr:colOff>
      <xdr:row>28</xdr:row>
      <xdr:rowOff>152401</xdr:rowOff>
    </xdr:to>
    <xdr:sp macro="" textlink="">
      <xdr:nvSpPr>
        <xdr:cNvPr id="3" name="TextBox 2">
          <a:extLst>
            <a:ext uri="{FF2B5EF4-FFF2-40B4-BE49-F238E27FC236}">
              <a16:creationId xmlns:a16="http://schemas.microsoft.com/office/drawing/2014/main" id="{597E755D-E0CC-4A53-9269-B385E152AF4C}"/>
            </a:ext>
          </a:extLst>
        </xdr:cNvPr>
        <xdr:cNvSpPr txBox="1"/>
      </xdr:nvSpPr>
      <xdr:spPr>
        <a:xfrm>
          <a:off x="1295400" y="1866900"/>
          <a:ext cx="5124450" cy="3771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u="sng">
              <a:solidFill>
                <a:srgbClr val="FF0000"/>
              </a:solidFill>
              <a:effectLst/>
              <a:latin typeface="+mn-lt"/>
              <a:ea typeface="+mn-ea"/>
              <a:cs typeface="+mn-cs"/>
            </a:rPr>
            <a:t>Every</a:t>
          </a:r>
          <a:r>
            <a:rPr lang="en-US" sz="1100" u="sng" baseline="0">
              <a:solidFill>
                <a:srgbClr val="FF0000"/>
              </a:solidFill>
              <a:effectLst/>
              <a:latin typeface="+mn-lt"/>
              <a:ea typeface="+mn-ea"/>
              <a:cs typeface="+mn-cs"/>
            </a:rPr>
            <a:t> time this file opens</a:t>
          </a:r>
          <a:r>
            <a:rPr lang="en-US" sz="1100" baseline="0">
              <a:solidFill>
                <a:srgbClr val="FF0000"/>
              </a:solidFill>
              <a:effectLst/>
              <a:latin typeface="+mn-lt"/>
              <a:ea typeface="+mn-ea"/>
              <a:cs typeface="+mn-cs"/>
            </a:rPr>
            <a:t>,</a:t>
          </a:r>
          <a:r>
            <a:rPr lang="en-US" sz="1100" baseline="0">
              <a:solidFill>
                <a:schemeClr val="dk1"/>
              </a:solidFill>
              <a:effectLst/>
              <a:latin typeface="+mn-lt"/>
              <a:ea typeface="+mn-ea"/>
              <a:cs typeface="+mn-cs"/>
            </a:rPr>
            <a:t> it will set Excel's Calculation Options to Automatic Except for Data Tables.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This is to reduce problems (including crashing) caused by having multiple data tables running at once.</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Suggestion--</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(1) Make sure that this is the only Excel file open (or at least the only one that contains a data table.</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(2) O</a:t>
          </a:r>
          <a:r>
            <a:rPr lang="en-US" sz="1100">
              <a:solidFill>
                <a:schemeClr val="dk1"/>
              </a:solidFill>
              <a:effectLst/>
              <a:latin typeface="+mn-lt"/>
              <a:ea typeface="+mn-ea"/>
              <a:cs typeface="+mn-cs"/>
            </a:rPr>
            <a:t>n Excel’s Formulas tab, locate the Calculation Options</a:t>
          </a:r>
          <a:r>
            <a:rPr lang="en-US" sz="1100" baseline="0">
              <a:solidFill>
                <a:schemeClr val="dk1"/>
              </a:solidFill>
              <a:effectLst/>
              <a:latin typeface="+mn-lt"/>
              <a:ea typeface="+mn-ea"/>
              <a:cs typeface="+mn-cs"/>
            </a:rPr>
            <a:t> drop-down</a:t>
          </a:r>
          <a:r>
            <a:rPr lang="en-US" sz="1100">
              <a:solidFill>
                <a:schemeClr val="dk1"/>
              </a:solidFill>
              <a:effectLst/>
              <a:latin typeface="+mn-lt"/>
              <a:ea typeface="+mn-ea"/>
              <a:cs typeface="+mn-cs"/>
            </a:rPr>
            <a:t> (towards the right) and set calculation to Automatic.</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(3) Realize that</a:t>
          </a:r>
          <a:r>
            <a:rPr lang="en-US" sz="1100" baseline="0">
              <a:solidFill>
                <a:schemeClr val="dk1"/>
              </a:solidFill>
              <a:effectLst/>
              <a:latin typeface="+mn-lt"/>
              <a:ea typeface="+mn-ea"/>
              <a:cs typeface="+mn-cs"/>
            </a:rPr>
            <a:t> if you close and then re-open the file, you will need to repeat this process.</a:t>
          </a: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Or,</a:t>
          </a:r>
          <a:r>
            <a:rPr lang="en-US" sz="1100" baseline="0">
              <a:solidFill>
                <a:schemeClr val="dk1"/>
              </a:solidFill>
              <a:effectLst/>
              <a:latin typeface="+mn-lt"/>
              <a:ea typeface="+mn-ea"/>
              <a:cs typeface="+mn-cs"/>
            </a:rPr>
            <a:t> a</a:t>
          </a:r>
          <a:r>
            <a:rPr lang="en-US" sz="1100">
              <a:solidFill>
                <a:schemeClr val="dk1"/>
              </a:solidFill>
              <a:effectLst/>
              <a:latin typeface="+mn-lt"/>
              <a:ea typeface="+mn-ea"/>
              <a:cs typeface="+mn-cs"/>
            </a:rPr>
            <a:t>lternatively--</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You can leave the calculation setting as it is, and instead trigger calculation manually. Since the reason for doing this is usually to improve performance, you might want to recalculate only the sheet that contains the data table. Here's how--</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(1) Navigate to the sheet with the data table.</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(2) Press Shift + F9. This triggers a recalculation of the active worksheet only.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45570</xdr:colOff>
      <xdr:row>0</xdr:row>
      <xdr:rowOff>0</xdr:rowOff>
    </xdr:from>
    <xdr:to>
      <xdr:col>19</xdr:col>
      <xdr:colOff>1084730</xdr:colOff>
      <xdr:row>3</xdr:row>
      <xdr:rowOff>147916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4687923" y="0"/>
          <a:ext cx="5536454" cy="745563"/>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600"/>
            <a:t>Warning: Do not insert rows or</a:t>
          </a:r>
          <a:r>
            <a:rPr lang="en-US" sz="1600" baseline="0"/>
            <a:t> columns, or otherwise move any of the content on this worksheet.</a:t>
          </a:r>
          <a:endParaRPr lang="en-US"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392206</xdr:colOff>
      <xdr:row>7</xdr:row>
      <xdr:rowOff>33618</xdr:rowOff>
    </xdr:from>
    <xdr:to>
      <xdr:col>5</xdr:col>
      <xdr:colOff>347382</xdr:colOff>
      <xdr:row>11</xdr:row>
      <xdr:rowOff>22412</xdr:rowOff>
    </xdr:to>
    <xdr:sp macro="" textlink="">
      <xdr:nvSpPr>
        <xdr:cNvPr id="2" name="TextBox 1">
          <a:extLst>
            <a:ext uri="{FF2B5EF4-FFF2-40B4-BE49-F238E27FC236}">
              <a16:creationId xmlns:a16="http://schemas.microsoft.com/office/drawing/2014/main" id="{40215DF1-0F2F-438D-A122-0A28D72DC89B}"/>
            </a:ext>
          </a:extLst>
        </xdr:cNvPr>
        <xdr:cNvSpPr txBox="1"/>
      </xdr:nvSpPr>
      <xdr:spPr>
        <a:xfrm>
          <a:off x="4192681" y="1367118"/>
          <a:ext cx="5012951" cy="750794"/>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600"/>
            <a:t>Warning: Do not insert rows or</a:t>
          </a:r>
          <a:r>
            <a:rPr lang="en-US" sz="1600" baseline="0"/>
            <a:t> columns, or otherwise move any of the content on this worksheet.</a:t>
          </a:r>
          <a:endParaRPr lang="en-US" sz="1600"/>
        </a:p>
      </xdr:txBody>
    </xdr:sp>
    <xdr:clientData/>
  </xdr:twoCellAnchor>
  <xdr:twoCellAnchor>
    <xdr:from>
      <xdr:col>21</xdr:col>
      <xdr:colOff>103841</xdr:colOff>
      <xdr:row>0</xdr:row>
      <xdr:rowOff>163356</xdr:rowOff>
    </xdr:from>
    <xdr:to>
      <xdr:col>27</xdr:col>
      <xdr:colOff>249517</xdr:colOff>
      <xdr:row>8</xdr:row>
      <xdr:rowOff>2240</xdr:rowOff>
    </xdr:to>
    <xdr:sp macro="" textlink="">
      <xdr:nvSpPr>
        <xdr:cNvPr id="4" name="TextBox 3">
          <a:extLst>
            <a:ext uri="{FF2B5EF4-FFF2-40B4-BE49-F238E27FC236}">
              <a16:creationId xmlns:a16="http://schemas.microsoft.com/office/drawing/2014/main" id="{FA4B6574-1ED7-40E1-91D5-ED9A57D79ED5}"/>
            </a:ext>
          </a:extLst>
        </xdr:cNvPr>
        <xdr:cNvSpPr txBox="1"/>
      </xdr:nvSpPr>
      <xdr:spPr>
        <a:xfrm>
          <a:off x="21033441" y="163356"/>
          <a:ext cx="4209676" cy="13967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Locate the box-whisker plot that you are asked to produce in question</a:t>
          </a:r>
          <a:r>
            <a:rPr lang="en-US" sz="1400" baseline="0"/>
            <a:t> (1) here.</a:t>
          </a:r>
        </a:p>
        <a:p>
          <a:pPr marL="0" marR="0" lvl="0" indent="0" defTabSz="914400" eaLnBrk="1" fontAlgn="auto" latinLnBrk="0" hangingPunct="1">
            <a:lnSpc>
              <a:spcPct val="100000"/>
            </a:lnSpc>
            <a:spcBef>
              <a:spcPts val="0"/>
            </a:spcBef>
            <a:spcAft>
              <a:spcPts val="0"/>
            </a:spcAft>
            <a:buClrTx/>
            <a:buSzTx/>
            <a:buFontTx/>
            <a:buNone/>
            <a:tabLst/>
            <a:defRPr/>
          </a:pPr>
          <a:r>
            <a:rPr lang="en-US" sz="1400" b="0" i="0" baseline="0">
              <a:solidFill>
                <a:schemeClr val="dk1"/>
              </a:solidFill>
              <a:effectLst/>
              <a:latin typeface="+mn-lt"/>
              <a:ea typeface="+mn-ea"/>
              <a:cs typeface="+mn-cs"/>
            </a:rPr>
            <a:t>Edit the chart title to read: Probabilistic cost of work packages (1)-(6)</a:t>
          </a:r>
          <a:endParaRPr lang="en-US" sz="1400">
            <a:effectLst/>
          </a:endParaRPr>
        </a:p>
        <a:p>
          <a:r>
            <a:rPr lang="en-US" sz="1400" baseline="0"/>
            <a:t>Remove the primary horizontal axis.</a:t>
          </a:r>
        </a:p>
      </xdr:txBody>
    </xdr:sp>
    <xdr:clientData/>
  </xdr:twoCellAnchor>
  <xdr:twoCellAnchor>
    <xdr:from>
      <xdr:col>11</xdr:col>
      <xdr:colOff>25400</xdr:colOff>
      <xdr:row>1</xdr:row>
      <xdr:rowOff>16934</xdr:rowOff>
    </xdr:from>
    <xdr:to>
      <xdr:col>20</xdr:col>
      <xdr:colOff>668866</xdr:colOff>
      <xdr:row>22</xdr:row>
      <xdr:rowOff>8467</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B84AAB3E-4D8B-494C-A62C-92EAC6B6CAB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4135100" y="207434"/>
              <a:ext cx="6701366" cy="399203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Y134"/>
  <sheetViews>
    <sheetView showGridLines="0" zoomScaleNormal="100" zoomScaleSheetLayoutView="30" workbookViewId="0"/>
  </sheetViews>
  <sheetFormatPr baseColWidth="10" defaultColWidth="8.83203125" defaultRowHeight="15"/>
  <cols>
    <col min="1" max="1" width="19.5" bestFit="1" customWidth="1"/>
    <col min="3" max="3" width="12.6640625" bestFit="1" customWidth="1"/>
    <col min="5" max="5" width="20.1640625" bestFit="1" customWidth="1"/>
    <col min="6" max="6" width="9.1640625" customWidth="1"/>
    <col min="7" max="7" width="11" bestFit="1" customWidth="1"/>
    <col min="8" max="25" width="9.1640625" customWidth="1"/>
    <col min="26" max="16384" width="8.83203125" style="10"/>
  </cols>
  <sheetData>
    <row r="1" spans="1:25" ht="19">
      <c r="A1" s="33" t="s">
        <v>42</v>
      </c>
      <c r="B1" s="34"/>
      <c r="C1" s="33" t="s">
        <v>88</v>
      </c>
      <c r="D1" s="34"/>
      <c r="E1" s="34"/>
      <c r="F1" s="34"/>
      <c r="G1" s="34"/>
      <c r="H1" s="35"/>
      <c r="I1" s="35"/>
      <c r="J1" s="35"/>
      <c r="K1" s="35"/>
      <c r="L1" s="35"/>
      <c r="M1" s="35"/>
      <c r="N1" s="35"/>
      <c r="O1" s="35"/>
      <c r="P1" s="35"/>
      <c r="Q1" s="35"/>
      <c r="R1" s="35"/>
      <c r="S1" s="35"/>
      <c r="T1" s="35"/>
      <c r="U1" s="35"/>
      <c r="V1" s="35"/>
      <c r="W1" s="35"/>
      <c r="X1" s="35"/>
      <c r="Y1" s="35"/>
    </row>
    <row r="2" spans="1:25" ht="19">
      <c r="A2" s="33" t="s">
        <v>91</v>
      </c>
      <c r="B2" s="34"/>
      <c r="C2" s="34"/>
      <c r="D2" s="34"/>
      <c r="E2" s="34"/>
      <c r="F2" s="34"/>
      <c r="G2" s="34"/>
      <c r="H2" s="35"/>
      <c r="I2" s="35"/>
      <c r="J2" s="35"/>
      <c r="K2" s="35"/>
      <c r="L2" s="35"/>
      <c r="M2" s="35"/>
      <c r="N2" s="35"/>
      <c r="O2" s="35"/>
      <c r="P2" s="35"/>
      <c r="Q2" s="35"/>
      <c r="R2" s="35"/>
      <c r="S2" s="35"/>
      <c r="T2" s="35"/>
      <c r="U2" s="35"/>
      <c r="V2" s="35"/>
      <c r="W2" s="35"/>
      <c r="X2" s="35"/>
      <c r="Y2" s="35"/>
    </row>
    <row r="3" spans="1:25" ht="20" thickBot="1">
      <c r="A3" s="45"/>
      <c r="B3" s="45"/>
      <c r="C3" s="45"/>
      <c r="D3" s="45"/>
      <c r="E3" s="45"/>
      <c r="F3" s="45"/>
      <c r="G3" s="45"/>
      <c r="H3" s="35"/>
      <c r="I3" s="35"/>
      <c r="J3" s="35"/>
      <c r="K3" s="35"/>
      <c r="L3" s="35"/>
      <c r="M3" s="35"/>
      <c r="N3" s="35"/>
      <c r="O3" s="35"/>
      <c r="P3" s="35"/>
      <c r="Q3" s="35"/>
      <c r="R3" s="35"/>
      <c r="S3" s="35"/>
      <c r="T3" s="35"/>
      <c r="U3" s="35"/>
      <c r="V3" s="35"/>
      <c r="W3" s="35"/>
      <c r="X3" s="35"/>
      <c r="Y3" s="35"/>
    </row>
    <row r="4" spans="1:25">
      <c r="A4" s="36" t="s">
        <v>43</v>
      </c>
      <c r="B4" s="36"/>
      <c r="C4" s="37" t="s">
        <v>93</v>
      </c>
      <c r="D4" s="36"/>
      <c r="E4" s="36" t="s">
        <v>44</v>
      </c>
      <c r="F4" s="36"/>
      <c r="G4" s="38">
        <v>7123</v>
      </c>
      <c r="H4" s="35"/>
      <c r="I4" s="35"/>
      <c r="J4" s="35"/>
      <c r="K4" s="35"/>
      <c r="L4" s="35"/>
      <c r="M4" s="35"/>
      <c r="N4" s="35"/>
      <c r="O4" s="35"/>
      <c r="P4" s="35"/>
      <c r="Q4" s="35"/>
      <c r="R4" s="35"/>
      <c r="S4" s="35"/>
      <c r="T4" s="35"/>
      <c r="U4" s="35"/>
      <c r="V4" s="35"/>
      <c r="W4" s="35"/>
      <c r="X4" s="35"/>
      <c r="Y4" s="35"/>
    </row>
    <row r="5" spans="1:25">
      <c r="A5" s="36" t="s">
        <v>45</v>
      </c>
      <c r="B5" s="36"/>
      <c r="C5" s="39" t="s">
        <v>97</v>
      </c>
      <c r="D5" s="36"/>
      <c r="E5" s="36" t="s">
        <v>46</v>
      </c>
      <c r="F5" s="36"/>
      <c r="G5" s="40" t="s">
        <v>98</v>
      </c>
      <c r="H5" s="35"/>
      <c r="I5" s="35"/>
      <c r="J5" s="35"/>
      <c r="K5" s="35"/>
      <c r="L5" s="35"/>
      <c r="M5" s="35"/>
      <c r="N5" s="35"/>
      <c r="O5" s="35"/>
      <c r="P5" s="35"/>
      <c r="Q5" s="35"/>
      <c r="R5" s="35"/>
      <c r="S5" s="35"/>
      <c r="T5" s="35"/>
      <c r="U5" s="35"/>
      <c r="V5" s="35"/>
      <c r="W5" s="35"/>
      <c r="X5" s="35"/>
      <c r="Y5" s="35"/>
    </row>
    <row r="6" spans="1:25">
      <c r="A6" s="36" t="s">
        <v>47</v>
      </c>
      <c r="B6" s="36"/>
      <c r="C6" s="41">
        <f ca="1">TODAY()</f>
        <v>44001</v>
      </c>
      <c r="D6" s="36"/>
      <c r="E6" s="36"/>
      <c r="F6" s="36"/>
      <c r="G6" s="35"/>
      <c r="H6" s="35"/>
      <c r="I6" s="35"/>
      <c r="J6" s="35"/>
      <c r="K6" s="35"/>
      <c r="L6" s="35"/>
      <c r="M6" s="35"/>
      <c r="N6" s="35"/>
      <c r="O6" s="35"/>
      <c r="P6" s="35"/>
      <c r="Q6" s="35"/>
      <c r="R6" s="35"/>
      <c r="S6" s="35"/>
      <c r="T6" s="35"/>
      <c r="U6" s="35"/>
      <c r="V6" s="35"/>
      <c r="W6" s="35"/>
      <c r="X6" s="35"/>
      <c r="Y6" s="35"/>
    </row>
    <row r="7" spans="1:25">
      <c r="A7" s="36"/>
      <c r="B7" s="36"/>
      <c r="C7" s="35"/>
      <c r="D7" s="36"/>
      <c r="E7" s="36"/>
      <c r="F7" s="36"/>
      <c r="G7" s="35"/>
      <c r="H7" s="35"/>
      <c r="I7" s="35"/>
      <c r="J7" s="35"/>
      <c r="K7" s="35"/>
      <c r="L7" s="35"/>
      <c r="M7" s="35"/>
      <c r="N7" s="35"/>
      <c r="O7" s="35"/>
      <c r="P7" s="35"/>
      <c r="Q7" s="35"/>
      <c r="R7" s="35"/>
      <c r="S7" s="35"/>
      <c r="T7" s="35"/>
      <c r="U7" s="35"/>
      <c r="V7" s="35"/>
      <c r="W7" s="35"/>
      <c r="X7" s="35"/>
      <c r="Y7" s="35"/>
    </row>
    <row r="8" spans="1:25">
      <c r="A8" s="35"/>
      <c r="B8" s="35"/>
      <c r="C8" s="35"/>
      <c r="D8" s="35"/>
      <c r="E8" s="35"/>
      <c r="F8" s="35"/>
      <c r="G8" s="35"/>
      <c r="H8" s="35"/>
      <c r="I8" s="35"/>
      <c r="J8" s="35"/>
      <c r="K8" s="35"/>
      <c r="L8" s="35"/>
      <c r="M8" s="35"/>
      <c r="N8" s="35"/>
      <c r="O8" s="35"/>
      <c r="P8" s="35"/>
      <c r="Q8" s="35"/>
      <c r="R8" s="35"/>
      <c r="S8" s="35"/>
      <c r="T8" s="35"/>
      <c r="U8" s="35"/>
      <c r="V8" s="35"/>
      <c r="W8" s="35"/>
      <c r="X8" s="35"/>
      <c r="Y8" s="35"/>
    </row>
    <row r="9" spans="1:25">
      <c r="A9" s="35"/>
      <c r="B9" s="35"/>
      <c r="C9" s="35"/>
      <c r="D9" s="35"/>
      <c r="E9" s="35"/>
      <c r="F9" s="35"/>
      <c r="G9" s="35"/>
      <c r="H9" s="35"/>
      <c r="I9" s="35"/>
      <c r="J9" s="35"/>
      <c r="K9" s="35"/>
      <c r="L9" s="35"/>
      <c r="M9" s="35"/>
      <c r="N9" s="35"/>
      <c r="O9" s="35"/>
      <c r="P9" s="35"/>
      <c r="Q9" s="35"/>
      <c r="R9" s="35"/>
      <c r="S9" s="35"/>
      <c r="T9" s="35"/>
      <c r="U9" s="35"/>
      <c r="V9" s="35"/>
      <c r="W9" s="35"/>
      <c r="X9" s="35"/>
      <c r="Y9" s="35"/>
    </row>
    <row r="10" spans="1:25">
      <c r="A10" s="35"/>
      <c r="B10" s="35"/>
      <c r="C10" s="35"/>
      <c r="D10" s="35"/>
      <c r="E10" s="35"/>
      <c r="F10" s="35"/>
      <c r="G10" s="35"/>
      <c r="H10" s="35"/>
      <c r="I10" s="35"/>
      <c r="J10" s="35"/>
      <c r="K10" s="35"/>
      <c r="L10" s="35"/>
      <c r="M10" s="35"/>
      <c r="N10" s="35"/>
      <c r="O10" s="35"/>
      <c r="P10" s="35"/>
      <c r="Q10" s="35"/>
      <c r="R10" s="35"/>
      <c r="S10" s="35"/>
      <c r="T10" s="35"/>
      <c r="U10" s="35"/>
      <c r="V10" s="35"/>
      <c r="W10" s="35"/>
      <c r="X10" s="35"/>
      <c r="Y10" s="35"/>
    </row>
    <row r="11" spans="1:25">
      <c r="A11" s="35"/>
      <c r="B11" s="35"/>
      <c r="C11" s="35"/>
      <c r="D11" s="35"/>
      <c r="E11" s="35"/>
      <c r="F11" s="35"/>
      <c r="G11" s="35"/>
      <c r="H11" s="35"/>
      <c r="I11" s="35"/>
      <c r="J11" s="35"/>
      <c r="K11" s="35"/>
      <c r="L11" s="35"/>
      <c r="M11" s="35"/>
      <c r="N11" s="35"/>
      <c r="O11" s="35"/>
      <c r="P11" s="35"/>
      <c r="Q11" s="35"/>
      <c r="R11" s="35"/>
      <c r="S11" s="35"/>
      <c r="T11" s="35"/>
      <c r="U11" s="35"/>
      <c r="V11" s="35"/>
      <c r="W11" s="35"/>
      <c r="X11" s="35"/>
      <c r="Y11" s="35"/>
    </row>
    <row r="12" spans="1:25">
      <c r="A12" s="35"/>
      <c r="B12" s="35"/>
      <c r="C12" s="35"/>
      <c r="D12" s="35"/>
      <c r="E12" s="35"/>
      <c r="F12" s="35"/>
      <c r="G12" s="35"/>
      <c r="H12" s="35"/>
      <c r="I12" s="35"/>
      <c r="J12" s="35"/>
      <c r="K12" s="35"/>
      <c r="L12" s="35"/>
      <c r="M12" s="35"/>
      <c r="N12" s="35"/>
      <c r="O12" s="35"/>
      <c r="P12" s="35"/>
      <c r="Q12" s="35"/>
      <c r="R12" s="35"/>
      <c r="S12" s="35"/>
      <c r="T12" s="35"/>
      <c r="U12" s="35"/>
      <c r="V12" s="35"/>
      <c r="W12" s="35"/>
      <c r="X12" s="35"/>
      <c r="Y12" s="35"/>
    </row>
    <row r="13" spans="1:25">
      <c r="A13" s="35"/>
      <c r="B13" s="35"/>
      <c r="C13" s="35"/>
      <c r="D13" s="35"/>
      <c r="E13" s="35"/>
      <c r="F13" s="35"/>
      <c r="G13" s="35"/>
      <c r="H13" s="35"/>
      <c r="I13" s="35"/>
      <c r="J13" s="35"/>
      <c r="K13" s="35"/>
      <c r="L13" s="35"/>
      <c r="M13" s="35"/>
      <c r="N13" s="35"/>
      <c r="O13" s="35"/>
      <c r="P13" s="35"/>
      <c r="Q13" s="35"/>
      <c r="R13" s="35"/>
      <c r="S13" s="35"/>
      <c r="T13" s="35"/>
      <c r="U13" s="35"/>
      <c r="V13" s="35"/>
      <c r="W13" s="35"/>
      <c r="X13" s="35"/>
      <c r="Y13" s="35"/>
    </row>
    <row r="14" spans="1:25">
      <c r="A14" s="35"/>
      <c r="B14" s="35"/>
      <c r="C14" s="35"/>
      <c r="D14" s="35"/>
      <c r="E14" s="35"/>
      <c r="F14" s="35"/>
      <c r="G14" s="35"/>
      <c r="H14" s="35"/>
      <c r="I14" s="35"/>
      <c r="J14" s="35"/>
      <c r="K14" s="35"/>
      <c r="L14" s="35"/>
      <c r="M14" s="35"/>
      <c r="N14" s="35"/>
      <c r="O14" s="35"/>
      <c r="P14" s="35"/>
      <c r="Q14" s="35"/>
      <c r="R14" s="35"/>
      <c r="S14" s="35"/>
      <c r="T14" s="35"/>
      <c r="U14" s="35"/>
      <c r="V14" s="35"/>
      <c r="W14" s="35"/>
      <c r="X14" s="35"/>
      <c r="Y14" s="35"/>
    </row>
    <row r="15" spans="1:25">
      <c r="A15" s="35"/>
      <c r="B15" s="35"/>
      <c r="C15" s="35"/>
      <c r="D15" s="35"/>
      <c r="E15" s="35"/>
      <c r="F15" s="35"/>
      <c r="G15" s="35"/>
      <c r="H15" s="35"/>
      <c r="I15" s="35"/>
      <c r="J15" s="35"/>
      <c r="K15" s="35"/>
      <c r="L15" s="35"/>
      <c r="M15" s="35"/>
      <c r="N15" s="35"/>
      <c r="O15" s="35"/>
      <c r="P15" s="35"/>
      <c r="Q15" s="35"/>
      <c r="R15" s="35"/>
      <c r="S15" s="35"/>
      <c r="T15" s="35"/>
      <c r="U15" s="35"/>
      <c r="V15" s="35"/>
      <c r="W15" s="35"/>
      <c r="X15" s="35"/>
      <c r="Y15" s="35"/>
    </row>
    <row r="16" spans="1:25">
      <c r="A16" s="35"/>
      <c r="B16" s="35"/>
      <c r="C16" s="35"/>
      <c r="D16" s="35"/>
      <c r="E16" s="35"/>
      <c r="F16" s="35"/>
      <c r="G16" s="35"/>
      <c r="H16" s="35"/>
      <c r="I16" s="35"/>
      <c r="J16" s="35"/>
      <c r="K16" s="35"/>
      <c r="L16" s="35"/>
      <c r="M16" s="35"/>
      <c r="N16" s="35"/>
      <c r="O16" s="35"/>
      <c r="P16" s="35"/>
      <c r="Q16" s="35"/>
      <c r="R16" s="35"/>
      <c r="S16" s="35"/>
      <c r="T16" s="35"/>
      <c r="U16" s="35"/>
      <c r="V16" s="35"/>
      <c r="W16" s="35"/>
      <c r="X16" s="35"/>
      <c r="Y16" s="35"/>
    </row>
    <row r="17" spans="1:25">
      <c r="A17" s="35"/>
      <c r="B17" s="35"/>
      <c r="C17" s="35"/>
      <c r="D17" s="35"/>
      <c r="E17" s="35"/>
      <c r="F17" s="35"/>
      <c r="G17" s="35"/>
      <c r="H17" s="35"/>
      <c r="I17" s="35"/>
      <c r="J17" s="35"/>
      <c r="K17" s="35"/>
      <c r="L17" s="35"/>
      <c r="M17" s="35"/>
      <c r="N17" s="35"/>
      <c r="O17" s="35"/>
      <c r="P17" s="35"/>
      <c r="Q17" s="35"/>
      <c r="R17" s="35"/>
      <c r="S17" s="35"/>
      <c r="T17" s="35"/>
      <c r="U17" s="35"/>
      <c r="V17" s="35"/>
      <c r="W17" s="35"/>
      <c r="X17" s="35"/>
      <c r="Y17" s="35"/>
    </row>
    <row r="18" spans="1:25">
      <c r="A18" s="35"/>
      <c r="B18" s="35"/>
      <c r="C18" s="35"/>
      <c r="D18" s="35"/>
      <c r="E18" s="35"/>
      <c r="F18" s="35"/>
      <c r="G18" s="35"/>
      <c r="H18" s="35"/>
      <c r="I18" s="35"/>
      <c r="J18" s="35"/>
      <c r="K18" s="35"/>
      <c r="L18" s="35"/>
      <c r="M18" s="35"/>
      <c r="N18" s="35"/>
      <c r="O18" s="35"/>
      <c r="P18" s="35"/>
      <c r="Q18" s="35"/>
      <c r="R18" s="35"/>
      <c r="S18" s="35"/>
      <c r="T18" s="35"/>
      <c r="U18" s="35"/>
      <c r="V18" s="35"/>
      <c r="W18" s="35"/>
      <c r="X18" s="35"/>
      <c r="Y18" s="35"/>
    </row>
    <row r="19" spans="1:25">
      <c r="A19" s="35"/>
      <c r="B19" s="35"/>
      <c r="C19" s="35"/>
      <c r="D19" s="35"/>
      <c r="E19" s="35"/>
      <c r="F19" s="35"/>
      <c r="G19" s="35"/>
      <c r="H19" s="35"/>
      <c r="I19" s="35"/>
      <c r="J19" s="35"/>
      <c r="K19" s="35"/>
      <c r="L19" s="35"/>
      <c r="M19" s="35"/>
      <c r="N19" s="35"/>
      <c r="O19" s="35"/>
      <c r="P19" s="35"/>
      <c r="Q19" s="35"/>
      <c r="R19" s="35"/>
      <c r="S19" s="35"/>
      <c r="T19" s="35"/>
      <c r="U19" s="35"/>
      <c r="V19" s="35"/>
      <c r="W19" s="35"/>
      <c r="X19" s="35"/>
      <c r="Y19" s="35"/>
    </row>
    <row r="20" spans="1:25">
      <c r="A20" s="35"/>
      <c r="B20" s="35"/>
      <c r="C20" s="35"/>
      <c r="D20" s="35"/>
      <c r="E20" s="35"/>
      <c r="F20" s="35"/>
      <c r="G20" s="35"/>
      <c r="H20" s="35"/>
      <c r="I20" s="35"/>
      <c r="J20" s="35"/>
      <c r="K20" s="35"/>
      <c r="L20" s="35"/>
      <c r="M20" s="35"/>
      <c r="N20" s="35"/>
      <c r="O20" s="35"/>
      <c r="P20" s="35"/>
      <c r="Q20" s="35"/>
      <c r="R20" s="35"/>
      <c r="S20" s="35"/>
      <c r="T20" s="35"/>
      <c r="U20" s="35"/>
      <c r="V20" s="35"/>
      <c r="W20" s="35"/>
      <c r="X20" s="35"/>
      <c r="Y20" s="35"/>
    </row>
    <row r="21" spans="1:25">
      <c r="A21" s="35"/>
      <c r="B21" s="35"/>
      <c r="C21" s="35"/>
      <c r="D21" s="35"/>
      <c r="E21" s="35"/>
      <c r="F21" s="35"/>
      <c r="G21" s="35"/>
      <c r="H21" s="35"/>
      <c r="I21" s="35"/>
      <c r="J21" s="35"/>
      <c r="K21" s="35"/>
      <c r="L21" s="35"/>
      <c r="M21" s="35"/>
      <c r="N21" s="35"/>
      <c r="O21" s="35"/>
      <c r="P21" s="35"/>
      <c r="Q21" s="35"/>
      <c r="R21" s="35"/>
      <c r="S21" s="35"/>
      <c r="T21" s="35"/>
      <c r="U21" s="35"/>
      <c r="V21" s="35"/>
      <c r="W21" s="35"/>
      <c r="X21" s="35"/>
      <c r="Y21" s="35"/>
    </row>
    <row r="22" spans="1:25">
      <c r="A22" s="35"/>
      <c r="B22" s="35"/>
      <c r="C22" s="35"/>
      <c r="D22" s="35"/>
      <c r="E22" s="35"/>
      <c r="F22" s="35"/>
      <c r="G22" s="35"/>
      <c r="H22" s="35"/>
      <c r="I22" s="35"/>
      <c r="J22" s="35"/>
      <c r="K22" s="35"/>
      <c r="L22" s="35"/>
      <c r="M22" s="35"/>
      <c r="N22" s="35"/>
      <c r="O22" s="35"/>
      <c r="P22" s="35"/>
      <c r="Q22" s="35"/>
      <c r="R22" s="35"/>
      <c r="S22" s="35"/>
      <c r="T22" s="35"/>
      <c r="U22" s="35"/>
      <c r="V22" s="35"/>
      <c r="W22" s="35"/>
      <c r="X22" s="35"/>
      <c r="Y22" s="35"/>
    </row>
    <row r="23" spans="1:25">
      <c r="A23" s="35"/>
      <c r="B23" s="35"/>
      <c r="C23" s="35"/>
      <c r="D23" s="35"/>
      <c r="E23" s="35"/>
      <c r="F23" s="35"/>
      <c r="G23" s="35"/>
      <c r="H23" s="35"/>
      <c r="I23" s="35"/>
      <c r="J23" s="35"/>
      <c r="K23" s="35"/>
      <c r="L23" s="35"/>
      <c r="M23" s="35"/>
      <c r="N23" s="35"/>
      <c r="O23" s="35"/>
      <c r="P23" s="35"/>
      <c r="Q23" s="35"/>
      <c r="R23" s="35"/>
      <c r="S23" s="35"/>
      <c r="T23" s="35"/>
      <c r="U23" s="35"/>
      <c r="V23" s="35"/>
      <c r="W23" s="35"/>
      <c r="X23" s="35"/>
      <c r="Y23" s="35"/>
    </row>
    <row r="24" spans="1:25">
      <c r="A24" s="35"/>
      <c r="B24" s="35"/>
      <c r="C24" s="35"/>
      <c r="D24" s="35"/>
      <c r="E24" s="35"/>
      <c r="F24" s="35"/>
      <c r="G24" s="35"/>
      <c r="H24" s="35"/>
      <c r="I24" s="35"/>
      <c r="J24" s="35"/>
      <c r="K24" s="35"/>
      <c r="L24" s="35"/>
      <c r="M24" s="35"/>
      <c r="N24" s="35"/>
      <c r="O24" s="35"/>
      <c r="P24" s="35"/>
      <c r="Q24" s="35"/>
      <c r="R24" s="35"/>
      <c r="S24" s="35"/>
      <c r="T24" s="35"/>
      <c r="U24" s="35"/>
      <c r="V24" s="35"/>
      <c r="W24" s="35"/>
      <c r="X24" s="35"/>
      <c r="Y24" s="35"/>
    </row>
    <row r="25" spans="1:25">
      <c r="A25" s="35"/>
      <c r="B25" s="35"/>
      <c r="C25" s="35"/>
      <c r="D25" s="35"/>
      <c r="E25" s="35"/>
      <c r="F25" s="35"/>
      <c r="G25" s="35"/>
      <c r="H25" s="35"/>
      <c r="I25" s="35"/>
      <c r="J25" s="35"/>
      <c r="K25" s="35"/>
      <c r="L25" s="35"/>
      <c r="M25" s="35"/>
      <c r="N25" s="35"/>
      <c r="O25" s="35"/>
      <c r="P25" s="35"/>
      <c r="Q25" s="35"/>
      <c r="R25" s="35"/>
      <c r="S25" s="35"/>
      <c r="T25" s="35"/>
      <c r="U25" s="35"/>
      <c r="V25" s="35"/>
      <c r="W25" s="35"/>
      <c r="X25" s="35"/>
      <c r="Y25" s="35"/>
    </row>
    <row r="26" spans="1:25">
      <c r="A26" s="35"/>
      <c r="B26" s="35"/>
      <c r="C26" s="35"/>
      <c r="D26" s="35"/>
      <c r="E26" s="35"/>
      <c r="F26" s="35"/>
      <c r="G26" s="35"/>
      <c r="H26" s="35"/>
      <c r="I26" s="35"/>
      <c r="J26" s="35"/>
      <c r="K26" s="35"/>
      <c r="L26" s="35"/>
      <c r="M26" s="35"/>
      <c r="N26" s="35"/>
      <c r="O26" s="35"/>
      <c r="P26" s="35"/>
      <c r="Q26" s="35"/>
      <c r="R26" s="35"/>
      <c r="S26" s="35"/>
      <c r="T26" s="35"/>
      <c r="U26" s="35"/>
      <c r="V26" s="35"/>
      <c r="W26" s="35"/>
      <c r="X26" s="35"/>
      <c r="Y26" s="35"/>
    </row>
    <row r="27" spans="1:25">
      <c r="A27" s="35"/>
      <c r="B27" s="35"/>
      <c r="C27" s="35"/>
      <c r="D27" s="35"/>
      <c r="E27" s="35"/>
      <c r="F27" s="35"/>
      <c r="G27" s="35"/>
      <c r="H27" s="35"/>
      <c r="I27" s="35"/>
      <c r="J27" s="35"/>
      <c r="K27" s="35"/>
      <c r="L27" s="35"/>
      <c r="M27" s="35"/>
      <c r="N27" s="35"/>
      <c r="O27" s="35"/>
      <c r="P27" s="35"/>
      <c r="Q27" s="35"/>
      <c r="R27" s="35"/>
      <c r="S27" s="35"/>
      <c r="T27" s="35"/>
      <c r="U27" s="35"/>
      <c r="V27" s="35"/>
      <c r="W27" s="35"/>
      <c r="X27" s="35"/>
      <c r="Y27" s="35"/>
    </row>
    <row r="28" spans="1:25">
      <c r="A28" s="35"/>
      <c r="B28" s="35"/>
      <c r="C28" s="35"/>
      <c r="D28" s="35"/>
      <c r="E28" s="35"/>
      <c r="F28" s="35"/>
      <c r="G28" s="35"/>
      <c r="H28" s="35"/>
      <c r="I28" s="35"/>
      <c r="J28" s="35"/>
      <c r="K28" s="35"/>
      <c r="L28" s="35"/>
      <c r="M28" s="35"/>
      <c r="N28" s="35"/>
      <c r="O28" s="35"/>
      <c r="P28" s="35"/>
      <c r="Q28" s="35"/>
      <c r="R28" s="35"/>
      <c r="S28" s="35"/>
      <c r="T28" s="35"/>
      <c r="U28" s="35"/>
      <c r="V28" s="35"/>
      <c r="W28" s="35"/>
      <c r="X28" s="35"/>
      <c r="Y28" s="35"/>
    </row>
    <row r="29" spans="1:25">
      <c r="A29" s="35"/>
      <c r="B29" s="35"/>
      <c r="C29" s="35"/>
      <c r="D29" s="35"/>
      <c r="E29" s="35"/>
      <c r="F29" s="35"/>
      <c r="G29" s="35"/>
      <c r="H29" s="35"/>
      <c r="I29" s="35"/>
      <c r="J29" s="35"/>
      <c r="K29" s="35"/>
      <c r="L29" s="35"/>
      <c r="M29" s="35"/>
      <c r="N29" s="35"/>
      <c r="O29" s="35"/>
      <c r="P29" s="35"/>
      <c r="Q29" s="35"/>
      <c r="R29" s="35"/>
      <c r="S29" s="35"/>
      <c r="T29" s="35"/>
      <c r="U29" s="35"/>
      <c r="V29" s="35"/>
      <c r="W29" s="35"/>
      <c r="X29" s="35"/>
      <c r="Y29" s="35"/>
    </row>
    <row r="30" spans="1:25">
      <c r="A30" s="35"/>
      <c r="B30" s="35"/>
      <c r="C30" s="35"/>
      <c r="D30" s="35"/>
      <c r="E30" s="35"/>
      <c r="F30" s="35"/>
      <c r="G30" s="35"/>
      <c r="H30" s="35"/>
      <c r="I30" s="35"/>
      <c r="J30" s="35"/>
      <c r="K30" s="35"/>
      <c r="L30" s="35"/>
      <c r="M30" s="35"/>
      <c r="N30" s="35"/>
      <c r="O30" s="35"/>
      <c r="P30" s="35"/>
      <c r="Q30" s="35"/>
      <c r="R30" s="35"/>
      <c r="S30" s="35"/>
      <c r="T30" s="35"/>
      <c r="U30" s="35"/>
      <c r="V30" s="35"/>
      <c r="W30" s="35"/>
      <c r="X30" s="35"/>
      <c r="Y30" s="35"/>
    </row>
    <row r="31" spans="1:25">
      <c r="A31" s="35"/>
      <c r="B31" s="35"/>
      <c r="C31" s="35"/>
      <c r="D31" s="35"/>
      <c r="E31" s="35"/>
      <c r="F31" s="35"/>
      <c r="G31" s="35"/>
      <c r="H31" s="35"/>
      <c r="I31" s="35"/>
      <c r="J31" s="35"/>
      <c r="K31" s="35"/>
      <c r="L31" s="35"/>
      <c r="M31" s="35"/>
      <c r="N31" s="35"/>
      <c r="O31" s="35"/>
      <c r="P31" s="35"/>
      <c r="Q31" s="35"/>
      <c r="R31" s="35"/>
      <c r="S31" s="35"/>
      <c r="T31" s="35"/>
      <c r="U31" s="35"/>
      <c r="V31" s="35"/>
      <c r="W31" s="35"/>
      <c r="X31" s="35"/>
      <c r="Y31" s="35"/>
    </row>
    <row r="32" spans="1:25">
      <c r="A32" s="35"/>
      <c r="B32" s="35"/>
      <c r="C32" s="35"/>
      <c r="D32" s="35"/>
      <c r="E32" s="35"/>
      <c r="F32" s="35"/>
      <c r="G32" s="35"/>
      <c r="H32" s="35"/>
      <c r="I32" s="35"/>
      <c r="J32" s="35"/>
      <c r="K32" s="35"/>
      <c r="L32" s="35"/>
      <c r="M32" s="35"/>
      <c r="N32" s="35"/>
      <c r="O32" s="35"/>
      <c r="P32" s="35"/>
      <c r="Q32" s="35"/>
      <c r="R32" s="35"/>
      <c r="S32" s="35"/>
      <c r="T32" s="35"/>
      <c r="U32" s="35"/>
      <c r="V32" s="35"/>
      <c r="W32" s="35"/>
      <c r="X32" s="35"/>
      <c r="Y32" s="35"/>
    </row>
    <row r="33" spans="1:25">
      <c r="A33" s="35"/>
      <c r="B33" s="35"/>
      <c r="C33" s="35"/>
      <c r="D33" s="35"/>
      <c r="E33" s="35"/>
      <c r="F33" s="35"/>
      <c r="G33" s="35"/>
      <c r="H33" s="35"/>
      <c r="I33" s="35"/>
      <c r="J33" s="35"/>
      <c r="K33" s="35"/>
      <c r="L33" s="35"/>
      <c r="M33" s="35"/>
      <c r="N33" s="35"/>
      <c r="O33" s="35"/>
      <c r="P33" s="35"/>
      <c r="Q33" s="35"/>
      <c r="R33" s="35"/>
      <c r="S33" s="35"/>
      <c r="T33" s="35"/>
      <c r="U33" s="35"/>
      <c r="V33" s="35"/>
      <c r="W33" s="35"/>
      <c r="X33" s="35"/>
      <c r="Y33" s="35"/>
    </row>
    <row r="34" spans="1:25">
      <c r="A34" s="35"/>
      <c r="B34" s="35"/>
      <c r="C34" s="35"/>
      <c r="D34" s="35"/>
      <c r="E34" s="35"/>
      <c r="F34" s="35"/>
      <c r="G34" s="35"/>
      <c r="H34" s="35"/>
      <c r="I34" s="35"/>
      <c r="J34" s="35"/>
      <c r="K34" s="35"/>
      <c r="L34" s="35"/>
      <c r="M34" s="35"/>
      <c r="N34" s="35"/>
      <c r="O34" s="35"/>
      <c r="P34" s="35"/>
      <c r="Q34" s="35"/>
      <c r="R34" s="35"/>
      <c r="S34" s="35"/>
      <c r="T34" s="35"/>
      <c r="U34" s="35"/>
      <c r="V34" s="35"/>
      <c r="W34" s="35"/>
      <c r="X34" s="35"/>
      <c r="Y34" s="35"/>
    </row>
    <row r="35" spans="1:25">
      <c r="A35" s="35"/>
      <c r="B35" s="35"/>
      <c r="C35" s="35"/>
      <c r="D35" s="35"/>
      <c r="E35" s="35"/>
      <c r="F35" s="35"/>
      <c r="G35" s="35"/>
      <c r="H35" s="35"/>
      <c r="I35" s="35"/>
      <c r="J35" s="35"/>
      <c r="K35" s="35"/>
      <c r="L35" s="35"/>
      <c r="M35" s="35"/>
      <c r="N35" s="35"/>
      <c r="O35" s="35"/>
      <c r="P35" s="35"/>
      <c r="Q35" s="35"/>
      <c r="R35" s="35"/>
      <c r="S35" s="35"/>
      <c r="T35" s="35"/>
      <c r="U35" s="35"/>
      <c r="V35" s="35"/>
      <c r="W35" s="35"/>
      <c r="X35" s="35"/>
      <c r="Y35" s="35"/>
    </row>
    <row r="36" spans="1:25">
      <c r="A36" s="35"/>
      <c r="B36" s="35"/>
      <c r="C36" s="35"/>
      <c r="D36" s="35"/>
      <c r="E36" s="35"/>
      <c r="F36" s="35"/>
      <c r="G36" s="35"/>
      <c r="H36" s="35"/>
      <c r="I36" s="35"/>
      <c r="J36" s="35"/>
      <c r="K36" s="35"/>
      <c r="L36" s="35"/>
      <c r="M36" s="35"/>
      <c r="N36" s="35"/>
      <c r="O36" s="35"/>
      <c r="P36" s="35"/>
      <c r="Q36" s="35"/>
      <c r="R36" s="35"/>
      <c r="S36" s="35"/>
      <c r="T36" s="35"/>
      <c r="U36" s="35"/>
      <c r="V36" s="35"/>
      <c r="W36" s="35"/>
      <c r="X36" s="35"/>
      <c r="Y36" s="35"/>
    </row>
    <row r="37" spans="1:25">
      <c r="A37" s="35"/>
      <c r="B37" s="35"/>
      <c r="C37" s="35"/>
      <c r="D37" s="35"/>
      <c r="E37" s="35"/>
      <c r="F37" s="35"/>
      <c r="G37" s="35"/>
      <c r="H37" s="35"/>
      <c r="I37" s="35"/>
      <c r="J37" s="35"/>
      <c r="K37" s="35"/>
      <c r="L37" s="35"/>
      <c r="M37" s="35"/>
      <c r="N37" s="35"/>
      <c r="O37" s="35"/>
      <c r="P37" s="35"/>
      <c r="Q37" s="35"/>
      <c r="R37" s="35"/>
      <c r="S37" s="35"/>
      <c r="T37" s="35"/>
      <c r="U37" s="35"/>
      <c r="V37" s="35"/>
      <c r="W37" s="35"/>
      <c r="X37" s="35"/>
      <c r="Y37" s="35"/>
    </row>
    <row r="38" spans="1:25">
      <c r="A38" s="35"/>
      <c r="B38" s="35"/>
      <c r="C38" s="35"/>
      <c r="D38" s="35"/>
      <c r="E38" s="35"/>
      <c r="F38" s="35"/>
      <c r="G38" s="35"/>
      <c r="H38" s="35"/>
      <c r="I38" s="35"/>
      <c r="J38" s="35"/>
      <c r="K38" s="35"/>
      <c r="L38" s="35"/>
      <c r="M38" s="35"/>
      <c r="N38" s="35"/>
      <c r="O38" s="35"/>
      <c r="P38" s="35"/>
      <c r="Q38" s="35"/>
      <c r="R38" s="35"/>
      <c r="S38" s="35"/>
      <c r="T38" s="35"/>
      <c r="U38" s="35"/>
      <c r="V38" s="35"/>
      <c r="W38" s="35"/>
      <c r="X38" s="35"/>
      <c r="Y38" s="35"/>
    </row>
    <row r="39" spans="1:25">
      <c r="A39" s="35"/>
      <c r="B39" s="35"/>
      <c r="C39" s="35"/>
      <c r="D39" s="35"/>
      <c r="E39" s="35"/>
      <c r="F39" s="35"/>
      <c r="G39" s="35"/>
      <c r="H39" s="35"/>
      <c r="I39" s="35"/>
      <c r="J39" s="35"/>
      <c r="K39" s="35"/>
      <c r="L39" s="35"/>
      <c r="M39" s="35"/>
      <c r="N39" s="35"/>
      <c r="O39" s="35"/>
      <c r="P39" s="35"/>
      <c r="Q39" s="35"/>
      <c r="R39" s="35"/>
      <c r="S39" s="35"/>
      <c r="T39" s="35"/>
      <c r="U39" s="35"/>
      <c r="V39" s="35"/>
      <c r="W39" s="35"/>
      <c r="X39" s="35"/>
      <c r="Y39" s="35"/>
    </row>
    <row r="40" spans="1:25">
      <c r="A40" s="35"/>
      <c r="B40" s="35"/>
      <c r="C40" s="35"/>
      <c r="D40" s="35"/>
      <c r="E40" s="35"/>
      <c r="F40" s="35"/>
      <c r="G40" s="35"/>
      <c r="H40" s="35"/>
      <c r="I40" s="35"/>
      <c r="J40" s="35"/>
      <c r="K40" s="35"/>
      <c r="L40" s="35"/>
      <c r="M40" s="35"/>
      <c r="N40" s="35"/>
      <c r="O40" s="35"/>
      <c r="P40" s="35"/>
      <c r="Q40" s="35"/>
      <c r="R40" s="35"/>
      <c r="S40" s="35"/>
      <c r="T40" s="35"/>
      <c r="U40" s="35"/>
      <c r="V40" s="35"/>
      <c r="W40" s="35"/>
      <c r="X40" s="35"/>
      <c r="Y40" s="35"/>
    </row>
    <row r="41" spans="1:25">
      <c r="A41" s="35"/>
      <c r="B41" s="35"/>
      <c r="C41" s="35"/>
      <c r="D41" s="35"/>
      <c r="E41" s="35"/>
      <c r="F41" s="35"/>
      <c r="G41" s="35"/>
      <c r="H41" s="35"/>
      <c r="I41" s="35"/>
      <c r="J41" s="35"/>
      <c r="K41" s="35"/>
      <c r="L41" s="35"/>
      <c r="M41" s="35"/>
      <c r="N41" s="35"/>
      <c r="O41" s="35"/>
      <c r="P41" s="35"/>
      <c r="Q41" s="35"/>
      <c r="R41" s="35"/>
      <c r="S41" s="35"/>
      <c r="T41" s="35"/>
      <c r="U41" s="35"/>
      <c r="V41" s="35"/>
      <c r="W41" s="35"/>
      <c r="X41" s="35"/>
      <c r="Y41" s="35"/>
    </row>
    <row r="42" spans="1:25">
      <c r="A42" s="35"/>
      <c r="B42" s="35"/>
      <c r="C42" s="35"/>
      <c r="D42" s="35"/>
      <c r="E42" s="35"/>
      <c r="F42" s="35"/>
      <c r="G42" s="35"/>
      <c r="H42" s="35"/>
      <c r="I42" s="35"/>
      <c r="J42" s="35"/>
      <c r="K42" s="35"/>
      <c r="L42" s="35"/>
      <c r="M42" s="35"/>
      <c r="N42" s="35"/>
      <c r="O42" s="35"/>
      <c r="P42" s="35"/>
      <c r="Q42" s="35"/>
      <c r="R42" s="35"/>
      <c r="S42" s="35"/>
      <c r="T42" s="35"/>
      <c r="U42" s="35"/>
      <c r="V42" s="35"/>
      <c r="W42" s="35"/>
      <c r="X42" s="35"/>
      <c r="Y42" s="35"/>
    </row>
    <row r="43" spans="1:25">
      <c r="A43" s="35"/>
      <c r="B43" s="35"/>
      <c r="C43" s="35"/>
      <c r="D43" s="35"/>
      <c r="E43" s="35"/>
      <c r="F43" s="35"/>
      <c r="G43" s="35"/>
      <c r="H43" s="35"/>
      <c r="I43" s="35"/>
      <c r="J43" s="35"/>
      <c r="K43" s="35"/>
      <c r="L43" s="35"/>
      <c r="M43" s="35"/>
      <c r="N43" s="35"/>
      <c r="O43" s="35"/>
      <c r="P43" s="35"/>
      <c r="Q43" s="35"/>
      <c r="R43" s="35"/>
      <c r="S43" s="35"/>
      <c r="T43" s="35"/>
      <c r="U43" s="35"/>
      <c r="V43" s="35"/>
      <c r="W43" s="35"/>
      <c r="X43" s="35"/>
      <c r="Y43" s="35"/>
    </row>
    <row r="44" spans="1:25">
      <c r="A44" s="35"/>
      <c r="B44" s="35"/>
      <c r="C44" s="35"/>
      <c r="D44" s="35"/>
      <c r="E44" s="35"/>
      <c r="F44" s="35"/>
      <c r="G44" s="35"/>
      <c r="H44" s="35"/>
      <c r="I44" s="35"/>
      <c r="J44" s="35"/>
      <c r="K44" s="35"/>
      <c r="L44" s="35"/>
      <c r="M44" s="35"/>
      <c r="N44" s="35"/>
      <c r="O44" s="35"/>
      <c r="P44" s="35"/>
      <c r="Q44" s="35"/>
      <c r="R44" s="35"/>
      <c r="S44" s="35"/>
      <c r="T44" s="35"/>
      <c r="U44" s="35"/>
      <c r="V44" s="35"/>
      <c r="W44" s="35"/>
      <c r="X44" s="35"/>
      <c r="Y44" s="35"/>
    </row>
    <row r="45" spans="1:25">
      <c r="A45" s="35"/>
      <c r="B45" s="35"/>
      <c r="C45" s="35"/>
      <c r="D45" s="35"/>
      <c r="E45" s="35"/>
      <c r="F45" s="35"/>
      <c r="G45" s="35"/>
      <c r="H45" s="35"/>
      <c r="I45" s="35"/>
      <c r="J45" s="35"/>
      <c r="K45" s="35"/>
      <c r="L45" s="35"/>
      <c r="M45" s="35"/>
      <c r="N45" s="35"/>
      <c r="O45" s="35"/>
      <c r="P45" s="35"/>
      <c r="Q45" s="35"/>
      <c r="R45" s="35"/>
      <c r="S45" s="35"/>
      <c r="T45" s="35"/>
      <c r="U45" s="35"/>
      <c r="V45" s="35"/>
      <c r="W45" s="35"/>
      <c r="X45" s="35"/>
      <c r="Y45" s="35"/>
    </row>
    <row r="46" spans="1:25">
      <c r="A46" s="35"/>
      <c r="B46" s="35"/>
      <c r="C46" s="35"/>
      <c r="D46" s="35"/>
      <c r="E46" s="35"/>
      <c r="F46" s="35"/>
      <c r="G46" s="35"/>
      <c r="H46" s="35"/>
      <c r="I46" s="35"/>
      <c r="J46" s="35"/>
      <c r="K46" s="35"/>
      <c r="L46" s="35"/>
      <c r="M46" s="35"/>
      <c r="N46" s="35"/>
      <c r="O46" s="35"/>
      <c r="P46" s="35"/>
      <c r="Q46" s="35"/>
      <c r="R46" s="35"/>
      <c r="S46" s="35"/>
      <c r="T46" s="35"/>
      <c r="U46" s="35"/>
      <c r="V46" s="35"/>
      <c r="W46" s="35"/>
      <c r="X46" s="35"/>
      <c r="Y46" s="35"/>
    </row>
    <row r="47" spans="1:25">
      <c r="A47" s="35"/>
      <c r="B47" s="35"/>
      <c r="C47" s="35"/>
      <c r="D47" s="35"/>
      <c r="E47" s="35"/>
      <c r="F47" s="35"/>
      <c r="G47" s="35"/>
      <c r="H47" s="35"/>
      <c r="I47" s="35"/>
      <c r="J47" s="35"/>
      <c r="K47" s="35"/>
      <c r="L47" s="35"/>
      <c r="M47" s="35"/>
      <c r="N47" s="35"/>
      <c r="O47" s="35"/>
      <c r="P47" s="35"/>
      <c r="Q47" s="35"/>
      <c r="R47" s="35"/>
      <c r="S47" s="35"/>
      <c r="T47" s="35"/>
      <c r="U47" s="35"/>
      <c r="V47" s="35"/>
      <c r="W47" s="35"/>
      <c r="X47" s="35"/>
      <c r="Y47" s="35"/>
    </row>
    <row r="48" spans="1:25">
      <c r="A48" s="35"/>
      <c r="B48" s="35"/>
      <c r="C48" s="35"/>
      <c r="D48" s="35"/>
      <c r="E48" s="35"/>
      <c r="F48" s="35"/>
      <c r="G48" s="35"/>
      <c r="H48" s="35"/>
      <c r="I48" s="35"/>
      <c r="J48" s="35"/>
      <c r="K48" s="35"/>
      <c r="L48" s="35"/>
      <c r="M48" s="35"/>
      <c r="N48" s="35"/>
      <c r="O48" s="35"/>
      <c r="P48" s="35"/>
      <c r="Q48" s="35"/>
      <c r="R48" s="35"/>
      <c r="S48" s="35"/>
      <c r="T48" s="35"/>
      <c r="U48" s="35"/>
      <c r="V48" s="35"/>
      <c r="W48" s="35"/>
      <c r="X48" s="35"/>
      <c r="Y48" s="35"/>
    </row>
    <row r="49" spans="1:25">
      <c r="A49" s="35"/>
      <c r="B49" s="35"/>
      <c r="C49" s="35"/>
      <c r="D49" s="35"/>
      <c r="E49" s="35"/>
      <c r="F49" s="35"/>
      <c r="G49" s="35"/>
      <c r="H49" s="35"/>
      <c r="I49" s="35"/>
      <c r="J49" s="35"/>
      <c r="K49" s="35"/>
      <c r="L49" s="35"/>
      <c r="M49" s="35"/>
      <c r="N49" s="35"/>
      <c r="O49" s="35"/>
      <c r="P49" s="35"/>
      <c r="Q49" s="35"/>
      <c r="R49" s="35"/>
      <c r="S49" s="35"/>
      <c r="T49" s="35"/>
      <c r="U49" s="35"/>
      <c r="V49" s="35"/>
      <c r="W49" s="35"/>
      <c r="X49" s="35"/>
      <c r="Y49" s="35"/>
    </row>
    <row r="50" spans="1:25">
      <c r="A50" s="35"/>
      <c r="B50" s="35"/>
      <c r="C50" s="35"/>
      <c r="D50" s="35"/>
      <c r="E50" s="35"/>
      <c r="F50" s="35"/>
      <c r="G50" s="35"/>
      <c r="H50" s="35"/>
      <c r="I50" s="35"/>
      <c r="J50" s="35"/>
      <c r="K50" s="35"/>
      <c r="L50" s="35"/>
      <c r="M50" s="35"/>
      <c r="N50" s="35"/>
      <c r="O50" s="35"/>
      <c r="P50" s="35"/>
      <c r="Q50" s="35"/>
      <c r="R50" s="35"/>
      <c r="S50" s="35"/>
      <c r="T50" s="35"/>
      <c r="U50" s="35"/>
      <c r="V50" s="35"/>
      <c r="W50" s="35"/>
      <c r="X50" s="35"/>
      <c r="Y50" s="35"/>
    </row>
    <row r="51" spans="1:25">
      <c r="A51" s="35"/>
      <c r="B51" s="35"/>
      <c r="C51" s="35"/>
      <c r="D51" s="35"/>
      <c r="E51" s="35"/>
      <c r="F51" s="35"/>
      <c r="G51" s="35"/>
      <c r="H51" s="35"/>
      <c r="I51" s="35"/>
      <c r="J51" s="35"/>
      <c r="K51" s="35"/>
      <c r="L51" s="35"/>
      <c r="M51" s="35"/>
      <c r="N51" s="35"/>
      <c r="O51" s="35"/>
      <c r="P51" s="35"/>
      <c r="Q51" s="35"/>
      <c r="R51" s="35"/>
      <c r="S51" s="35"/>
      <c r="T51" s="35"/>
      <c r="U51" s="35"/>
      <c r="V51" s="35"/>
      <c r="W51" s="35"/>
      <c r="X51" s="35"/>
      <c r="Y51" s="35"/>
    </row>
    <row r="52" spans="1:25">
      <c r="A52" s="35"/>
      <c r="B52" s="35"/>
      <c r="C52" s="35"/>
      <c r="D52" s="35"/>
      <c r="E52" s="35"/>
      <c r="F52" s="35"/>
      <c r="G52" s="35"/>
      <c r="H52" s="35"/>
      <c r="I52" s="35"/>
      <c r="J52" s="35"/>
      <c r="K52" s="35"/>
      <c r="L52" s="35"/>
      <c r="M52" s="35"/>
      <c r="N52" s="35"/>
      <c r="O52" s="35"/>
      <c r="P52" s="35"/>
      <c r="Q52" s="35"/>
      <c r="R52" s="35"/>
      <c r="S52" s="35"/>
      <c r="T52" s="35"/>
      <c r="U52" s="35"/>
      <c r="V52" s="35"/>
      <c r="W52" s="35"/>
      <c r="X52" s="35"/>
      <c r="Y52" s="35"/>
    </row>
    <row r="53" spans="1:25">
      <c r="A53" s="35"/>
      <c r="B53" s="35"/>
      <c r="C53" s="35"/>
      <c r="D53" s="35"/>
      <c r="E53" s="35"/>
      <c r="F53" s="35"/>
      <c r="G53" s="35"/>
      <c r="H53" s="35"/>
      <c r="I53" s="35"/>
      <c r="J53" s="35"/>
      <c r="K53" s="35"/>
      <c r="L53" s="35"/>
      <c r="M53" s="35"/>
      <c r="N53" s="35"/>
      <c r="O53" s="35"/>
      <c r="P53" s="35"/>
      <c r="Q53" s="35"/>
      <c r="R53" s="35"/>
      <c r="S53" s="35"/>
      <c r="T53" s="35"/>
      <c r="U53" s="35"/>
      <c r="V53" s="35"/>
      <c r="W53" s="35"/>
      <c r="X53" s="35"/>
      <c r="Y53" s="35"/>
    </row>
    <row r="54" spans="1:25">
      <c r="A54" s="35"/>
      <c r="B54" s="35"/>
      <c r="C54" s="35"/>
      <c r="D54" s="35"/>
      <c r="E54" s="35"/>
      <c r="F54" s="35"/>
      <c r="G54" s="35"/>
      <c r="H54" s="35"/>
      <c r="I54" s="35"/>
      <c r="J54" s="35"/>
      <c r="K54" s="35"/>
      <c r="L54" s="35"/>
      <c r="M54" s="35"/>
      <c r="N54" s="35"/>
      <c r="O54" s="35"/>
      <c r="P54" s="35"/>
      <c r="Q54" s="35"/>
      <c r="R54" s="35"/>
      <c r="S54" s="35"/>
      <c r="T54" s="35"/>
      <c r="U54" s="35"/>
      <c r="V54" s="35"/>
      <c r="W54" s="35"/>
      <c r="X54" s="35"/>
      <c r="Y54" s="35"/>
    </row>
    <row r="55" spans="1:25">
      <c r="A55" s="35"/>
      <c r="B55" s="35"/>
      <c r="C55" s="35"/>
      <c r="D55" s="35"/>
      <c r="E55" s="35"/>
      <c r="F55" s="35"/>
      <c r="G55" s="35"/>
      <c r="H55" s="35"/>
      <c r="I55" s="35"/>
      <c r="J55" s="35"/>
      <c r="K55" s="35"/>
      <c r="L55" s="35"/>
      <c r="M55" s="35"/>
      <c r="N55" s="35"/>
      <c r="O55" s="35"/>
      <c r="P55" s="35"/>
      <c r="Q55" s="35"/>
      <c r="R55" s="35"/>
      <c r="S55" s="35"/>
      <c r="T55" s="35"/>
      <c r="U55" s="35"/>
      <c r="V55" s="35"/>
      <c r="W55" s="35"/>
      <c r="X55" s="35"/>
      <c r="Y55" s="35"/>
    </row>
    <row r="56" spans="1:25">
      <c r="A56" s="35"/>
      <c r="B56" s="35"/>
      <c r="C56" s="35"/>
      <c r="D56" s="35"/>
      <c r="E56" s="35"/>
      <c r="F56" s="35"/>
      <c r="G56" s="35"/>
      <c r="H56" s="35"/>
      <c r="I56" s="35"/>
      <c r="J56" s="35"/>
      <c r="K56" s="35"/>
      <c r="L56" s="35"/>
      <c r="M56" s="35"/>
      <c r="N56" s="35"/>
      <c r="O56" s="35"/>
      <c r="P56" s="35"/>
      <c r="Q56" s="35"/>
      <c r="R56" s="35"/>
      <c r="S56" s="35"/>
      <c r="T56" s="35"/>
      <c r="U56" s="35"/>
      <c r="V56" s="35"/>
      <c r="W56" s="35"/>
      <c r="X56" s="35"/>
      <c r="Y56" s="35"/>
    </row>
    <row r="57" spans="1:25">
      <c r="A57" s="35"/>
      <c r="B57" s="35"/>
      <c r="C57" s="35"/>
      <c r="D57" s="35"/>
      <c r="E57" s="35"/>
      <c r="F57" s="35"/>
      <c r="G57" s="35"/>
      <c r="H57" s="35"/>
      <c r="I57" s="35"/>
      <c r="J57" s="35"/>
      <c r="K57" s="35"/>
      <c r="L57" s="35"/>
      <c r="M57" s="35"/>
      <c r="N57" s="35"/>
      <c r="O57" s="35"/>
      <c r="P57" s="35"/>
      <c r="Q57" s="35"/>
      <c r="R57" s="35"/>
      <c r="S57" s="35"/>
      <c r="T57" s="35"/>
      <c r="U57" s="35"/>
      <c r="V57" s="35"/>
      <c r="W57" s="35"/>
      <c r="X57" s="35"/>
      <c r="Y57" s="35"/>
    </row>
    <row r="58" spans="1:25">
      <c r="A58" s="35"/>
      <c r="B58" s="35"/>
      <c r="C58" s="35"/>
      <c r="D58" s="35"/>
      <c r="E58" s="35"/>
      <c r="F58" s="35"/>
      <c r="G58" s="35"/>
      <c r="H58" s="35"/>
      <c r="I58" s="35"/>
      <c r="J58" s="35"/>
      <c r="K58" s="35"/>
      <c r="L58" s="35"/>
      <c r="M58" s="35"/>
      <c r="N58" s="35"/>
      <c r="O58" s="35"/>
      <c r="P58" s="35"/>
      <c r="Q58" s="35"/>
      <c r="R58" s="35"/>
      <c r="S58" s="35"/>
      <c r="T58" s="35"/>
      <c r="U58" s="35"/>
      <c r="V58" s="35"/>
      <c r="W58" s="35"/>
      <c r="X58" s="35"/>
      <c r="Y58" s="35"/>
    </row>
    <row r="59" spans="1:25">
      <c r="A59" s="35"/>
      <c r="B59" s="35"/>
      <c r="C59" s="35"/>
      <c r="D59" s="35"/>
      <c r="E59" s="35"/>
      <c r="F59" s="35"/>
      <c r="G59" s="35"/>
      <c r="H59" s="35"/>
      <c r="I59" s="35"/>
      <c r="J59" s="35"/>
      <c r="K59" s="35"/>
      <c r="L59" s="35"/>
      <c r="M59" s="35"/>
      <c r="N59" s="35"/>
      <c r="O59" s="35"/>
      <c r="P59" s="35"/>
      <c r="Q59" s="35"/>
      <c r="R59" s="35"/>
      <c r="S59" s="35"/>
      <c r="T59" s="35"/>
      <c r="U59" s="35"/>
      <c r="V59" s="35"/>
      <c r="W59" s="35"/>
      <c r="X59" s="35"/>
      <c r="Y59" s="35"/>
    </row>
    <row r="60" spans="1:25">
      <c r="A60" s="35"/>
      <c r="B60" s="35"/>
      <c r="C60" s="35"/>
      <c r="D60" s="35"/>
      <c r="E60" s="35"/>
      <c r="F60" s="35"/>
      <c r="G60" s="35"/>
      <c r="H60" s="35"/>
      <c r="I60" s="35"/>
      <c r="J60" s="35"/>
      <c r="K60" s="35"/>
      <c r="L60" s="35"/>
      <c r="M60" s="35"/>
      <c r="N60" s="35"/>
      <c r="O60" s="35"/>
      <c r="P60" s="35"/>
      <c r="Q60" s="35"/>
      <c r="R60" s="35"/>
      <c r="S60" s="35"/>
      <c r="T60" s="35"/>
      <c r="U60" s="35"/>
      <c r="V60" s="35"/>
      <c r="W60" s="35"/>
      <c r="X60" s="35"/>
      <c r="Y60" s="35"/>
    </row>
    <row r="61" spans="1:25">
      <c r="A61" s="35"/>
      <c r="B61" s="35"/>
      <c r="C61" s="35"/>
      <c r="D61" s="35"/>
      <c r="E61" s="35"/>
      <c r="F61" s="35"/>
      <c r="G61" s="35"/>
      <c r="H61" s="35"/>
      <c r="I61" s="35"/>
      <c r="J61" s="35"/>
      <c r="K61" s="35"/>
      <c r="L61" s="35"/>
      <c r="M61" s="35"/>
      <c r="N61" s="35"/>
      <c r="O61" s="35"/>
      <c r="P61" s="35"/>
      <c r="Q61" s="35"/>
      <c r="R61" s="35"/>
      <c r="S61" s="35"/>
      <c r="T61" s="35"/>
      <c r="U61" s="35"/>
      <c r="V61" s="35"/>
      <c r="W61" s="35"/>
      <c r="X61" s="35"/>
      <c r="Y61" s="35"/>
    </row>
    <row r="62" spans="1:25">
      <c r="A62" s="35"/>
      <c r="B62" s="35"/>
      <c r="C62" s="35"/>
      <c r="D62" s="35"/>
      <c r="E62" s="35"/>
      <c r="F62" s="35"/>
      <c r="G62" s="35"/>
      <c r="H62" s="35"/>
      <c r="I62" s="35"/>
      <c r="J62" s="35"/>
      <c r="K62" s="35"/>
      <c r="L62" s="35"/>
      <c r="M62" s="35"/>
      <c r="N62" s="35"/>
      <c r="O62" s="35"/>
      <c r="P62" s="35"/>
      <c r="Q62" s="35"/>
      <c r="R62" s="35"/>
      <c r="S62" s="35"/>
      <c r="T62" s="35"/>
      <c r="U62" s="35"/>
      <c r="V62" s="35"/>
      <c r="W62" s="35"/>
      <c r="X62" s="35"/>
      <c r="Y62" s="35"/>
    </row>
    <row r="63" spans="1:25">
      <c r="A63" s="35"/>
      <c r="B63" s="35"/>
      <c r="C63" s="35"/>
      <c r="D63" s="35"/>
      <c r="E63" s="35"/>
      <c r="F63" s="35"/>
      <c r="G63" s="35"/>
      <c r="H63" s="35"/>
      <c r="I63" s="35"/>
      <c r="J63" s="35"/>
      <c r="K63" s="35"/>
      <c r="L63" s="35"/>
      <c r="M63" s="35"/>
      <c r="N63" s="35"/>
      <c r="O63" s="35"/>
      <c r="P63" s="35"/>
      <c r="Q63" s="35"/>
      <c r="R63" s="35"/>
      <c r="S63" s="35"/>
      <c r="T63" s="35"/>
      <c r="U63" s="35"/>
      <c r="V63" s="35"/>
      <c r="W63" s="35"/>
      <c r="X63" s="35"/>
      <c r="Y63" s="35"/>
    </row>
    <row r="64" spans="1:25">
      <c r="A64" s="35"/>
      <c r="B64" s="35"/>
      <c r="C64" s="35"/>
      <c r="D64" s="35"/>
      <c r="E64" s="35"/>
      <c r="F64" s="35"/>
      <c r="G64" s="35"/>
      <c r="H64" s="35"/>
      <c r="I64" s="35"/>
      <c r="J64" s="35"/>
      <c r="K64" s="35"/>
      <c r="L64" s="35"/>
      <c r="M64" s="35"/>
      <c r="N64" s="35"/>
      <c r="O64" s="35"/>
      <c r="P64" s="35"/>
      <c r="Q64" s="35"/>
      <c r="R64" s="35"/>
      <c r="S64" s="35"/>
      <c r="T64" s="35"/>
      <c r="U64" s="35"/>
      <c r="V64" s="35"/>
      <c r="W64" s="35"/>
      <c r="X64" s="35"/>
      <c r="Y64" s="35"/>
    </row>
    <row r="65" spans="1:25">
      <c r="A65" s="35"/>
      <c r="B65" s="35"/>
      <c r="C65" s="35"/>
      <c r="D65" s="35"/>
      <c r="E65" s="35"/>
      <c r="F65" s="35"/>
      <c r="G65" s="35"/>
      <c r="H65" s="35"/>
      <c r="I65" s="35"/>
      <c r="J65" s="35"/>
      <c r="K65" s="35"/>
      <c r="L65" s="35"/>
      <c r="M65" s="35"/>
      <c r="N65" s="35"/>
      <c r="O65" s="35"/>
      <c r="P65" s="35"/>
      <c r="Q65" s="35"/>
      <c r="R65" s="35"/>
      <c r="S65" s="35"/>
      <c r="T65" s="35"/>
      <c r="U65" s="35"/>
      <c r="V65" s="35"/>
      <c r="W65" s="35"/>
      <c r="X65" s="35"/>
      <c r="Y65" s="35"/>
    </row>
    <row r="66" spans="1:25">
      <c r="A66" s="35"/>
      <c r="B66" s="35"/>
      <c r="C66" s="35"/>
      <c r="D66" s="35"/>
      <c r="E66" s="35"/>
      <c r="F66" s="35"/>
      <c r="G66" s="35"/>
      <c r="H66" s="35"/>
      <c r="I66" s="35"/>
      <c r="J66" s="35"/>
      <c r="K66" s="35"/>
      <c r="L66" s="35"/>
      <c r="M66" s="35"/>
      <c r="N66" s="35"/>
      <c r="O66" s="35"/>
      <c r="P66" s="35"/>
      <c r="Q66" s="35"/>
      <c r="R66" s="35"/>
      <c r="S66" s="35"/>
      <c r="T66" s="35"/>
      <c r="U66" s="35"/>
      <c r="V66" s="35"/>
      <c r="W66" s="35"/>
      <c r="X66" s="35"/>
      <c r="Y66" s="35"/>
    </row>
    <row r="67" spans="1:25">
      <c r="A67" s="35"/>
      <c r="B67" s="35"/>
      <c r="C67" s="35"/>
      <c r="D67" s="35"/>
      <c r="E67" s="35"/>
      <c r="F67" s="35"/>
      <c r="G67" s="35"/>
      <c r="H67" s="35"/>
      <c r="I67" s="35"/>
      <c r="J67" s="35"/>
      <c r="K67" s="35"/>
      <c r="L67" s="35"/>
      <c r="M67" s="35"/>
      <c r="N67" s="35"/>
      <c r="O67" s="35"/>
      <c r="P67" s="35"/>
      <c r="Q67" s="35"/>
      <c r="R67" s="35"/>
      <c r="S67" s="35"/>
      <c r="T67" s="35"/>
      <c r="U67" s="35"/>
      <c r="V67" s="35"/>
      <c r="W67" s="35"/>
      <c r="X67" s="35"/>
      <c r="Y67" s="35"/>
    </row>
    <row r="68" spans="1:25">
      <c r="A68" s="35"/>
      <c r="B68" s="35"/>
      <c r="C68" s="35"/>
      <c r="D68" s="35"/>
      <c r="E68" s="35"/>
      <c r="F68" s="35"/>
      <c r="G68" s="35"/>
      <c r="H68" s="35"/>
      <c r="I68" s="35"/>
      <c r="J68" s="35"/>
      <c r="K68" s="35"/>
      <c r="L68" s="35"/>
      <c r="M68" s="35"/>
      <c r="N68" s="35"/>
      <c r="O68" s="35"/>
      <c r="P68" s="35"/>
      <c r="Q68" s="35"/>
      <c r="R68" s="35"/>
      <c r="S68" s="35"/>
      <c r="T68" s="35"/>
      <c r="U68" s="35"/>
      <c r="V68" s="35"/>
      <c r="W68" s="35"/>
      <c r="X68" s="35"/>
      <c r="Y68" s="35"/>
    </row>
    <row r="69" spans="1:25">
      <c r="A69" s="35"/>
      <c r="B69" s="35"/>
      <c r="C69" s="35"/>
      <c r="D69" s="35"/>
      <c r="E69" s="35"/>
      <c r="F69" s="35"/>
      <c r="G69" s="35"/>
      <c r="H69" s="35"/>
      <c r="I69" s="35"/>
      <c r="J69" s="35"/>
      <c r="K69" s="35"/>
      <c r="L69" s="35"/>
      <c r="M69" s="35"/>
      <c r="N69" s="35"/>
      <c r="O69" s="35"/>
      <c r="P69" s="35"/>
      <c r="Q69" s="35"/>
      <c r="R69" s="35"/>
      <c r="S69" s="35"/>
      <c r="T69" s="35"/>
      <c r="U69" s="35"/>
      <c r="V69" s="35"/>
      <c r="W69" s="35"/>
      <c r="X69" s="35"/>
      <c r="Y69" s="35"/>
    </row>
    <row r="70" spans="1:25">
      <c r="A70" s="35"/>
      <c r="B70" s="35"/>
      <c r="C70" s="35"/>
      <c r="D70" s="35"/>
      <c r="E70" s="35"/>
      <c r="F70" s="35"/>
      <c r="G70" s="35"/>
      <c r="H70" s="35"/>
      <c r="I70" s="35"/>
      <c r="J70" s="35"/>
      <c r="K70" s="35"/>
      <c r="L70" s="35"/>
      <c r="M70" s="35"/>
      <c r="N70" s="35"/>
      <c r="O70" s="35"/>
      <c r="P70" s="35"/>
      <c r="Q70" s="35"/>
      <c r="R70" s="35"/>
      <c r="S70" s="35"/>
      <c r="T70" s="35"/>
      <c r="U70" s="35"/>
      <c r="V70" s="35"/>
      <c r="W70" s="35"/>
      <c r="X70" s="35"/>
      <c r="Y70" s="35"/>
    </row>
    <row r="71" spans="1:25">
      <c r="A71" s="35"/>
      <c r="B71" s="35"/>
      <c r="C71" s="35"/>
      <c r="D71" s="35"/>
      <c r="E71" s="35"/>
      <c r="F71" s="35"/>
      <c r="G71" s="35"/>
      <c r="H71" s="35"/>
      <c r="I71" s="35"/>
      <c r="J71" s="35"/>
      <c r="K71" s="35"/>
      <c r="L71" s="35"/>
      <c r="M71" s="35"/>
      <c r="N71" s="35"/>
      <c r="O71" s="35"/>
      <c r="P71" s="35"/>
      <c r="Q71" s="35"/>
      <c r="R71" s="35"/>
      <c r="S71" s="35"/>
      <c r="T71" s="35"/>
      <c r="U71" s="35"/>
      <c r="V71" s="35"/>
      <c r="W71" s="35"/>
      <c r="X71" s="35"/>
      <c r="Y71" s="35"/>
    </row>
    <row r="72" spans="1:25">
      <c r="A72" s="35"/>
      <c r="B72" s="35"/>
      <c r="C72" s="35"/>
      <c r="D72" s="35"/>
      <c r="E72" s="35"/>
      <c r="F72" s="35"/>
      <c r="G72" s="35"/>
      <c r="H72" s="35"/>
      <c r="I72" s="35"/>
      <c r="J72" s="35"/>
      <c r="K72" s="35"/>
      <c r="L72" s="35"/>
      <c r="M72" s="35"/>
      <c r="N72" s="35"/>
      <c r="O72" s="35"/>
      <c r="P72" s="35"/>
      <c r="Q72" s="35"/>
      <c r="R72" s="35"/>
      <c r="S72" s="35"/>
      <c r="T72" s="35"/>
      <c r="U72" s="35"/>
      <c r="V72" s="35"/>
      <c r="W72" s="35"/>
      <c r="X72" s="35"/>
      <c r="Y72" s="35"/>
    </row>
    <row r="73" spans="1:25">
      <c r="A73" s="35"/>
      <c r="B73" s="35"/>
      <c r="C73" s="35"/>
      <c r="D73" s="35"/>
      <c r="E73" s="35"/>
      <c r="F73" s="35"/>
      <c r="G73" s="35"/>
      <c r="H73" s="35"/>
      <c r="I73" s="35"/>
      <c r="J73" s="35"/>
      <c r="K73" s="35"/>
      <c r="L73" s="35"/>
      <c r="M73" s="35"/>
      <c r="N73" s="35"/>
      <c r="O73" s="35"/>
      <c r="P73" s="35"/>
      <c r="Q73" s="35"/>
      <c r="R73" s="35"/>
      <c r="S73" s="35"/>
      <c r="T73" s="35"/>
      <c r="U73" s="35"/>
      <c r="V73" s="35"/>
      <c r="W73" s="35"/>
      <c r="X73" s="35"/>
      <c r="Y73" s="35"/>
    </row>
    <row r="74" spans="1:25">
      <c r="A74" s="35"/>
      <c r="B74" s="35"/>
      <c r="C74" s="35"/>
      <c r="D74" s="35"/>
      <c r="E74" s="35"/>
      <c r="F74" s="35"/>
      <c r="G74" s="35"/>
      <c r="H74" s="35"/>
      <c r="I74" s="35"/>
      <c r="J74" s="35"/>
      <c r="K74" s="35"/>
      <c r="L74" s="35"/>
      <c r="M74" s="35"/>
      <c r="N74" s="35"/>
      <c r="O74" s="35"/>
      <c r="P74" s="35"/>
      <c r="Q74" s="35"/>
      <c r="R74" s="35"/>
      <c r="S74" s="35"/>
      <c r="T74" s="35"/>
      <c r="U74" s="35"/>
      <c r="V74" s="35"/>
      <c r="W74" s="35"/>
      <c r="X74" s="35"/>
      <c r="Y74" s="35"/>
    </row>
    <row r="75" spans="1:25">
      <c r="A75" s="35"/>
      <c r="B75" s="35"/>
      <c r="C75" s="35"/>
      <c r="D75" s="35"/>
      <c r="E75" s="35"/>
      <c r="F75" s="35"/>
      <c r="G75" s="35"/>
      <c r="H75" s="35"/>
      <c r="I75" s="35"/>
      <c r="J75" s="35"/>
      <c r="K75" s="35"/>
      <c r="L75" s="35"/>
      <c r="M75" s="35"/>
      <c r="N75" s="35"/>
      <c r="O75" s="35"/>
      <c r="P75" s="35"/>
      <c r="Q75" s="35"/>
      <c r="R75" s="35"/>
      <c r="S75" s="35"/>
      <c r="T75" s="35"/>
      <c r="U75" s="35"/>
      <c r="V75" s="35"/>
      <c r="W75" s="35"/>
      <c r="X75" s="35"/>
      <c r="Y75" s="35"/>
    </row>
    <row r="76" spans="1:25">
      <c r="A76" s="35"/>
      <c r="B76" s="35"/>
      <c r="C76" s="35"/>
      <c r="D76" s="35"/>
      <c r="E76" s="35"/>
      <c r="F76" s="35"/>
      <c r="G76" s="35"/>
      <c r="H76" s="35"/>
      <c r="I76" s="35"/>
      <c r="J76" s="35"/>
      <c r="K76" s="35"/>
      <c r="L76" s="35"/>
      <c r="M76" s="35"/>
      <c r="N76" s="35"/>
      <c r="O76" s="35"/>
      <c r="P76" s="35"/>
      <c r="Q76" s="35"/>
      <c r="R76" s="35"/>
      <c r="S76" s="35"/>
      <c r="T76" s="35"/>
      <c r="U76" s="35"/>
      <c r="V76" s="35"/>
      <c r="W76" s="35"/>
      <c r="X76" s="35"/>
      <c r="Y76" s="35"/>
    </row>
    <row r="77" spans="1:25">
      <c r="A77" s="35"/>
      <c r="B77" s="35"/>
      <c r="C77" s="35"/>
      <c r="D77" s="35"/>
      <c r="E77" s="35"/>
      <c r="F77" s="35"/>
      <c r="G77" s="35"/>
      <c r="H77" s="35"/>
      <c r="I77" s="35"/>
      <c r="J77" s="35"/>
      <c r="K77" s="35"/>
      <c r="L77" s="35"/>
      <c r="M77" s="35"/>
      <c r="N77" s="35"/>
      <c r="O77" s="35"/>
      <c r="P77" s="35"/>
      <c r="Q77" s="35"/>
      <c r="R77" s="35"/>
      <c r="S77" s="35"/>
      <c r="T77" s="35"/>
      <c r="U77" s="35"/>
      <c r="V77" s="35"/>
      <c r="W77" s="35"/>
      <c r="X77" s="35"/>
      <c r="Y77" s="35"/>
    </row>
    <row r="78" spans="1:25">
      <c r="A78" s="35"/>
      <c r="B78" s="35"/>
      <c r="C78" s="35"/>
      <c r="D78" s="35"/>
      <c r="E78" s="35"/>
      <c r="F78" s="35"/>
      <c r="G78" s="35"/>
      <c r="H78" s="35"/>
      <c r="I78" s="35"/>
      <c r="J78" s="35"/>
      <c r="K78" s="35"/>
      <c r="L78" s="35"/>
      <c r="M78" s="35"/>
      <c r="N78" s="35"/>
      <c r="O78" s="35"/>
      <c r="P78" s="35"/>
      <c r="Q78" s="35"/>
      <c r="R78" s="35"/>
      <c r="S78" s="35"/>
      <c r="T78" s="35"/>
      <c r="U78" s="35"/>
      <c r="V78" s="35"/>
      <c r="W78" s="35"/>
      <c r="X78" s="35"/>
      <c r="Y78" s="35"/>
    </row>
    <row r="79" spans="1:25">
      <c r="A79" s="35"/>
      <c r="B79" s="35"/>
      <c r="C79" s="35"/>
      <c r="D79" s="35"/>
      <c r="E79" s="35"/>
      <c r="F79" s="35"/>
      <c r="G79" s="35"/>
      <c r="H79" s="35"/>
      <c r="I79" s="35"/>
      <c r="J79" s="35"/>
      <c r="K79" s="35"/>
      <c r="L79" s="35"/>
      <c r="M79" s="35"/>
      <c r="N79" s="35"/>
      <c r="O79" s="35"/>
      <c r="P79" s="35"/>
      <c r="Q79" s="35"/>
      <c r="R79" s="35"/>
      <c r="S79" s="35"/>
      <c r="T79" s="35"/>
      <c r="U79" s="35"/>
      <c r="V79" s="35"/>
      <c r="W79" s="35"/>
      <c r="X79" s="35"/>
      <c r="Y79" s="35"/>
    </row>
    <row r="80" spans="1:25">
      <c r="A80" s="35"/>
      <c r="B80" s="35"/>
      <c r="C80" s="35"/>
      <c r="D80" s="35"/>
      <c r="E80" s="35"/>
      <c r="F80" s="35"/>
      <c r="G80" s="35"/>
      <c r="H80" s="35"/>
      <c r="I80" s="35"/>
      <c r="J80" s="35"/>
      <c r="K80" s="35"/>
      <c r="L80" s="35"/>
      <c r="M80" s="35"/>
      <c r="N80" s="35"/>
      <c r="O80" s="35"/>
      <c r="P80" s="35"/>
      <c r="Q80" s="35"/>
      <c r="R80" s="35"/>
      <c r="S80" s="35"/>
      <c r="T80" s="35"/>
      <c r="U80" s="35"/>
      <c r="V80" s="35"/>
      <c r="W80" s="35"/>
      <c r="X80" s="35"/>
      <c r="Y80" s="35"/>
    </row>
    <row r="81" spans="1:25">
      <c r="A81" s="35"/>
      <c r="B81" s="35"/>
      <c r="C81" s="35"/>
      <c r="D81" s="35"/>
      <c r="E81" s="35"/>
      <c r="F81" s="35"/>
      <c r="G81" s="35"/>
      <c r="H81" s="35"/>
      <c r="I81" s="35"/>
      <c r="J81" s="35"/>
      <c r="K81" s="35"/>
      <c r="L81" s="35"/>
      <c r="M81" s="35"/>
      <c r="N81" s="35"/>
      <c r="O81" s="35"/>
      <c r="P81" s="35"/>
      <c r="Q81" s="35"/>
      <c r="R81" s="35"/>
      <c r="S81" s="35"/>
      <c r="T81" s="35"/>
      <c r="U81" s="35"/>
      <c r="V81" s="35"/>
      <c r="W81" s="35"/>
      <c r="X81" s="35"/>
      <c r="Y81" s="35"/>
    </row>
    <row r="82" spans="1:25">
      <c r="A82" s="35"/>
      <c r="B82" s="35"/>
      <c r="C82" s="35"/>
      <c r="D82" s="35"/>
      <c r="E82" s="35"/>
      <c r="F82" s="35"/>
      <c r="G82" s="35"/>
      <c r="H82" s="35"/>
      <c r="I82" s="35"/>
      <c r="J82" s="35"/>
      <c r="K82" s="35"/>
      <c r="L82" s="35"/>
      <c r="M82" s="35"/>
      <c r="N82" s="35"/>
      <c r="O82" s="35"/>
      <c r="P82" s="35"/>
      <c r="Q82" s="35"/>
      <c r="R82" s="35"/>
      <c r="S82" s="35"/>
      <c r="T82" s="35"/>
      <c r="U82" s="35"/>
      <c r="V82" s="35"/>
      <c r="W82" s="35"/>
      <c r="X82" s="35"/>
      <c r="Y82" s="35"/>
    </row>
    <row r="83" spans="1:25">
      <c r="A83" s="35"/>
      <c r="B83" s="35"/>
      <c r="C83" s="35"/>
      <c r="D83" s="35"/>
      <c r="E83" s="35"/>
      <c r="F83" s="35"/>
      <c r="G83" s="35"/>
      <c r="H83" s="35"/>
      <c r="I83" s="35"/>
      <c r="J83" s="35"/>
      <c r="K83" s="35"/>
      <c r="L83" s="35"/>
      <c r="M83" s="35"/>
      <c r="N83" s="35"/>
      <c r="O83" s="35"/>
      <c r="P83" s="35"/>
      <c r="Q83" s="35"/>
      <c r="R83" s="35"/>
      <c r="S83" s="35"/>
      <c r="T83" s="35"/>
      <c r="U83" s="35"/>
      <c r="V83" s="35"/>
      <c r="W83" s="35"/>
      <c r="X83" s="35"/>
      <c r="Y83" s="35"/>
    </row>
    <row r="84" spans="1:25">
      <c r="A84" s="35"/>
      <c r="B84" s="35"/>
      <c r="C84" s="35"/>
      <c r="D84" s="35"/>
      <c r="E84" s="35"/>
      <c r="F84" s="35"/>
      <c r="G84" s="35"/>
      <c r="H84" s="35"/>
      <c r="I84" s="35"/>
      <c r="J84" s="35"/>
      <c r="K84" s="35"/>
      <c r="L84" s="35"/>
      <c r="M84" s="35"/>
      <c r="N84" s="35"/>
      <c r="O84" s="35"/>
      <c r="P84" s="35"/>
      <c r="Q84" s="35"/>
      <c r="R84" s="35"/>
      <c r="S84" s="35"/>
      <c r="T84" s="35"/>
      <c r="U84" s="35"/>
      <c r="V84" s="35"/>
      <c r="W84" s="35"/>
      <c r="X84" s="35"/>
      <c r="Y84" s="35"/>
    </row>
    <row r="85" spans="1:25">
      <c r="A85" s="35"/>
      <c r="B85" s="35"/>
      <c r="C85" s="35"/>
      <c r="D85" s="35"/>
      <c r="E85" s="35"/>
      <c r="F85" s="35"/>
      <c r="G85" s="35"/>
      <c r="H85" s="35"/>
      <c r="I85" s="35"/>
      <c r="J85" s="35"/>
      <c r="K85" s="35"/>
      <c r="L85" s="35"/>
      <c r="M85" s="35"/>
      <c r="N85" s="35"/>
      <c r="O85" s="35"/>
      <c r="P85" s="35"/>
      <c r="Q85" s="35"/>
      <c r="R85" s="35"/>
      <c r="S85" s="35"/>
      <c r="T85" s="35"/>
      <c r="U85" s="35"/>
      <c r="V85" s="35"/>
      <c r="W85" s="35"/>
      <c r="X85" s="35"/>
      <c r="Y85" s="35"/>
    </row>
    <row r="86" spans="1:25">
      <c r="A86" s="35"/>
      <c r="B86" s="35"/>
      <c r="C86" s="35"/>
      <c r="D86" s="35"/>
      <c r="E86" s="35"/>
      <c r="F86" s="35"/>
      <c r="G86" s="35"/>
      <c r="H86" s="35"/>
      <c r="I86" s="35"/>
      <c r="J86" s="35"/>
      <c r="K86" s="35"/>
      <c r="L86" s="35"/>
      <c r="M86" s="35"/>
      <c r="N86" s="35"/>
      <c r="O86" s="35"/>
      <c r="P86" s="35"/>
      <c r="Q86" s="35"/>
      <c r="R86" s="35"/>
      <c r="S86" s="35"/>
      <c r="T86" s="35"/>
      <c r="U86" s="35"/>
      <c r="V86" s="35"/>
      <c r="W86" s="35"/>
      <c r="X86" s="35"/>
      <c r="Y86" s="35"/>
    </row>
    <row r="87" spans="1:25">
      <c r="A87" s="35"/>
      <c r="B87" s="35"/>
      <c r="C87" s="35"/>
      <c r="D87" s="35"/>
      <c r="E87" s="35"/>
      <c r="F87" s="35"/>
      <c r="G87" s="35"/>
      <c r="H87" s="35"/>
      <c r="I87" s="35"/>
      <c r="J87" s="35"/>
      <c r="K87" s="35"/>
      <c r="L87" s="35"/>
      <c r="M87" s="35"/>
      <c r="N87" s="35"/>
      <c r="O87" s="35"/>
      <c r="P87" s="35"/>
      <c r="Q87" s="35"/>
      <c r="R87" s="35"/>
      <c r="S87" s="35"/>
      <c r="T87" s="35"/>
      <c r="U87" s="35"/>
      <c r="V87" s="35"/>
      <c r="W87" s="35"/>
      <c r="X87" s="35"/>
      <c r="Y87" s="35"/>
    </row>
    <row r="88" spans="1:25">
      <c r="A88" s="35"/>
      <c r="B88" s="35"/>
      <c r="C88" s="35"/>
      <c r="D88" s="35"/>
      <c r="E88" s="35"/>
      <c r="F88" s="35"/>
      <c r="G88" s="35"/>
      <c r="H88" s="35"/>
      <c r="I88" s="35"/>
      <c r="J88" s="35"/>
      <c r="K88" s="35"/>
      <c r="L88" s="35"/>
      <c r="M88" s="35"/>
      <c r="N88" s="35"/>
      <c r="O88" s="35"/>
      <c r="P88" s="35"/>
      <c r="Q88" s="35"/>
      <c r="R88" s="35"/>
      <c r="S88" s="35"/>
      <c r="T88" s="35"/>
      <c r="U88" s="35"/>
      <c r="V88" s="35"/>
      <c r="W88" s="35"/>
      <c r="X88" s="35"/>
      <c r="Y88" s="35"/>
    </row>
    <row r="89" spans="1:25">
      <c r="A89" s="35"/>
      <c r="B89" s="35"/>
      <c r="C89" s="35"/>
      <c r="D89" s="35"/>
      <c r="E89" s="35"/>
      <c r="F89" s="35"/>
      <c r="G89" s="35"/>
      <c r="H89" s="35"/>
      <c r="I89" s="35"/>
      <c r="J89" s="35"/>
      <c r="K89" s="35"/>
      <c r="L89" s="35"/>
      <c r="M89" s="35"/>
      <c r="N89" s="35"/>
      <c r="O89" s="35"/>
      <c r="P89" s="35"/>
      <c r="Q89" s="35"/>
      <c r="R89" s="35"/>
      <c r="S89" s="35"/>
      <c r="T89" s="35"/>
      <c r="U89" s="35"/>
      <c r="V89" s="35"/>
      <c r="W89" s="35"/>
      <c r="X89" s="35"/>
      <c r="Y89" s="35"/>
    </row>
    <row r="90" spans="1:25">
      <c r="A90" s="35"/>
      <c r="B90" s="35"/>
      <c r="C90" s="35"/>
      <c r="D90" s="35"/>
      <c r="E90" s="35"/>
      <c r="F90" s="35"/>
      <c r="G90" s="35"/>
      <c r="H90" s="35"/>
      <c r="I90" s="35"/>
      <c r="J90" s="35"/>
      <c r="K90" s="35"/>
      <c r="L90" s="35"/>
      <c r="M90" s="35"/>
      <c r="N90" s="35"/>
      <c r="O90" s="35"/>
      <c r="P90" s="35"/>
      <c r="Q90" s="35"/>
      <c r="R90" s="35"/>
      <c r="S90" s="35"/>
      <c r="T90" s="35"/>
      <c r="U90" s="35"/>
      <c r="V90" s="35"/>
      <c r="W90" s="35"/>
      <c r="X90" s="35"/>
      <c r="Y90" s="35"/>
    </row>
    <row r="91" spans="1:25">
      <c r="A91" s="35"/>
      <c r="B91" s="35"/>
      <c r="C91" s="35"/>
      <c r="D91" s="35"/>
      <c r="E91" s="35"/>
      <c r="F91" s="35"/>
      <c r="G91" s="35"/>
      <c r="H91" s="35"/>
      <c r="I91" s="35"/>
      <c r="J91" s="35"/>
      <c r="K91" s="35"/>
      <c r="L91" s="35"/>
      <c r="M91" s="35"/>
      <c r="N91" s="35"/>
      <c r="O91" s="35"/>
      <c r="P91" s="35"/>
      <c r="Q91" s="35"/>
      <c r="R91" s="35"/>
      <c r="S91" s="35"/>
      <c r="T91" s="35"/>
      <c r="U91" s="35"/>
      <c r="V91" s="35"/>
      <c r="W91" s="35"/>
      <c r="X91" s="35"/>
      <c r="Y91" s="35"/>
    </row>
    <row r="92" spans="1:25">
      <c r="A92" s="35"/>
      <c r="B92" s="35"/>
      <c r="C92" s="35"/>
      <c r="D92" s="35"/>
      <c r="E92" s="35"/>
      <c r="F92" s="35"/>
      <c r="G92" s="35"/>
      <c r="H92" s="35"/>
      <c r="I92" s="35"/>
      <c r="J92" s="35"/>
      <c r="K92" s="35"/>
      <c r="L92" s="35"/>
      <c r="M92" s="35"/>
      <c r="N92" s="35"/>
      <c r="O92" s="35"/>
      <c r="P92" s="35"/>
      <c r="Q92" s="35"/>
      <c r="R92" s="35"/>
      <c r="S92" s="35"/>
      <c r="T92" s="35"/>
      <c r="U92" s="35"/>
      <c r="V92" s="35"/>
      <c r="W92" s="35"/>
      <c r="X92" s="35"/>
      <c r="Y92" s="35"/>
    </row>
    <row r="93" spans="1:25">
      <c r="A93" s="35"/>
      <c r="B93" s="35"/>
      <c r="C93" s="35"/>
      <c r="D93" s="35"/>
      <c r="E93" s="35"/>
      <c r="F93" s="35"/>
      <c r="G93" s="35"/>
      <c r="H93" s="35"/>
      <c r="I93" s="35"/>
      <c r="J93" s="35"/>
      <c r="K93" s="35"/>
      <c r="L93" s="35"/>
      <c r="M93" s="35"/>
      <c r="N93" s="35"/>
      <c r="O93" s="35"/>
      <c r="P93" s="35"/>
      <c r="Q93" s="35"/>
      <c r="R93" s="35"/>
      <c r="S93" s="35"/>
      <c r="T93" s="35"/>
      <c r="U93" s="35"/>
      <c r="V93" s="35"/>
      <c r="W93" s="35"/>
      <c r="X93" s="35"/>
      <c r="Y93" s="35"/>
    </row>
    <row r="94" spans="1:25">
      <c r="A94" s="35"/>
      <c r="B94" s="35"/>
      <c r="C94" s="35"/>
      <c r="D94" s="35"/>
      <c r="E94" s="35"/>
      <c r="F94" s="35"/>
      <c r="G94" s="35"/>
      <c r="H94" s="35"/>
      <c r="I94" s="35"/>
      <c r="J94" s="35"/>
      <c r="K94" s="35"/>
      <c r="L94" s="35"/>
      <c r="M94" s="35"/>
      <c r="N94" s="35"/>
      <c r="O94" s="35"/>
      <c r="P94" s="35"/>
      <c r="Q94" s="35"/>
      <c r="R94" s="35"/>
      <c r="S94" s="35"/>
      <c r="T94" s="35"/>
      <c r="U94" s="35"/>
      <c r="V94" s="35"/>
      <c r="W94" s="35"/>
      <c r="X94" s="35"/>
      <c r="Y94" s="35"/>
    </row>
    <row r="95" spans="1:25">
      <c r="A95" s="35"/>
      <c r="B95" s="35"/>
      <c r="C95" s="35"/>
      <c r="D95" s="35"/>
      <c r="E95" s="35"/>
      <c r="F95" s="35"/>
      <c r="G95" s="35"/>
      <c r="H95" s="35"/>
      <c r="I95" s="35"/>
      <c r="J95" s="35"/>
      <c r="K95" s="35"/>
      <c r="L95" s="35"/>
      <c r="M95" s="35"/>
      <c r="N95" s="35"/>
      <c r="O95" s="35"/>
      <c r="P95" s="35"/>
      <c r="Q95" s="35"/>
      <c r="R95" s="35"/>
      <c r="S95" s="35"/>
      <c r="T95" s="35"/>
      <c r="U95" s="35"/>
      <c r="V95" s="35"/>
      <c r="W95" s="35"/>
      <c r="X95" s="35"/>
      <c r="Y95" s="35"/>
    </row>
    <row r="96" spans="1:25">
      <c r="A96" s="35"/>
      <c r="B96" s="35"/>
      <c r="C96" s="35"/>
      <c r="D96" s="35"/>
      <c r="E96" s="35"/>
      <c r="F96" s="35"/>
      <c r="G96" s="35"/>
      <c r="H96" s="35"/>
      <c r="I96" s="35"/>
      <c r="J96" s="35"/>
      <c r="K96" s="35"/>
      <c r="L96" s="35"/>
      <c r="M96" s="35"/>
      <c r="N96" s="35"/>
      <c r="O96" s="35"/>
      <c r="P96" s="35"/>
      <c r="Q96" s="35"/>
      <c r="R96" s="35"/>
      <c r="S96" s="35"/>
      <c r="T96" s="35"/>
      <c r="U96" s="35"/>
      <c r="V96" s="35"/>
      <c r="W96" s="35"/>
      <c r="X96" s="35"/>
      <c r="Y96" s="35"/>
    </row>
    <row r="97" spans="1:25">
      <c r="A97" s="35"/>
      <c r="B97" s="35"/>
      <c r="C97" s="35"/>
      <c r="D97" s="35"/>
      <c r="E97" s="35"/>
      <c r="F97" s="35"/>
      <c r="G97" s="35"/>
      <c r="H97" s="35"/>
      <c r="I97" s="35"/>
      <c r="J97" s="35"/>
      <c r="K97" s="35"/>
      <c r="L97" s="35"/>
      <c r="M97" s="35"/>
      <c r="N97" s="35"/>
      <c r="O97" s="35"/>
      <c r="P97" s="35"/>
      <c r="Q97" s="35"/>
      <c r="R97" s="35"/>
      <c r="S97" s="35"/>
      <c r="T97" s="35"/>
      <c r="U97" s="35"/>
      <c r="V97" s="35"/>
      <c r="W97" s="35"/>
      <c r="X97" s="35"/>
      <c r="Y97" s="35"/>
    </row>
    <row r="98" spans="1:25">
      <c r="A98" s="35"/>
      <c r="B98" s="35"/>
      <c r="C98" s="35"/>
      <c r="D98" s="35"/>
      <c r="E98" s="35"/>
      <c r="F98" s="35"/>
      <c r="G98" s="35"/>
      <c r="H98" s="35"/>
      <c r="I98" s="35"/>
      <c r="J98" s="35"/>
      <c r="K98" s="35"/>
      <c r="L98" s="35"/>
      <c r="M98" s="35"/>
      <c r="N98" s="35"/>
      <c r="O98" s="35"/>
      <c r="P98" s="35"/>
      <c r="Q98" s="35"/>
      <c r="R98" s="35"/>
      <c r="S98" s="35"/>
      <c r="T98" s="35"/>
      <c r="U98" s="35"/>
      <c r="V98" s="35"/>
      <c r="W98" s="35"/>
      <c r="X98" s="35"/>
      <c r="Y98" s="35"/>
    </row>
    <row r="99" spans="1:25">
      <c r="A99" s="35"/>
      <c r="B99" s="35"/>
      <c r="C99" s="35"/>
      <c r="D99" s="35"/>
      <c r="E99" s="35"/>
      <c r="F99" s="35"/>
      <c r="G99" s="35"/>
      <c r="H99" s="35"/>
      <c r="I99" s="35"/>
      <c r="J99" s="35"/>
      <c r="K99" s="35"/>
      <c r="L99" s="35"/>
      <c r="M99" s="35"/>
      <c r="N99" s="35"/>
      <c r="O99" s="35"/>
      <c r="P99" s="35"/>
      <c r="Q99" s="35"/>
      <c r="R99" s="35"/>
      <c r="S99" s="35"/>
      <c r="T99" s="35"/>
      <c r="U99" s="35"/>
      <c r="V99" s="35"/>
      <c r="W99" s="35"/>
      <c r="X99" s="35"/>
      <c r="Y99" s="35"/>
    </row>
    <row r="100" spans="1:25">
      <c r="A100" s="35"/>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row>
    <row r="101" spans="1:25">
      <c r="A101" s="35"/>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row>
    <row r="102" spans="1:25">
      <c r="A102" s="35"/>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row>
    <row r="103" spans="1:25">
      <c r="A103" s="35"/>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row>
    <row r="104" spans="1:25">
      <c r="A104" s="35"/>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row>
    <row r="105" spans="1:25">
      <c r="A105" s="35"/>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row>
    <row r="106" spans="1:25">
      <c r="A106" s="35"/>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row>
    <row r="107" spans="1:25">
      <c r="A107" s="35"/>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row>
    <row r="108" spans="1:25">
      <c r="A108" s="35"/>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row>
    <row r="109" spans="1:25">
      <c r="A109" s="35"/>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row>
    <row r="110" spans="1:25">
      <c r="A110" s="35"/>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row>
    <row r="111" spans="1:25">
      <c r="A111" s="35"/>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row>
    <row r="112" spans="1:25">
      <c r="A112" s="35"/>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row>
    <row r="113" spans="1:25">
      <c r="A113" s="35"/>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row>
    <row r="114" spans="1:25">
      <c r="A114" s="35"/>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row>
    <row r="115" spans="1:25">
      <c r="A115" s="35"/>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row>
    <row r="116" spans="1:25">
      <c r="A116" s="35"/>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row>
    <row r="117" spans="1:25">
      <c r="A117" s="35"/>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row>
    <row r="118" spans="1:25">
      <c r="A118" s="35"/>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row>
    <row r="119" spans="1:25">
      <c r="A119" s="35"/>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row>
    <row r="120" spans="1:25">
      <c r="A120" s="35"/>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row>
    <row r="121" spans="1:25">
      <c r="A121" s="35"/>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row>
    <row r="122" spans="1:25">
      <c r="A122" s="35"/>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row>
    <row r="123" spans="1:25">
      <c r="A123" s="35"/>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row>
    <row r="124" spans="1:25">
      <c r="A124" s="35"/>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row>
    <row r="125" spans="1:25">
      <c r="A125" s="35"/>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row>
    <row r="126" spans="1:25">
      <c r="A126" s="35"/>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row>
    <row r="127" spans="1:25">
      <c r="A127" s="35"/>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row>
    <row r="128" spans="1:25">
      <c r="A128" s="35"/>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row>
    <row r="129" spans="1:25">
      <c r="A129" s="35"/>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row>
    <row r="130" spans="1:25">
      <c r="A130" s="35"/>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row>
    <row r="131" spans="1:25">
      <c r="A131" s="35"/>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row>
    <row r="132" spans="1:25">
      <c r="A132" s="35"/>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row>
    <row r="133" spans="1:25">
      <c r="A133" s="35"/>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row>
    <row r="134" spans="1:25">
      <c r="A134" s="35"/>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row>
  </sheetData>
  <mergeCells count="1">
    <mergeCell ref="A3:G3"/>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FD1048576"/>
  <sheetViews>
    <sheetView topLeftCell="H1" zoomScale="125" zoomScaleNormal="85" workbookViewId="0">
      <selection activeCell="M17" sqref="M17"/>
    </sheetView>
  </sheetViews>
  <sheetFormatPr baseColWidth="10" defaultColWidth="8.83203125" defaultRowHeight="15"/>
  <cols>
    <col min="1" max="1" width="26.5" bestFit="1" customWidth="1"/>
    <col min="2" max="2" width="8" bestFit="1" customWidth="1"/>
    <col min="3" max="3" width="22.1640625" bestFit="1" customWidth="1"/>
    <col min="4" max="4" width="8" bestFit="1" customWidth="1"/>
    <col min="5" max="6" width="10.5" bestFit="1" customWidth="1"/>
    <col min="7" max="8" width="9.5" bestFit="1" customWidth="1"/>
    <col min="9" max="9" width="5.5" customWidth="1"/>
    <col min="10" max="10" width="26.5" customWidth="1"/>
    <col min="13" max="13" width="17" customWidth="1"/>
    <col min="14" max="14" width="20.83203125" bestFit="1" customWidth="1"/>
    <col min="15" max="15" width="9.5" bestFit="1" customWidth="1"/>
    <col min="16" max="16" width="12" bestFit="1" customWidth="1"/>
    <col min="17" max="17" width="8.1640625" bestFit="1" customWidth="1"/>
    <col min="18" max="18" width="15.5" bestFit="1" customWidth="1"/>
    <col min="19" max="19" width="14" bestFit="1" customWidth="1"/>
    <col min="20" max="20" width="15.5" bestFit="1" customWidth="1"/>
  </cols>
  <sheetData>
    <row r="1" spans="1:20" ht="16">
      <c r="A1" s="24" t="s">
        <v>65</v>
      </c>
      <c r="M1" s="24" t="s">
        <v>41</v>
      </c>
    </row>
    <row r="3" spans="1:20">
      <c r="A3" s="2" t="s">
        <v>0</v>
      </c>
      <c r="B3" s="2" t="s">
        <v>1</v>
      </c>
      <c r="C3" s="2" t="s">
        <v>30</v>
      </c>
      <c r="D3" s="2" t="s">
        <v>2</v>
      </c>
      <c r="E3" s="4" t="s">
        <v>32</v>
      </c>
      <c r="F3" s="4" t="s">
        <v>33</v>
      </c>
      <c r="G3" s="4" t="s">
        <v>34</v>
      </c>
      <c r="H3" s="4" t="s">
        <v>31</v>
      </c>
      <c r="J3" t="s">
        <v>37</v>
      </c>
    </row>
    <row r="4" spans="1:20">
      <c r="A4" s="25" t="s">
        <v>3</v>
      </c>
      <c r="B4" s="42">
        <v>700</v>
      </c>
      <c r="C4" s="42">
        <v>800</v>
      </c>
      <c r="D4" s="42">
        <v>1500</v>
      </c>
      <c r="E4" s="20">
        <f>(B4+4*C4+D4)/6</f>
        <v>900</v>
      </c>
      <c r="F4" s="21">
        <f>6*(E4-B4)/(D4-B4)</f>
        <v>1.5</v>
      </c>
      <c r="G4" s="20">
        <f>6*(D4-E4)/(D4-B4)</f>
        <v>4.5</v>
      </c>
      <c r="H4" s="43">
        <f ca="1">_xlfn.BETA.INV(RAND(),F4,G4,B4,D4)</f>
        <v>1168.2586879623852</v>
      </c>
      <c r="J4" s="23">
        <f>SUM(C4:C31)</f>
        <v>97000</v>
      </c>
    </row>
    <row r="5" spans="1:20">
      <c r="A5" s="25" t="s">
        <v>4</v>
      </c>
      <c r="B5" s="42">
        <v>3600</v>
      </c>
      <c r="C5" s="42">
        <v>3800</v>
      </c>
      <c r="D5" s="42">
        <v>4500</v>
      </c>
      <c r="E5" s="20">
        <f t="shared" ref="E5:E31" si="0">(B5+4*C5+D5)/6</f>
        <v>3883.3333333333335</v>
      </c>
      <c r="F5" s="21">
        <f t="shared" ref="F5:F31" si="1">6*(E5-B5)/(D5-B5)</f>
        <v>1.8888888888888899</v>
      </c>
      <c r="G5" s="20">
        <f t="shared" ref="G5:G31" si="2">6*(D5-E5)/(D5-B5)</f>
        <v>4.1111111111111098</v>
      </c>
      <c r="H5" s="43">
        <f t="shared" ref="H5:H31" ca="1" si="3">_xlfn.BETA.INV(RAND(),F5,G5,B5,D5)</f>
        <v>3708.0987568022392</v>
      </c>
    </row>
    <row r="6" spans="1:20" ht="16" thickBot="1">
      <c r="A6" s="26" t="s">
        <v>68</v>
      </c>
      <c r="B6" s="42">
        <v>1400</v>
      </c>
      <c r="C6" s="42">
        <v>1500</v>
      </c>
      <c r="D6" s="42">
        <v>2000</v>
      </c>
      <c r="E6" s="20">
        <f t="shared" si="0"/>
        <v>1566.6666666666667</v>
      </c>
      <c r="F6" s="21">
        <f t="shared" si="1"/>
        <v>1.6666666666666674</v>
      </c>
      <c r="G6" s="20">
        <f t="shared" si="2"/>
        <v>4.3333333333333321</v>
      </c>
      <c r="H6" s="43">
        <f t="shared" ca="1" si="3"/>
        <v>1432.9126605999468</v>
      </c>
      <c r="J6" t="s">
        <v>67</v>
      </c>
      <c r="M6" s="22">
        <f ca="1">J7</f>
        <v>98870.099789072847</v>
      </c>
      <c r="N6" s="2" t="s">
        <v>40</v>
      </c>
      <c r="O6" s="2" t="s">
        <v>69</v>
      </c>
      <c r="P6" s="2" t="s">
        <v>70</v>
      </c>
      <c r="Q6" s="2" t="s">
        <v>71</v>
      </c>
      <c r="R6" s="2" t="s">
        <v>72</v>
      </c>
      <c r="S6" s="2" t="s">
        <v>73</v>
      </c>
      <c r="T6" s="2" t="s">
        <v>74</v>
      </c>
    </row>
    <row r="7" spans="1:20" ht="18" thickTop="1" thickBot="1">
      <c r="A7" s="25" t="s">
        <v>5</v>
      </c>
      <c r="B7" s="42">
        <v>2100</v>
      </c>
      <c r="C7" s="42">
        <v>2300</v>
      </c>
      <c r="D7" s="42">
        <v>2900</v>
      </c>
      <c r="E7" s="20">
        <f t="shared" si="0"/>
        <v>2366.6666666666665</v>
      </c>
      <c r="F7" s="21">
        <f t="shared" si="1"/>
        <v>1.9999999999999989</v>
      </c>
      <c r="G7" s="20">
        <f t="shared" si="2"/>
        <v>4.0000000000000009</v>
      </c>
      <c r="H7" s="43">
        <f t="shared" ca="1" si="3"/>
        <v>2502.5350188405559</v>
      </c>
      <c r="J7" s="44">
        <f ca="1">SUM(H4:H31)</f>
        <v>98870.099789072847</v>
      </c>
      <c r="M7" s="5" t="s">
        <v>35</v>
      </c>
      <c r="N7" s="1">
        <f ca="1">J7</f>
        <v>98870.099789072847</v>
      </c>
      <c r="O7" s="1">
        <f ca="1">K10</f>
        <v>11351.525023274497</v>
      </c>
      <c r="P7" s="1">
        <f ca="1">K11</f>
        <v>11972.245055680025</v>
      </c>
      <c r="Q7" s="1">
        <f ca="1">K12</f>
        <v>7799.434427354252</v>
      </c>
      <c r="R7" s="1">
        <f ca="1">K13</f>
        <v>22444.651484511578</v>
      </c>
      <c r="S7" s="1">
        <f ca="1">K14</f>
        <v>15368.897160807734</v>
      </c>
      <c r="T7" s="1">
        <f ca="1">K15</f>
        <v>28877.573085527754</v>
      </c>
    </row>
    <row r="8" spans="1:20" ht="16" thickTop="1">
      <c r="A8" s="25" t="s">
        <v>6</v>
      </c>
      <c r="B8" s="42">
        <v>3800</v>
      </c>
      <c r="C8" s="42">
        <v>4000</v>
      </c>
      <c r="D8" s="42">
        <v>4400</v>
      </c>
      <c r="E8" s="20">
        <f t="shared" si="0"/>
        <v>4033.3333333333335</v>
      </c>
      <c r="F8" s="21">
        <f t="shared" si="1"/>
        <v>2.3333333333333348</v>
      </c>
      <c r="G8" s="20">
        <f t="shared" si="2"/>
        <v>3.6666666666666652</v>
      </c>
      <c r="H8" s="43">
        <f t="shared" ca="1" si="3"/>
        <v>3972.6325596693173</v>
      </c>
      <c r="M8">
        <v>1</v>
      </c>
      <c r="N8">
        <f t="dataTable" ref="N8:T1007" dt2D="0" dtr="0" r1="M7" ca="1"/>
        <v>98761.62143450744</v>
      </c>
      <c r="O8">
        <v>10895.261534370537</v>
      </c>
      <c r="P8">
        <v>12470.223901205958</v>
      </c>
      <c r="Q8">
        <v>8109.6097054148449</v>
      </c>
      <c r="R8">
        <v>20796.268300904849</v>
      </c>
      <c r="S8">
        <v>15180.298797024901</v>
      </c>
      <c r="T8">
        <v>30176.444562475568</v>
      </c>
    </row>
    <row r="9" spans="1:20">
      <c r="A9" s="26" t="s">
        <v>7</v>
      </c>
      <c r="B9" s="42">
        <v>6500</v>
      </c>
      <c r="C9" s="42">
        <v>7000</v>
      </c>
      <c r="D9" s="42">
        <v>10500</v>
      </c>
      <c r="E9" s="20">
        <f t="shared" si="0"/>
        <v>7500</v>
      </c>
      <c r="F9" s="21">
        <f t="shared" si="1"/>
        <v>1.5</v>
      </c>
      <c r="G9" s="20">
        <f t="shared" si="2"/>
        <v>4.5</v>
      </c>
      <c r="H9" s="43">
        <f t="shared" ca="1" si="3"/>
        <v>7607.4167055047747</v>
      </c>
      <c r="I9" t="s">
        <v>75</v>
      </c>
      <c r="K9" t="s">
        <v>76</v>
      </c>
      <c r="M9">
        <v>2</v>
      </c>
      <c r="N9">
        <v>99076.709821687356</v>
      </c>
      <c r="O9">
        <v>11006.531254669695</v>
      </c>
      <c r="P9">
        <v>12167.176179778355</v>
      </c>
      <c r="Q9">
        <v>7487.1296463660901</v>
      </c>
      <c r="R9">
        <v>21286.343189361818</v>
      </c>
      <c r="S9">
        <v>15553.16119050749</v>
      </c>
      <c r="T9">
        <v>30728.148684215619</v>
      </c>
    </row>
    <row r="10" spans="1:20">
      <c r="A10" s="26" t="s">
        <v>8</v>
      </c>
      <c r="B10" s="42">
        <v>2800</v>
      </c>
      <c r="C10" s="42">
        <v>3100</v>
      </c>
      <c r="D10" s="42">
        <v>4500</v>
      </c>
      <c r="E10" s="20">
        <f t="shared" si="0"/>
        <v>3283.3333333333335</v>
      </c>
      <c r="F10" s="21">
        <f t="shared" si="1"/>
        <v>1.7058823529411771</v>
      </c>
      <c r="G10" s="20">
        <f t="shared" si="2"/>
        <v>4.2941176470588234</v>
      </c>
      <c r="H10" s="43">
        <f t="shared" ca="1" si="3"/>
        <v>2931.9156895753031</v>
      </c>
      <c r="I10">
        <v>1</v>
      </c>
      <c r="J10" s="25" t="s">
        <v>69</v>
      </c>
      <c r="K10" s="46">
        <f ca="1">SUM(H4:H5,H7,H8)</f>
        <v>11351.525023274497</v>
      </c>
      <c r="M10">
        <v>3</v>
      </c>
      <c r="N10">
        <v>97054.574241474198</v>
      </c>
      <c r="O10">
        <v>10661.047116261583</v>
      </c>
      <c r="P10">
        <v>11618.9529288536</v>
      </c>
      <c r="Q10">
        <v>7311.4625047337195</v>
      </c>
      <c r="R10">
        <v>20998.092952016275</v>
      </c>
      <c r="S10">
        <v>15853.800640394451</v>
      </c>
      <c r="T10">
        <v>29777.800724447694</v>
      </c>
    </row>
    <row r="11" spans="1:20">
      <c r="A11" s="28" t="s">
        <v>9</v>
      </c>
      <c r="B11" s="42">
        <v>6700</v>
      </c>
      <c r="C11" s="42">
        <v>7500</v>
      </c>
      <c r="D11" s="42">
        <v>9000</v>
      </c>
      <c r="E11" s="20">
        <f t="shared" si="0"/>
        <v>7616.666666666667</v>
      </c>
      <c r="F11" s="21">
        <f t="shared" si="1"/>
        <v>2.3913043478260878</v>
      </c>
      <c r="G11" s="20">
        <f t="shared" si="2"/>
        <v>3.6086956521739122</v>
      </c>
      <c r="H11" s="43">
        <f t="shared" ca="1" si="3"/>
        <v>7799.434427354252</v>
      </c>
      <c r="I11">
        <v>2</v>
      </c>
      <c r="J11" s="26" t="s">
        <v>70</v>
      </c>
      <c r="K11" s="46">
        <f ca="1">SUM(H6,H9:H10)</f>
        <v>11972.245055680025</v>
      </c>
      <c r="M11">
        <v>4</v>
      </c>
      <c r="N11">
        <v>98120.960831372868</v>
      </c>
      <c r="O11">
        <v>11181.232640802484</v>
      </c>
      <c r="P11">
        <v>11555.871518434917</v>
      </c>
      <c r="Q11">
        <v>7074.6125408475727</v>
      </c>
      <c r="R11">
        <v>21044.310107577185</v>
      </c>
      <c r="S11">
        <v>16876.274498596762</v>
      </c>
      <c r="T11">
        <v>29477.231183149735</v>
      </c>
    </row>
    <row r="12" spans="1:20">
      <c r="A12" s="30" t="s">
        <v>10</v>
      </c>
      <c r="B12" s="42">
        <v>5300</v>
      </c>
      <c r="C12" s="42">
        <v>5600</v>
      </c>
      <c r="D12" s="42">
        <v>6500</v>
      </c>
      <c r="E12" s="20">
        <f t="shared" si="0"/>
        <v>5700</v>
      </c>
      <c r="F12" s="21">
        <f t="shared" si="1"/>
        <v>2</v>
      </c>
      <c r="G12" s="20">
        <f t="shared" si="2"/>
        <v>4</v>
      </c>
      <c r="H12" s="43">
        <f t="shared" ca="1" si="3"/>
        <v>5563.4502079151334</v>
      </c>
      <c r="I12">
        <v>3</v>
      </c>
      <c r="J12" s="28" t="s">
        <v>71</v>
      </c>
      <c r="K12" s="46">
        <f ca="1">H11</f>
        <v>7799.434427354252</v>
      </c>
      <c r="M12">
        <v>5</v>
      </c>
      <c r="N12">
        <v>98554.262001799943</v>
      </c>
      <c r="O12">
        <v>11372.408980291781</v>
      </c>
      <c r="P12">
        <v>11592.540414668456</v>
      </c>
      <c r="Q12">
        <v>7877.7779976726151</v>
      </c>
      <c r="R12">
        <v>20955.179353348438</v>
      </c>
      <c r="S12">
        <v>16522.634021979964</v>
      </c>
      <c r="T12">
        <v>29117.241349645308</v>
      </c>
    </row>
    <row r="13" spans="1:20">
      <c r="A13" s="30" t="s">
        <v>11</v>
      </c>
      <c r="B13" s="42">
        <v>1400</v>
      </c>
      <c r="C13" s="42">
        <v>1500</v>
      </c>
      <c r="D13" s="42">
        <v>1700</v>
      </c>
      <c r="E13" s="20">
        <f t="shared" si="0"/>
        <v>1516.6666666666667</v>
      </c>
      <c r="F13" s="21">
        <f t="shared" si="1"/>
        <v>2.3333333333333348</v>
      </c>
      <c r="G13" s="20">
        <f t="shared" si="2"/>
        <v>3.6666666666666652</v>
      </c>
      <c r="H13" s="43">
        <f t="shared" ca="1" si="3"/>
        <v>1554.2471157759744</v>
      </c>
      <c r="I13">
        <v>4</v>
      </c>
      <c r="J13" s="29" t="s">
        <v>72</v>
      </c>
      <c r="K13" s="46">
        <f ca="1">SUM(H15,H17:H18,H20)</f>
        <v>22444.651484511578</v>
      </c>
      <c r="M13">
        <v>6</v>
      </c>
      <c r="N13">
        <v>99288.020828987457</v>
      </c>
      <c r="O13">
        <v>11427.824292001114</v>
      </c>
      <c r="P13">
        <v>14151.968595304626</v>
      </c>
      <c r="Q13">
        <v>7274.1847665361183</v>
      </c>
      <c r="R13">
        <v>20296.296701158244</v>
      </c>
      <c r="S13">
        <v>15891.840146379247</v>
      </c>
      <c r="T13">
        <v>29396.178753527332</v>
      </c>
    </row>
    <row r="14" spans="1:20">
      <c r="A14" s="30" t="s">
        <v>12</v>
      </c>
      <c r="B14" s="42">
        <v>1500</v>
      </c>
      <c r="C14" s="42">
        <v>1700</v>
      </c>
      <c r="D14" s="42">
        <v>2000</v>
      </c>
      <c r="E14" s="20">
        <f t="shared" si="0"/>
        <v>1716.6666666666667</v>
      </c>
      <c r="F14" s="21">
        <f t="shared" si="1"/>
        <v>2.600000000000001</v>
      </c>
      <c r="G14" s="20">
        <f t="shared" si="2"/>
        <v>3.399999999999999</v>
      </c>
      <c r="H14" s="43">
        <f t="shared" ca="1" si="3"/>
        <v>1811.5519136811863</v>
      </c>
      <c r="I14">
        <v>5</v>
      </c>
      <c r="J14" s="27" t="s">
        <v>73</v>
      </c>
      <c r="K14" s="46">
        <f ca="1">SUM(H24,H27:H28,H30)</f>
        <v>15368.897160807734</v>
      </c>
      <c r="M14">
        <v>7</v>
      </c>
      <c r="N14">
        <v>98504.363761539658</v>
      </c>
      <c r="O14">
        <v>10888.60436049925</v>
      </c>
      <c r="P14">
        <v>11675.284873190445</v>
      </c>
      <c r="Q14">
        <v>7756.3884202434128</v>
      </c>
      <c r="R14">
        <v>21661.964647369441</v>
      </c>
      <c r="S14">
        <v>16024.309958204638</v>
      </c>
      <c r="T14">
        <v>29409.50679487277</v>
      </c>
    </row>
    <row r="15" spans="1:20">
      <c r="A15" s="29" t="s">
        <v>13</v>
      </c>
      <c r="B15" s="42">
        <v>1900</v>
      </c>
      <c r="C15" s="42">
        <v>2100</v>
      </c>
      <c r="D15" s="42">
        <v>2300</v>
      </c>
      <c r="E15" s="20">
        <f t="shared" si="0"/>
        <v>2100</v>
      </c>
      <c r="F15" s="21">
        <f t="shared" si="1"/>
        <v>3</v>
      </c>
      <c r="G15" s="20">
        <f t="shared" si="2"/>
        <v>3</v>
      </c>
      <c r="H15" s="43">
        <f t="shared" ca="1" si="3"/>
        <v>2067.277975660747</v>
      </c>
      <c r="I15">
        <v>6</v>
      </c>
      <c r="J15" s="30" t="s">
        <v>74</v>
      </c>
      <c r="K15" s="46">
        <f ca="1">SUM(H12:H14,H16,H19,H21:H23,H25:H26,H29)</f>
        <v>28877.573085527754</v>
      </c>
      <c r="M15">
        <v>8</v>
      </c>
      <c r="N15">
        <v>99717.359911934152</v>
      </c>
      <c r="O15">
        <v>10686.265610717717</v>
      </c>
      <c r="P15">
        <v>14405.420880320777</v>
      </c>
      <c r="Q15">
        <v>7236.0788436505745</v>
      </c>
      <c r="R15">
        <v>20595.441560673968</v>
      </c>
      <c r="S15">
        <v>15936.549034843816</v>
      </c>
      <c r="T15">
        <v>29826.32234593726</v>
      </c>
    </row>
    <row r="16" spans="1:20">
      <c r="A16" s="30" t="s">
        <v>14</v>
      </c>
      <c r="B16" s="42">
        <v>2500</v>
      </c>
      <c r="C16" s="42">
        <v>2800</v>
      </c>
      <c r="D16" s="42">
        <v>3200</v>
      </c>
      <c r="E16" s="20">
        <f t="shared" si="0"/>
        <v>2816.6666666666665</v>
      </c>
      <c r="F16" s="21">
        <f t="shared" si="1"/>
        <v>2.7142857142857131</v>
      </c>
      <c r="G16" s="20">
        <f t="shared" si="2"/>
        <v>3.2857142857142869</v>
      </c>
      <c r="H16" s="43">
        <f t="shared" ca="1" si="3"/>
        <v>2666.8178228038273</v>
      </c>
      <c r="M16">
        <v>9</v>
      </c>
      <c r="N16">
        <v>99856.021618260129</v>
      </c>
      <c r="O16">
        <v>10705.658521058605</v>
      </c>
      <c r="P16">
        <v>11632.047793443031</v>
      </c>
      <c r="Q16">
        <v>7951.2307044801846</v>
      </c>
      <c r="R16">
        <v>22193.012662589957</v>
      </c>
      <c r="S16">
        <v>16460.268104077531</v>
      </c>
      <c r="T16">
        <v>29921.833851106225</v>
      </c>
    </row>
    <row r="17" spans="1:20">
      <c r="A17" s="29" t="s">
        <v>15</v>
      </c>
      <c r="B17" s="42">
        <v>14000</v>
      </c>
      <c r="C17" s="42">
        <v>15000</v>
      </c>
      <c r="D17" s="42">
        <v>20000</v>
      </c>
      <c r="E17" s="20">
        <f t="shared" si="0"/>
        <v>15666.666666666666</v>
      </c>
      <c r="F17" s="21">
        <f t="shared" si="1"/>
        <v>1.6666666666666661</v>
      </c>
      <c r="G17" s="20">
        <f t="shared" si="2"/>
        <v>4.3333333333333339</v>
      </c>
      <c r="H17" s="43">
        <f t="shared" ca="1" si="3"/>
        <v>16178.585040842181</v>
      </c>
      <c r="M17">
        <v>10</v>
      </c>
      <c r="N17">
        <v>100152.29327954695</v>
      </c>
      <c r="O17">
        <v>11843.122398957927</v>
      </c>
      <c r="P17">
        <v>11292.058579489771</v>
      </c>
      <c r="Q17">
        <v>7569.0898101619787</v>
      </c>
      <c r="R17">
        <v>22844.536156533999</v>
      </c>
      <c r="S17">
        <v>15688.641767949706</v>
      </c>
      <c r="T17">
        <v>29880.868449725393</v>
      </c>
    </row>
    <row r="18" spans="1:20">
      <c r="A18" s="29" t="s">
        <v>16</v>
      </c>
      <c r="B18" s="42">
        <v>2000</v>
      </c>
      <c r="C18" s="42">
        <v>2200</v>
      </c>
      <c r="D18" s="42">
        <v>3100</v>
      </c>
      <c r="E18" s="20">
        <f t="shared" si="0"/>
        <v>2316.6666666666665</v>
      </c>
      <c r="F18" s="21">
        <f t="shared" si="1"/>
        <v>1.7272727272727264</v>
      </c>
      <c r="G18" s="20">
        <f t="shared" si="2"/>
        <v>4.2727272727272734</v>
      </c>
      <c r="H18" s="43">
        <f t="shared" ca="1" si="3"/>
        <v>2074.6981196754746</v>
      </c>
      <c r="M18">
        <v>11</v>
      </c>
      <c r="N18">
        <v>97044.074848591044</v>
      </c>
      <c r="O18">
        <v>10894.735158341453</v>
      </c>
      <c r="P18">
        <v>12499.618951239085</v>
      </c>
      <c r="Q18">
        <v>6839.7683552508888</v>
      </c>
      <c r="R18">
        <v>21089.471400737373</v>
      </c>
      <c r="S18">
        <v>15821.749799555095</v>
      </c>
      <c r="T18">
        <v>29000.57198128233</v>
      </c>
    </row>
    <row r="19" spans="1:20">
      <c r="A19" s="30" t="s">
        <v>17</v>
      </c>
      <c r="B19" s="42">
        <v>250</v>
      </c>
      <c r="C19" s="42">
        <v>300</v>
      </c>
      <c r="D19" s="42">
        <v>400</v>
      </c>
      <c r="E19" s="20">
        <f t="shared" si="0"/>
        <v>308.33333333333331</v>
      </c>
      <c r="F19" s="21">
        <f t="shared" si="1"/>
        <v>2.3333333333333326</v>
      </c>
      <c r="G19" s="20">
        <f t="shared" si="2"/>
        <v>3.6666666666666674</v>
      </c>
      <c r="H19" s="43">
        <f t="shared" ca="1" si="3"/>
        <v>291.91027114184112</v>
      </c>
      <c r="M19">
        <v>12</v>
      </c>
      <c r="N19">
        <v>97233.565746269829</v>
      </c>
      <c r="O19">
        <v>11409.148688554324</v>
      </c>
      <c r="P19">
        <v>12594.710837230692</v>
      </c>
      <c r="Q19">
        <v>6960.6761737983697</v>
      </c>
      <c r="R19">
        <v>21398.105053668936</v>
      </c>
      <c r="S19">
        <v>14943.413359342325</v>
      </c>
      <c r="T19">
        <v>28967.136580399096</v>
      </c>
    </row>
    <row r="20" spans="1:20">
      <c r="A20" s="29" t="s">
        <v>18</v>
      </c>
      <c r="B20" s="42">
        <v>1500</v>
      </c>
      <c r="C20" s="42">
        <v>1800</v>
      </c>
      <c r="D20" s="42">
        <v>2500</v>
      </c>
      <c r="E20" s="20">
        <f t="shared" si="0"/>
        <v>1866.6666666666667</v>
      </c>
      <c r="F20" s="21">
        <f t="shared" si="1"/>
        <v>2.2000000000000006</v>
      </c>
      <c r="G20" s="20">
        <f t="shared" si="2"/>
        <v>3.7999999999999994</v>
      </c>
      <c r="H20" s="43">
        <f t="shared" ca="1" si="3"/>
        <v>2124.0903483331745</v>
      </c>
      <c r="M20">
        <v>13</v>
      </c>
      <c r="N20">
        <v>99658.740673764652</v>
      </c>
      <c r="O20">
        <v>10955.944301088053</v>
      </c>
      <c r="P20">
        <v>13766.363535100849</v>
      </c>
      <c r="Q20">
        <v>7772.6136040325491</v>
      </c>
      <c r="R20">
        <v>22174.870163204672</v>
      </c>
      <c r="S20">
        <v>15534.031045887226</v>
      </c>
      <c r="T20">
        <v>28549.581968507024</v>
      </c>
    </row>
    <row r="21" spans="1:20">
      <c r="A21" s="30" t="s">
        <v>19</v>
      </c>
      <c r="B21" s="42">
        <v>4000</v>
      </c>
      <c r="C21" s="42">
        <v>5000</v>
      </c>
      <c r="D21" s="42">
        <v>6000</v>
      </c>
      <c r="E21" s="20">
        <f t="shared" si="0"/>
        <v>5000</v>
      </c>
      <c r="F21" s="21">
        <f t="shared" si="1"/>
        <v>3</v>
      </c>
      <c r="G21" s="20">
        <f t="shared" si="2"/>
        <v>3</v>
      </c>
      <c r="H21" s="43">
        <f t="shared" ca="1" si="3"/>
        <v>4715.2836225089713</v>
      </c>
      <c r="M21">
        <v>14</v>
      </c>
      <c r="N21">
        <v>100759.84356456579</v>
      </c>
      <c r="O21">
        <v>11324.998635345401</v>
      </c>
      <c r="P21">
        <v>12262.790700609552</v>
      </c>
      <c r="Q21">
        <v>7614.0622774337035</v>
      </c>
      <c r="R21">
        <v>22613.02215547155</v>
      </c>
      <c r="S21">
        <v>15733.737641194772</v>
      </c>
      <c r="T21">
        <v>30227.896977147841</v>
      </c>
    </row>
    <row r="22" spans="1:20">
      <c r="A22" s="30" t="s">
        <v>20</v>
      </c>
      <c r="B22" s="42">
        <v>2000</v>
      </c>
      <c r="C22" s="42">
        <v>2200</v>
      </c>
      <c r="D22" s="42">
        <v>2500</v>
      </c>
      <c r="E22" s="20">
        <f t="shared" si="0"/>
        <v>2216.6666666666665</v>
      </c>
      <c r="F22" s="21">
        <f t="shared" si="1"/>
        <v>2.5999999999999983</v>
      </c>
      <c r="G22" s="20">
        <f t="shared" si="2"/>
        <v>3.4000000000000017</v>
      </c>
      <c r="H22" s="43">
        <f t="shared" ca="1" si="3"/>
        <v>2256.9356670472371</v>
      </c>
      <c r="M22">
        <v>15</v>
      </c>
      <c r="N22">
        <v>98244.365000711507</v>
      </c>
      <c r="O22">
        <v>10668.466126605545</v>
      </c>
      <c r="P22">
        <v>11882.674030072505</v>
      </c>
      <c r="Q22">
        <v>8199.7354170840081</v>
      </c>
      <c r="R22">
        <v>21708.860215703888</v>
      </c>
      <c r="S22">
        <v>15516.925611991481</v>
      </c>
      <c r="T22">
        <v>29236.355404803817</v>
      </c>
    </row>
    <row r="23" spans="1:20">
      <c r="A23" s="30" t="s">
        <v>21</v>
      </c>
      <c r="B23" s="42">
        <v>5800</v>
      </c>
      <c r="C23" s="42">
        <v>6200</v>
      </c>
      <c r="D23" s="42">
        <v>6600</v>
      </c>
      <c r="E23" s="20">
        <f t="shared" si="0"/>
        <v>6200</v>
      </c>
      <c r="F23" s="21">
        <f t="shared" si="1"/>
        <v>3</v>
      </c>
      <c r="G23" s="20">
        <f t="shared" si="2"/>
        <v>3</v>
      </c>
      <c r="H23" s="43">
        <f t="shared" ca="1" si="3"/>
        <v>6178.5758464172195</v>
      </c>
      <c r="M23">
        <v>16</v>
      </c>
      <c r="N23">
        <v>100053.50656192165</v>
      </c>
      <c r="O23">
        <v>11551.634033370377</v>
      </c>
      <c r="P23">
        <v>12141.086405584396</v>
      </c>
      <c r="Q23">
        <v>7450.2204837497775</v>
      </c>
      <c r="R23">
        <v>22193.788046370089</v>
      </c>
      <c r="S23">
        <v>15899.112828197667</v>
      </c>
      <c r="T23">
        <v>29837.280088875905</v>
      </c>
    </row>
    <row r="24" spans="1:20">
      <c r="A24" s="27" t="s">
        <v>22</v>
      </c>
      <c r="B24" s="42">
        <v>5500</v>
      </c>
      <c r="C24" s="42">
        <v>6300</v>
      </c>
      <c r="D24" s="42">
        <v>7500</v>
      </c>
      <c r="E24" s="20">
        <f t="shared" si="0"/>
        <v>6366.666666666667</v>
      </c>
      <c r="F24" s="21">
        <f t="shared" si="1"/>
        <v>2.600000000000001</v>
      </c>
      <c r="G24" s="20">
        <f t="shared" si="2"/>
        <v>3.399999999999999</v>
      </c>
      <c r="H24" s="43">
        <f t="shared" ca="1" si="3"/>
        <v>6205.7630915935515</v>
      </c>
      <c r="M24">
        <v>17</v>
      </c>
      <c r="N24">
        <v>99656.510858928901</v>
      </c>
      <c r="O24">
        <v>10687.44963908417</v>
      </c>
      <c r="P24">
        <v>12589.02714880287</v>
      </c>
      <c r="Q24">
        <v>7791.7022642813517</v>
      </c>
      <c r="R24">
        <v>20808.523297515658</v>
      </c>
      <c r="S24">
        <v>16236.254320294993</v>
      </c>
      <c r="T24">
        <v>30515.484403638344</v>
      </c>
    </row>
    <row r="25" spans="1:20">
      <c r="A25" s="30" t="s">
        <v>23</v>
      </c>
      <c r="B25" s="42">
        <v>300</v>
      </c>
      <c r="C25" s="42">
        <v>400</v>
      </c>
      <c r="D25" s="42">
        <v>550</v>
      </c>
      <c r="E25" s="20">
        <f t="shared" si="0"/>
        <v>408.33333333333331</v>
      </c>
      <c r="F25" s="21">
        <f t="shared" si="1"/>
        <v>2.5999999999999996</v>
      </c>
      <c r="G25" s="20">
        <f t="shared" si="2"/>
        <v>3.4000000000000004</v>
      </c>
      <c r="H25" s="43">
        <f t="shared" ca="1" si="3"/>
        <v>344.63444671679792</v>
      </c>
      <c r="M25">
        <v>18</v>
      </c>
      <c r="N25">
        <v>98482.546334273502</v>
      </c>
      <c r="O25">
        <v>11247.623518356302</v>
      </c>
      <c r="P25">
        <v>12635.275349763118</v>
      </c>
      <c r="Q25">
        <v>7777.4469160731769</v>
      </c>
      <c r="R25">
        <v>21292.430080159214</v>
      </c>
      <c r="S25">
        <v>14960.12776770561</v>
      </c>
      <c r="T25">
        <v>29433.176683559144</v>
      </c>
    </row>
    <row r="26" spans="1:20">
      <c r="A26" s="30" t="s">
        <v>24</v>
      </c>
      <c r="B26" s="42">
        <v>2500</v>
      </c>
      <c r="C26" s="42">
        <v>2800</v>
      </c>
      <c r="D26" s="42">
        <v>3500</v>
      </c>
      <c r="E26" s="20">
        <f t="shared" si="0"/>
        <v>2866.6666666666665</v>
      </c>
      <c r="F26" s="21">
        <f t="shared" si="1"/>
        <v>2.1999999999999993</v>
      </c>
      <c r="G26" s="20">
        <f t="shared" si="2"/>
        <v>3.8000000000000007</v>
      </c>
      <c r="H26" s="43">
        <f t="shared" ca="1" si="3"/>
        <v>2580.0231529308894</v>
      </c>
      <c r="M26">
        <v>19</v>
      </c>
      <c r="N26">
        <v>98133.400201212557</v>
      </c>
      <c r="O26">
        <v>11531.702311341556</v>
      </c>
      <c r="P26">
        <v>13130.645609326137</v>
      </c>
      <c r="Q26">
        <v>7189.3208400139247</v>
      </c>
      <c r="R26">
        <v>20693.839502333987</v>
      </c>
      <c r="S26">
        <v>15363.215330202203</v>
      </c>
      <c r="T26">
        <v>29380.142104133989</v>
      </c>
    </row>
    <row r="27" spans="1:20">
      <c r="A27" s="27" t="s">
        <v>25</v>
      </c>
      <c r="B27" s="42">
        <v>4300</v>
      </c>
      <c r="C27" s="42">
        <v>4500</v>
      </c>
      <c r="D27" s="42">
        <v>5000</v>
      </c>
      <c r="E27" s="20">
        <f t="shared" si="0"/>
        <v>4550</v>
      </c>
      <c r="F27" s="21">
        <f t="shared" si="1"/>
        <v>2.1428571428571428</v>
      </c>
      <c r="G27" s="20">
        <f t="shared" si="2"/>
        <v>3.8571428571428572</v>
      </c>
      <c r="H27" s="43">
        <f t="shared" ca="1" si="3"/>
        <v>4620.1742539325742</v>
      </c>
      <c r="M27">
        <v>20</v>
      </c>
      <c r="N27">
        <v>98311.452739678396</v>
      </c>
      <c r="O27">
        <v>11021.974359138403</v>
      </c>
      <c r="P27">
        <v>12500.479601332549</v>
      </c>
      <c r="Q27">
        <v>7350.12621488893</v>
      </c>
      <c r="R27">
        <v>21822.165908969226</v>
      </c>
      <c r="S27">
        <v>15135.71352095588</v>
      </c>
      <c r="T27">
        <v>29443.285091435555</v>
      </c>
    </row>
    <row r="28" spans="1:20">
      <c r="A28" s="27" t="s">
        <v>26</v>
      </c>
      <c r="B28" s="42">
        <v>1900</v>
      </c>
      <c r="C28" s="42">
        <v>2200</v>
      </c>
      <c r="D28" s="42">
        <v>2600</v>
      </c>
      <c r="E28" s="20">
        <f t="shared" si="0"/>
        <v>2216.6666666666665</v>
      </c>
      <c r="F28" s="21">
        <f t="shared" si="1"/>
        <v>2.7142857142857131</v>
      </c>
      <c r="G28" s="20">
        <f t="shared" si="2"/>
        <v>3.2857142857142869</v>
      </c>
      <c r="H28" s="43">
        <f t="shared" ca="1" si="3"/>
        <v>2071.6143606983997</v>
      </c>
      <c r="M28">
        <v>21</v>
      </c>
      <c r="N28">
        <v>98048.63946148027</v>
      </c>
      <c r="O28">
        <v>10920.648140941286</v>
      </c>
      <c r="P28">
        <v>11359.950749912532</v>
      </c>
      <c r="Q28">
        <v>7609.1480007811633</v>
      </c>
      <c r="R28">
        <v>22054.806254044972</v>
      </c>
      <c r="S28">
        <v>16160.908193512088</v>
      </c>
      <c r="T28">
        <v>29097.697017434864</v>
      </c>
    </row>
    <row r="29" spans="1:20">
      <c r="A29" s="30" t="s">
        <v>27</v>
      </c>
      <c r="B29" s="42">
        <v>850</v>
      </c>
      <c r="C29" s="42">
        <v>900</v>
      </c>
      <c r="D29" s="42">
        <v>1000</v>
      </c>
      <c r="E29" s="20">
        <f t="shared" si="0"/>
        <v>908.33333333333337</v>
      </c>
      <c r="F29" s="21">
        <f t="shared" si="1"/>
        <v>2.3333333333333348</v>
      </c>
      <c r="G29" s="20">
        <f t="shared" si="2"/>
        <v>3.6666666666666652</v>
      </c>
      <c r="H29" s="43">
        <f t="shared" ca="1" si="3"/>
        <v>914.14301858867407</v>
      </c>
      <c r="M29">
        <v>22</v>
      </c>
      <c r="N29">
        <v>100251.62361323937</v>
      </c>
      <c r="O29">
        <v>11358.658851843498</v>
      </c>
      <c r="P29">
        <v>14098.04074093336</v>
      </c>
      <c r="Q29">
        <v>7109.4294960056395</v>
      </c>
      <c r="R29">
        <v>22204.383336888939</v>
      </c>
      <c r="S29">
        <v>15493.840760572668</v>
      </c>
      <c r="T29">
        <v>29212.408902562751</v>
      </c>
    </row>
    <row r="30" spans="1:20">
      <c r="A30" s="27" t="s">
        <v>28</v>
      </c>
      <c r="B30" s="42">
        <v>2300</v>
      </c>
      <c r="C30" s="42">
        <v>2500</v>
      </c>
      <c r="D30" s="42">
        <v>2700</v>
      </c>
      <c r="E30" s="20">
        <f t="shared" si="0"/>
        <v>2500</v>
      </c>
      <c r="F30" s="21">
        <f t="shared" si="1"/>
        <v>3</v>
      </c>
      <c r="G30" s="20">
        <f t="shared" si="2"/>
        <v>3</v>
      </c>
      <c r="H30" s="43">
        <f t="shared" ca="1" si="3"/>
        <v>2471.3454545832074</v>
      </c>
      <c r="M30">
        <v>23</v>
      </c>
      <c r="N30">
        <v>101684.69881319051</v>
      </c>
      <c r="O30">
        <v>11151.655397733193</v>
      </c>
      <c r="P30">
        <v>13941.819970969635</v>
      </c>
      <c r="Q30">
        <v>8575.5749374292609</v>
      </c>
      <c r="R30">
        <v>21627.744381420882</v>
      </c>
      <c r="S30">
        <v>15593.358480850678</v>
      </c>
      <c r="T30">
        <v>29699.770363545846</v>
      </c>
    </row>
    <row r="31" spans="1:20">
      <c r="A31" t="s">
        <v>29</v>
      </c>
      <c r="B31" s="42">
        <v>700</v>
      </c>
      <c r="C31" s="42">
        <v>1000</v>
      </c>
      <c r="D31" s="42">
        <v>1300</v>
      </c>
      <c r="E31" s="20">
        <f t="shared" si="0"/>
        <v>1000</v>
      </c>
      <c r="F31" s="21">
        <f t="shared" si="1"/>
        <v>3</v>
      </c>
      <c r="G31" s="20">
        <f t="shared" si="2"/>
        <v>3</v>
      </c>
      <c r="H31" s="43">
        <f t="shared" ca="1" si="3"/>
        <v>1055.7735519170055</v>
      </c>
      <c r="M31">
        <v>24</v>
      </c>
      <c r="N31">
        <v>100162.97057208068</v>
      </c>
      <c r="O31">
        <v>11110.288645164332</v>
      </c>
      <c r="P31">
        <v>12462.314860451252</v>
      </c>
      <c r="Q31">
        <v>7768.9230591501855</v>
      </c>
      <c r="R31">
        <v>21831.941947392752</v>
      </c>
      <c r="S31">
        <v>16114.763900399746</v>
      </c>
      <c r="T31">
        <v>29851.715054875498</v>
      </c>
    </row>
    <row r="32" spans="1:20">
      <c r="M32">
        <v>25</v>
      </c>
      <c r="N32">
        <v>102734.45783901001</v>
      </c>
      <c r="O32">
        <v>11296.587739470477</v>
      </c>
      <c r="P32">
        <v>12982.722190727509</v>
      </c>
      <c r="Q32">
        <v>8163.3785666699669</v>
      </c>
      <c r="R32">
        <v>22703.261633694325</v>
      </c>
      <c r="S32">
        <v>16232.546423208323</v>
      </c>
      <c r="T32">
        <v>30221.533622190338</v>
      </c>
    </row>
    <row r="33" spans="13:20">
      <c r="M33">
        <v>26</v>
      </c>
      <c r="N33">
        <v>98727.772343691686</v>
      </c>
      <c r="O33">
        <v>11611.889722394199</v>
      </c>
      <c r="P33">
        <v>12115.755555144837</v>
      </c>
      <c r="Q33">
        <v>7610.2970050383328</v>
      </c>
      <c r="R33">
        <v>22377.206934474096</v>
      </c>
      <c r="S33">
        <v>15838.301249118993</v>
      </c>
      <c r="T33">
        <v>28319.931539974183</v>
      </c>
    </row>
    <row r="34" spans="13:20">
      <c r="M34">
        <v>27</v>
      </c>
      <c r="N34">
        <v>101143.28419038621</v>
      </c>
      <c r="O34">
        <v>11239.217490657345</v>
      </c>
      <c r="P34">
        <v>13477.258443820836</v>
      </c>
      <c r="Q34">
        <v>7530.9914312611218</v>
      </c>
      <c r="R34">
        <v>21326.308448735726</v>
      </c>
      <c r="S34">
        <v>16457.941530459626</v>
      </c>
      <c r="T34">
        <v>30104.484336615336</v>
      </c>
    </row>
    <row r="35" spans="13:20">
      <c r="M35">
        <v>28</v>
      </c>
      <c r="N35">
        <v>99281.874122705631</v>
      </c>
      <c r="O35">
        <v>11049.058507764334</v>
      </c>
      <c r="P35">
        <v>12423.097108058748</v>
      </c>
      <c r="Q35">
        <v>7368.3587668750515</v>
      </c>
      <c r="R35">
        <v>22168.050711717082</v>
      </c>
      <c r="S35">
        <v>15727.647616485589</v>
      </c>
      <c r="T35">
        <v>29674.113292187914</v>
      </c>
    </row>
    <row r="36" spans="13:20">
      <c r="M36">
        <v>29</v>
      </c>
      <c r="N36">
        <v>101338.47076315305</v>
      </c>
      <c r="O36">
        <v>11107.306566215178</v>
      </c>
      <c r="P36">
        <v>13180.141251014978</v>
      </c>
      <c r="Q36">
        <v>7338.1590321791891</v>
      </c>
      <c r="R36">
        <v>22998.88997804566</v>
      </c>
      <c r="S36">
        <v>16302.56461966385</v>
      </c>
      <c r="T36">
        <v>29343.011438189886</v>
      </c>
    </row>
    <row r="37" spans="13:20">
      <c r="M37">
        <v>30</v>
      </c>
      <c r="N37">
        <v>97599.092345574536</v>
      </c>
      <c r="O37">
        <v>11587.999838755421</v>
      </c>
      <c r="P37">
        <v>12008.087541547708</v>
      </c>
      <c r="Q37">
        <v>7698.070740552309</v>
      </c>
      <c r="R37">
        <v>20979.354880930074</v>
      </c>
      <c r="S37">
        <v>15209.979821462315</v>
      </c>
      <c r="T37">
        <v>29161.11164152807</v>
      </c>
    </row>
    <row r="38" spans="13:20">
      <c r="M38">
        <v>31</v>
      </c>
      <c r="N38">
        <v>97683.540411862807</v>
      </c>
      <c r="O38">
        <v>10889.684816447698</v>
      </c>
      <c r="P38">
        <v>13715.743860388578</v>
      </c>
      <c r="Q38">
        <v>6924.5945677604414</v>
      </c>
      <c r="R38">
        <v>20362.852063933809</v>
      </c>
      <c r="S38">
        <v>15699.917099088432</v>
      </c>
      <c r="T38">
        <v>29056.2298546452</v>
      </c>
    </row>
    <row r="39" spans="13:20">
      <c r="M39">
        <v>32</v>
      </c>
      <c r="N39">
        <v>100358.71846417556</v>
      </c>
      <c r="O39">
        <v>10668.345454509375</v>
      </c>
      <c r="P39">
        <v>11526.122390967175</v>
      </c>
      <c r="Q39">
        <v>7427.6677822122747</v>
      </c>
      <c r="R39">
        <v>25243.90066855578</v>
      </c>
      <c r="S39">
        <v>15522.490857569624</v>
      </c>
      <c r="T39">
        <v>28916.630039058946</v>
      </c>
    </row>
    <row r="40" spans="13:20">
      <c r="M40">
        <v>33</v>
      </c>
      <c r="N40">
        <v>99285.643077783447</v>
      </c>
      <c r="O40">
        <v>11310.940873557865</v>
      </c>
      <c r="P40">
        <v>11405.381431630123</v>
      </c>
      <c r="Q40">
        <v>8340.1751724027599</v>
      </c>
      <c r="R40">
        <v>20943.609573551588</v>
      </c>
      <c r="S40">
        <v>16172.583621246422</v>
      </c>
      <c r="T40">
        <v>30004.091532124614</v>
      </c>
    </row>
    <row r="41" spans="13:20">
      <c r="M41">
        <v>34</v>
      </c>
      <c r="N41">
        <v>98209.604387865489</v>
      </c>
      <c r="O41">
        <v>10802.596466177542</v>
      </c>
      <c r="P41">
        <v>11305.789890555472</v>
      </c>
      <c r="Q41">
        <v>7305.4259832915823</v>
      </c>
      <c r="R41">
        <v>22843.363226397985</v>
      </c>
      <c r="S41">
        <v>15617.87194048558</v>
      </c>
      <c r="T41">
        <v>29494.425691235145</v>
      </c>
    </row>
    <row r="42" spans="13:20">
      <c r="M42">
        <v>35</v>
      </c>
      <c r="N42">
        <v>102861.87292808926</v>
      </c>
      <c r="O42">
        <v>11431.445524903147</v>
      </c>
      <c r="P42">
        <v>12056.910990945456</v>
      </c>
      <c r="Q42">
        <v>7470.6723186630434</v>
      </c>
      <c r="R42">
        <v>25734.838395687188</v>
      </c>
      <c r="S42">
        <v>15699.872339895883</v>
      </c>
      <c r="T42">
        <v>29398.913268509688</v>
      </c>
    </row>
    <row r="43" spans="13:20">
      <c r="M43">
        <v>36</v>
      </c>
      <c r="N43">
        <v>101460.25632579344</v>
      </c>
      <c r="O43">
        <v>11262.125994754617</v>
      </c>
      <c r="P43">
        <v>13598.618113426228</v>
      </c>
      <c r="Q43">
        <v>7076.6945991760285</v>
      </c>
      <c r="R43">
        <v>22108.927671510817</v>
      </c>
      <c r="S43">
        <v>15976.334254846743</v>
      </c>
      <c r="T43">
        <v>30486.932811363506</v>
      </c>
    </row>
    <row r="44" spans="13:20">
      <c r="M44">
        <v>37</v>
      </c>
      <c r="N44">
        <v>99213.662571291643</v>
      </c>
      <c r="O44">
        <v>12059.327166783805</v>
      </c>
      <c r="P44">
        <v>11772.707344409613</v>
      </c>
      <c r="Q44">
        <v>7386.3688596444163</v>
      </c>
      <c r="R44">
        <v>21817.314216904851</v>
      </c>
      <c r="S44">
        <v>15805.986439609105</v>
      </c>
      <c r="T44">
        <v>29416.57150879976</v>
      </c>
    </row>
    <row r="45" spans="13:20">
      <c r="M45">
        <v>38</v>
      </c>
      <c r="N45">
        <v>101390.9188518443</v>
      </c>
      <c r="O45">
        <v>10977.823750265517</v>
      </c>
      <c r="P45">
        <v>12702.582693262921</v>
      </c>
      <c r="Q45">
        <v>8071.6211013862267</v>
      </c>
      <c r="R45">
        <v>22685.932303338719</v>
      </c>
      <c r="S45">
        <v>15563.441060761686</v>
      </c>
      <c r="T45">
        <v>30175.14943205344</v>
      </c>
    </row>
    <row r="46" spans="13:20">
      <c r="M46">
        <v>39</v>
      </c>
      <c r="N46">
        <v>102636.79507605938</v>
      </c>
      <c r="O46">
        <v>11423.888825199392</v>
      </c>
      <c r="P46">
        <v>13604.241991352486</v>
      </c>
      <c r="Q46">
        <v>7544.0908623011783</v>
      </c>
      <c r="R46">
        <v>23503.179062025109</v>
      </c>
      <c r="S46">
        <v>15197.464205419818</v>
      </c>
      <c r="T46">
        <v>30227.769347337842</v>
      </c>
    </row>
    <row r="47" spans="13:20">
      <c r="M47">
        <v>40</v>
      </c>
      <c r="N47">
        <v>102321.07431037222</v>
      </c>
      <c r="O47">
        <v>11089.963448422868</v>
      </c>
      <c r="P47">
        <v>11960.367123926324</v>
      </c>
      <c r="Q47">
        <v>7357.4063309324083</v>
      </c>
      <c r="R47">
        <v>23991.522234617318</v>
      </c>
      <c r="S47">
        <v>15899.350024831681</v>
      </c>
      <c r="T47">
        <v>31084.326390870658</v>
      </c>
    </row>
    <row r="48" spans="13:20">
      <c r="M48">
        <v>41</v>
      </c>
      <c r="N48">
        <v>101073.15988389085</v>
      </c>
      <c r="O48">
        <v>10885.578830638937</v>
      </c>
      <c r="P48">
        <v>12346.450773396267</v>
      </c>
      <c r="Q48">
        <v>8418.3870747513047</v>
      </c>
      <c r="R48">
        <v>22988.676266834693</v>
      </c>
      <c r="S48">
        <v>15515.68473897215</v>
      </c>
      <c r="T48">
        <v>29862.272127729266</v>
      </c>
    </row>
    <row r="49" spans="13:20">
      <c r="M49">
        <v>42</v>
      </c>
      <c r="N49">
        <v>100901.5944858966</v>
      </c>
      <c r="O49">
        <v>10992.206158596869</v>
      </c>
      <c r="P49">
        <v>12457.281902568626</v>
      </c>
      <c r="Q49">
        <v>8140.2089832282109</v>
      </c>
      <c r="R49">
        <v>22286.249753678356</v>
      </c>
      <c r="S49">
        <v>16010.085085811403</v>
      </c>
      <c r="T49">
        <v>29940.925089113174</v>
      </c>
    </row>
    <row r="50" spans="13:20">
      <c r="M50">
        <v>43</v>
      </c>
      <c r="N50">
        <v>98303.610670701426</v>
      </c>
      <c r="O50">
        <v>10883.755341462576</v>
      </c>
      <c r="P50">
        <v>12812.773800898902</v>
      </c>
      <c r="Q50">
        <v>7195.4137002583575</v>
      </c>
      <c r="R50">
        <v>21051.277462610778</v>
      </c>
      <c r="S50">
        <v>15288.423519938568</v>
      </c>
      <c r="T50">
        <v>29948.797783374783</v>
      </c>
    </row>
    <row r="51" spans="13:20">
      <c r="M51">
        <v>44</v>
      </c>
      <c r="N51">
        <v>100803.86114157009</v>
      </c>
      <c r="O51">
        <v>11008.875577399924</v>
      </c>
      <c r="P51">
        <v>13179.57286822025</v>
      </c>
      <c r="Q51">
        <v>6933.8390727128544</v>
      </c>
      <c r="R51">
        <v>22032.363519477105</v>
      </c>
      <c r="S51">
        <v>16550.820128255047</v>
      </c>
      <c r="T51">
        <v>30123.154174207917</v>
      </c>
    </row>
    <row r="52" spans="13:20">
      <c r="M52">
        <v>45</v>
      </c>
      <c r="N52">
        <v>100135.21749768786</v>
      </c>
      <c r="O52">
        <v>11339.76131473434</v>
      </c>
      <c r="P52">
        <v>13024.032028880927</v>
      </c>
      <c r="Q52">
        <v>7406.9607516451388</v>
      </c>
      <c r="R52">
        <v>22201.345754868838</v>
      </c>
      <c r="S52">
        <v>15255.70233367967</v>
      </c>
      <c r="T52">
        <v>29831.717207221085</v>
      </c>
    </row>
    <row r="53" spans="13:20">
      <c r="M53">
        <v>46</v>
      </c>
      <c r="N53">
        <v>97905.318140109332</v>
      </c>
      <c r="O53">
        <v>10988.366801707696</v>
      </c>
      <c r="P53">
        <v>11503.437075703503</v>
      </c>
      <c r="Q53">
        <v>7652.8272518996509</v>
      </c>
      <c r="R53">
        <v>22298.167028032873</v>
      </c>
      <c r="S53">
        <v>15332.356395268704</v>
      </c>
      <c r="T53">
        <v>29149.039081121678</v>
      </c>
    </row>
    <row r="54" spans="13:20">
      <c r="M54">
        <v>47</v>
      </c>
      <c r="N54">
        <v>98945.46229008901</v>
      </c>
      <c r="O54">
        <v>10904.412640098526</v>
      </c>
      <c r="P54">
        <v>12198.325833821709</v>
      </c>
      <c r="Q54">
        <v>7279.8223748723694</v>
      </c>
      <c r="R54">
        <v>22023.91315726153</v>
      </c>
      <c r="S54">
        <v>15559.55053386285</v>
      </c>
      <c r="T54">
        <v>29795.259869941638</v>
      </c>
    </row>
    <row r="55" spans="13:20">
      <c r="M55">
        <v>48</v>
      </c>
      <c r="N55">
        <v>99190.812177668675</v>
      </c>
      <c r="O55">
        <v>10963.536983744809</v>
      </c>
      <c r="P55">
        <v>13282.408200533968</v>
      </c>
      <c r="Q55">
        <v>7853.4408678994369</v>
      </c>
      <c r="R55">
        <v>21412.106918089561</v>
      </c>
      <c r="S55">
        <v>15876.266360049005</v>
      </c>
      <c r="T55">
        <v>28762.388320042908</v>
      </c>
    </row>
    <row r="56" spans="13:20">
      <c r="M56">
        <v>49</v>
      </c>
      <c r="N56">
        <v>98912.494803242531</v>
      </c>
      <c r="O56">
        <v>11111.623076802827</v>
      </c>
      <c r="P56">
        <v>12318.403243423709</v>
      </c>
      <c r="Q56">
        <v>7064.046418079005</v>
      </c>
      <c r="R56">
        <v>22088.209407591967</v>
      </c>
      <c r="S56">
        <v>15848.162673339979</v>
      </c>
      <c r="T56">
        <v>29629.151800492778</v>
      </c>
    </row>
    <row r="57" spans="13:20">
      <c r="M57">
        <v>50</v>
      </c>
      <c r="N57">
        <v>100654.57062375279</v>
      </c>
      <c r="O57">
        <v>11147.839952281969</v>
      </c>
      <c r="P57">
        <v>12065.616776088877</v>
      </c>
      <c r="Q57">
        <v>7741.7233212862102</v>
      </c>
      <c r="R57">
        <v>23174.597594753672</v>
      </c>
      <c r="S57">
        <v>15523.830828118946</v>
      </c>
      <c r="T57">
        <v>30013.020712248581</v>
      </c>
    </row>
    <row r="58" spans="13:20">
      <c r="M58">
        <v>51</v>
      </c>
      <c r="N58">
        <v>101249.64697862629</v>
      </c>
      <c r="O58">
        <v>11050.899000483072</v>
      </c>
      <c r="P58">
        <v>13814.507066636776</v>
      </c>
      <c r="Q58">
        <v>7333.4256804694187</v>
      </c>
      <c r="R58">
        <v>21773.203524108758</v>
      </c>
      <c r="S58">
        <v>16039.228041093707</v>
      </c>
      <c r="T58">
        <v>30058.476111633521</v>
      </c>
    </row>
    <row r="59" spans="13:20">
      <c r="M59">
        <v>52</v>
      </c>
      <c r="N59">
        <v>97842.510538396789</v>
      </c>
      <c r="O59">
        <v>11590.845690762357</v>
      </c>
      <c r="P59">
        <v>10934.182068644703</v>
      </c>
      <c r="Q59">
        <v>7725.353705502489</v>
      </c>
      <c r="R59">
        <v>20653.049615304782</v>
      </c>
      <c r="S59">
        <v>16149.538231088445</v>
      </c>
      <c r="T59">
        <v>29909.748167979506</v>
      </c>
    </row>
    <row r="60" spans="13:20">
      <c r="M60">
        <v>53</v>
      </c>
      <c r="N60">
        <v>99158.48143220268</v>
      </c>
      <c r="O60">
        <v>11966.397430111007</v>
      </c>
      <c r="P60">
        <v>12245.785818614568</v>
      </c>
      <c r="Q60">
        <v>7603.776348988622</v>
      </c>
      <c r="R60">
        <v>20767.136617515825</v>
      </c>
      <c r="S60">
        <v>16055.031810773204</v>
      </c>
      <c r="T60">
        <v>29527.216722618366</v>
      </c>
    </row>
    <row r="61" spans="13:20">
      <c r="M61">
        <v>54</v>
      </c>
      <c r="N61">
        <v>100099.91526499174</v>
      </c>
      <c r="O61">
        <v>11305.945364054165</v>
      </c>
      <c r="P61">
        <v>11467.157766596083</v>
      </c>
      <c r="Q61">
        <v>7544.4409909961832</v>
      </c>
      <c r="R61">
        <v>23655.375430658889</v>
      </c>
      <c r="S61">
        <v>15533.637637071004</v>
      </c>
      <c r="T61">
        <v>29604.477638279346</v>
      </c>
    </row>
    <row r="62" spans="13:20">
      <c r="M62">
        <v>55</v>
      </c>
      <c r="N62">
        <v>102604.29023426176</v>
      </c>
      <c r="O62">
        <v>11351.413170643602</v>
      </c>
      <c r="P62">
        <v>12602.252804261863</v>
      </c>
      <c r="Q62">
        <v>7929.1579893202761</v>
      </c>
      <c r="R62">
        <v>23011.127287066894</v>
      </c>
      <c r="S62">
        <v>16517.543108542675</v>
      </c>
      <c r="T62">
        <v>30262.073313705168</v>
      </c>
    </row>
    <row r="63" spans="13:20">
      <c r="M63">
        <v>56</v>
      </c>
      <c r="N63">
        <v>99304.892694898706</v>
      </c>
      <c r="O63">
        <v>10573.370213155733</v>
      </c>
      <c r="P63">
        <v>11501.104841727092</v>
      </c>
      <c r="Q63">
        <v>7739.4696171187006</v>
      </c>
      <c r="R63">
        <v>22724.568107580773</v>
      </c>
      <c r="S63">
        <v>15409.183229673108</v>
      </c>
      <c r="T63">
        <v>30232.872059372745</v>
      </c>
    </row>
    <row r="64" spans="13:20">
      <c r="M64">
        <v>57</v>
      </c>
      <c r="N64">
        <v>102660.92322013721</v>
      </c>
      <c r="O64">
        <v>11465.75230394366</v>
      </c>
      <c r="P64">
        <v>12689.758166953812</v>
      </c>
      <c r="Q64">
        <v>7662.3798860209336</v>
      </c>
      <c r="R64">
        <v>24121.408989291362</v>
      </c>
      <c r="S64">
        <v>15898.244041380012</v>
      </c>
      <c r="T64">
        <v>29752.599261501196</v>
      </c>
    </row>
    <row r="65" spans="13:20">
      <c r="M65">
        <v>58</v>
      </c>
      <c r="N65">
        <v>97386.484060559917</v>
      </c>
      <c r="O65">
        <v>10893.439840582476</v>
      </c>
      <c r="P65">
        <v>12758.512304687671</v>
      </c>
      <c r="Q65">
        <v>7734.1733856588944</v>
      </c>
      <c r="R65">
        <v>20212.095978881294</v>
      </c>
      <c r="S65">
        <v>15525.120218013441</v>
      </c>
      <c r="T65">
        <v>29381.832088855495</v>
      </c>
    </row>
    <row r="66" spans="13:20">
      <c r="M66">
        <v>59</v>
      </c>
      <c r="N66">
        <v>98788.691742845738</v>
      </c>
      <c r="O66">
        <v>11097.043185271807</v>
      </c>
      <c r="P66">
        <v>12350.092700969602</v>
      </c>
      <c r="Q66">
        <v>7711.4128626967295</v>
      </c>
      <c r="R66">
        <v>21401.616576943805</v>
      </c>
      <c r="S66">
        <v>15822.546887935938</v>
      </c>
      <c r="T66">
        <v>29304.337127572006</v>
      </c>
    </row>
    <row r="67" spans="13:20">
      <c r="M67">
        <v>60</v>
      </c>
      <c r="N67">
        <v>103590.61288220368</v>
      </c>
      <c r="O67">
        <v>10916.01813840399</v>
      </c>
      <c r="P67">
        <v>14164.730374544639</v>
      </c>
      <c r="Q67">
        <v>8463.6763018155052</v>
      </c>
      <c r="R67">
        <v>23020.503096689779</v>
      </c>
      <c r="S67">
        <v>15955.741075288668</v>
      </c>
      <c r="T67">
        <v>30148.419728786823</v>
      </c>
    </row>
    <row r="68" spans="13:20">
      <c r="M68">
        <v>61</v>
      </c>
      <c r="N68">
        <v>98753.53205799096</v>
      </c>
      <c r="O68">
        <v>10930.355012027547</v>
      </c>
      <c r="P68">
        <v>12253.580116149686</v>
      </c>
      <c r="Q68">
        <v>7989.5356160972051</v>
      </c>
      <c r="R68">
        <v>21546.818233942024</v>
      </c>
      <c r="S68">
        <v>15334.32700422716</v>
      </c>
      <c r="T68">
        <v>29572.192318598245</v>
      </c>
    </row>
    <row r="69" spans="13:20">
      <c r="M69">
        <v>62</v>
      </c>
      <c r="N69">
        <v>101362.63399851361</v>
      </c>
      <c r="O69">
        <v>11539.051421897804</v>
      </c>
      <c r="P69">
        <v>13058.682836339118</v>
      </c>
      <c r="Q69">
        <v>7311.7972544650474</v>
      </c>
      <c r="R69">
        <v>23808.28368553445</v>
      </c>
      <c r="S69">
        <v>16196.136875437784</v>
      </c>
      <c r="T69">
        <v>28381.079699584589</v>
      </c>
    </row>
    <row r="70" spans="13:20">
      <c r="M70">
        <v>63</v>
      </c>
      <c r="N70">
        <v>98896.313373127807</v>
      </c>
      <c r="O70">
        <v>11324.563892558974</v>
      </c>
      <c r="P70">
        <v>11541.44701842603</v>
      </c>
      <c r="Q70">
        <v>7349.6169220855299</v>
      </c>
      <c r="R70">
        <v>22277.208088266379</v>
      </c>
      <c r="S70">
        <v>15335.876792051682</v>
      </c>
      <c r="T70">
        <v>30005.547549480358</v>
      </c>
    </row>
    <row r="71" spans="13:20">
      <c r="M71">
        <v>64</v>
      </c>
      <c r="N71">
        <v>98294.99919976294</v>
      </c>
      <c r="O71">
        <v>11085.205016829272</v>
      </c>
      <c r="P71">
        <v>12097.961086717936</v>
      </c>
      <c r="Q71">
        <v>8378.0817246799434</v>
      </c>
      <c r="R71">
        <v>20784.582292425293</v>
      </c>
      <c r="S71">
        <v>15037.165735428738</v>
      </c>
      <c r="T71">
        <v>29832.924550150994</v>
      </c>
    </row>
    <row r="72" spans="13:20">
      <c r="M72">
        <v>65</v>
      </c>
      <c r="N72">
        <v>96853.61462563934</v>
      </c>
      <c r="O72">
        <v>11012.257666242369</v>
      </c>
      <c r="P72">
        <v>11531.359335352627</v>
      </c>
      <c r="Q72">
        <v>7185.3038900064712</v>
      </c>
      <c r="R72">
        <v>21966.171315326297</v>
      </c>
      <c r="S72">
        <v>15211.820766286197</v>
      </c>
      <c r="T72">
        <v>29042.151935651673</v>
      </c>
    </row>
    <row r="73" spans="13:20">
      <c r="M73">
        <v>66</v>
      </c>
      <c r="N73">
        <v>103598.43010358079</v>
      </c>
      <c r="O73">
        <v>11692.882290216579</v>
      </c>
      <c r="P73">
        <v>12937.445000234646</v>
      </c>
      <c r="Q73">
        <v>7878.1689529114601</v>
      </c>
      <c r="R73">
        <v>24144.242945709375</v>
      </c>
      <c r="S73">
        <v>16075.94992834927</v>
      </c>
      <c r="T73">
        <v>29706.042598902088</v>
      </c>
    </row>
    <row r="74" spans="13:20">
      <c r="M74">
        <v>67</v>
      </c>
      <c r="N74">
        <v>98830.158800471036</v>
      </c>
      <c r="O74">
        <v>10888.651105760697</v>
      </c>
      <c r="P74">
        <v>11866.277499877757</v>
      </c>
      <c r="Q74">
        <v>7414.4132595019955</v>
      </c>
      <c r="R74">
        <v>23171.419191529938</v>
      </c>
      <c r="S74">
        <v>15230.598787648496</v>
      </c>
      <c r="T74">
        <v>29115.277202539579</v>
      </c>
    </row>
    <row r="75" spans="13:20">
      <c r="M75">
        <v>68</v>
      </c>
      <c r="N75">
        <v>99956.076461386125</v>
      </c>
      <c r="O75">
        <v>10869.791363766302</v>
      </c>
      <c r="P75">
        <v>11587.201938007523</v>
      </c>
      <c r="Q75">
        <v>7455.6546798173531</v>
      </c>
      <c r="R75">
        <v>22799.858957587643</v>
      </c>
      <c r="S75">
        <v>16466.679298406892</v>
      </c>
      <c r="T75">
        <v>29641.09675147288</v>
      </c>
    </row>
    <row r="76" spans="13:20">
      <c r="M76">
        <v>69</v>
      </c>
      <c r="N76">
        <v>99772.365031741749</v>
      </c>
      <c r="O76">
        <v>11240.13404212523</v>
      </c>
      <c r="P76">
        <v>13280.767484494905</v>
      </c>
      <c r="Q76">
        <v>7405.1904387401519</v>
      </c>
      <c r="R76">
        <v>21937.505507657068</v>
      </c>
      <c r="S76">
        <v>15012.146980963975</v>
      </c>
      <c r="T76">
        <v>29919.219050611489</v>
      </c>
    </row>
    <row r="77" spans="13:20">
      <c r="M77">
        <v>70</v>
      </c>
      <c r="N77">
        <v>99074.918331290872</v>
      </c>
      <c r="O77">
        <v>11267.030124211014</v>
      </c>
      <c r="P77">
        <v>12004.809718828905</v>
      </c>
      <c r="Q77">
        <v>7868.3985101758353</v>
      </c>
      <c r="R77">
        <v>21233.653593472336</v>
      </c>
      <c r="S77">
        <v>15686.506509538374</v>
      </c>
      <c r="T77">
        <v>29876.108041762887</v>
      </c>
    </row>
    <row r="78" spans="13:20">
      <c r="M78">
        <v>71</v>
      </c>
      <c r="N78">
        <v>99022.373486492565</v>
      </c>
      <c r="O78">
        <v>11587.330364098396</v>
      </c>
      <c r="P78">
        <v>11683.167368300235</v>
      </c>
      <c r="Q78">
        <v>8149.7566958790212</v>
      </c>
      <c r="R78">
        <v>20336.754689739188</v>
      </c>
      <c r="S78">
        <v>16343.23880362244</v>
      </c>
      <c r="T78">
        <v>30001.518982446803</v>
      </c>
    </row>
    <row r="79" spans="13:20">
      <c r="M79">
        <v>72</v>
      </c>
      <c r="N79">
        <v>100697.1780448135</v>
      </c>
      <c r="O79">
        <v>11193.252832175223</v>
      </c>
      <c r="P79">
        <v>13447.674300697105</v>
      </c>
      <c r="Q79">
        <v>7216.5606557536457</v>
      </c>
      <c r="R79">
        <v>21492.284797864446</v>
      </c>
      <c r="S79">
        <v>16495.512645277817</v>
      </c>
      <c r="T79">
        <v>29858.554169121679</v>
      </c>
    </row>
    <row r="80" spans="13:20">
      <c r="M80">
        <v>73</v>
      </c>
      <c r="N80">
        <v>100458.18905268465</v>
      </c>
      <c r="O80">
        <v>11131.823198304071</v>
      </c>
      <c r="P80">
        <v>11964.05257078519</v>
      </c>
      <c r="Q80">
        <v>8063.5156981677646</v>
      </c>
      <c r="R80">
        <v>23836.289014593942</v>
      </c>
      <c r="S80">
        <v>15509.306286906496</v>
      </c>
      <c r="T80">
        <v>28857.0342471519</v>
      </c>
    </row>
    <row r="81" spans="13:20">
      <c r="M81">
        <v>74</v>
      </c>
      <c r="N81">
        <v>98870.423368351447</v>
      </c>
      <c r="O81">
        <v>11773.699273989878</v>
      </c>
      <c r="P81">
        <v>11954.735698644856</v>
      </c>
      <c r="Q81">
        <v>7532.6056405383479</v>
      </c>
      <c r="R81">
        <v>20990.56311677687</v>
      </c>
      <c r="S81">
        <v>15180.643118379488</v>
      </c>
      <c r="T81">
        <v>30290.869579346858</v>
      </c>
    </row>
    <row r="82" spans="13:20">
      <c r="M82">
        <v>75</v>
      </c>
      <c r="N82">
        <v>103587.56261425058</v>
      </c>
      <c r="O82">
        <v>11474.531707980139</v>
      </c>
      <c r="P82">
        <v>11821.234675116069</v>
      </c>
      <c r="Q82">
        <v>7875.0424062081966</v>
      </c>
      <c r="R82">
        <v>24982.358655121137</v>
      </c>
      <c r="S82">
        <v>16324.325608271631</v>
      </c>
      <c r="T82">
        <v>29995.406835287744</v>
      </c>
    </row>
    <row r="83" spans="13:20">
      <c r="M83">
        <v>76</v>
      </c>
      <c r="N83">
        <v>101122.8634225212</v>
      </c>
      <c r="O83">
        <v>11170.775712526325</v>
      </c>
      <c r="P83">
        <v>13358.218349757299</v>
      </c>
      <c r="Q83">
        <v>8334.8867612040376</v>
      </c>
      <c r="R83">
        <v>21238.816737274952</v>
      </c>
      <c r="S83">
        <v>16304.925801539001</v>
      </c>
      <c r="T83">
        <v>29755.388419288694</v>
      </c>
    </row>
    <row r="84" spans="13:20">
      <c r="M84">
        <v>77</v>
      </c>
      <c r="N84">
        <v>103196.98143412324</v>
      </c>
      <c r="O84">
        <v>11333.102597223529</v>
      </c>
      <c r="P84">
        <v>13236.517114698261</v>
      </c>
      <c r="Q84">
        <v>7761.4683109713205</v>
      </c>
      <c r="R84">
        <v>24665.101870717881</v>
      </c>
      <c r="S84">
        <v>15789.212334974809</v>
      </c>
      <c r="T84">
        <v>29540.299689006755</v>
      </c>
    </row>
    <row r="85" spans="13:20">
      <c r="M85">
        <v>78</v>
      </c>
      <c r="N85">
        <v>101273.0905860393</v>
      </c>
      <c r="O85">
        <v>11348.041989157848</v>
      </c>
      <c r="P85">
        <v>12651.2349985859</v>
      </c>
      <c r="Q85">
        <v>7451.8804580499755</v>
      </c>
      <c r="R85">
        <v>21837.39596621403</v>
      </c>
      <c r="S85">
        <v>16102.842810002374</v>
      </c>
      <c r="T85">
        <v>30657.865917763778</v>
      </c>
    </row>
    <row r="86" spans="13:20">
      <c r="M86">
        <v>79</v>
      </c>
      <c r="N86">
        <v>99163.125428886458</v>
      </c>
      <c r="O86">
        <v>10786.929740568587</v>
      </c>
      <c r="P86">
        <v>12329.421875494227</v>
      </c>
      <c r="Q86">
        <v>8133.6256732561405</v>
      </c>
      <c r="R86">
        <v>22491.513648211985</v>
      </c>
      <c r="S86">
        <v>15374.161347331839</v>
      </c>
      <c r="T86">
        <v>29108.792052151864</v>
      </c>
    </row>
    <row r="87" spans="13:20">
      <c r="M87">
        <v>80</v>
      </c>
      <c r="N87">
        <v>100410.05328865728</v>
      </c>
      <c r="O87">
        <v>11015.336613508616</v>
      </c>
      <c r="P87">
        <v>13419.064735581755</v>
      </c>
      <c r="Q87">
        <v>8340.5452360669369</v>
      </c>
      <c r="R87">
        <v>21371.000449765183</v>
      </c>
      <c r="S87">
        <v>15413.396657832905</v>
      </c>
      <c r="T87">
        <v>29644.345575597261</v>
      </c>
    </row>
    <row r="88" spans="13:20">
      <c r="M88">
        <v>81</v>
      </c>
      <c r="N88">
        <v>100802.35210496081</v>
      </c>
      <c r="O88">
        <v>11117.434950984714</v>
      </c>
      <c r="P88">
        <v>13117.797129012739</v>
      </c>
      <c r="Q88">
        <v>7758.7642483120717</v>
      </c>
      <c r="R88">
        <v>22092.434808955524</v>
      </c>
      <c r="S88">
        <v>15639.203574699746</v>
      </c>
      <c r="T88">
        <v>30060.576691032187</v>
      </c>
    </row>
    <row r="89" spans="13:20">
      <c r="M89">
        <v>82</v>
      </c>
      <c r="N89">
        <v>98268.072942617189</v>
      </c>
      <c r="O89">
        <v>11311.89842543504</v>
      </c>
      <c r="P89">
        <v>12363.865386756032</v>
      </c>
      <c r="Q89">
        <v>6846.5320683548553</v>
      </c>
      <c r="R89">
        <v>22273.830190604775</v>
      </c>
      <c r="S89">
        <v>15601.141540057306</v>
      </c>
      <c r="T89">
        <v>28798.55304208177</v>
      </c>
    </row>
    <row r="90" spans="13:20">
      <c r="M90">
        <v>83</v>
      </c>
      <c r="N90">
        <v>99493.035048956663</v>
      </c>
      <c r="O90">
        <v>11476.522699240055</v>
      </c>
      <c r="P90">
        <v>12639.819968074293</v>
      </c>
      <c r="Q90">
        <v>7489.0392447910826</v>
      </c>
      <c r="R90">
        <v>20999.272833500549</v>
      </c>
      <c r="S90">
        <v>15523.458135026982</v>
      </c>
      <c r="T90">
        <v>30418.809971376028</v>
      </c>
    </row>
    <row r="91" spans="13:20">
      <c r="M91">
        <v>84</v>
      </c>
      <c r="N91">
        <v>98871.927916698944</v>
      </c>
      <c r="O91">
        <v>11400.876047800766</v>
      </c>
      <c r="P91">
        <v>11800.575993328286</v>
      </c>
      <c r="Q91">
        <v>7373.5081710468876</v>
      </c>
      <c r="R91">
        <v>22284.370035034037</v>
      </c>
      <c r="S91">
        <v>15720.084087755273</v>
      </c>
      <c r="T91">
        <v>29532.70783824363</v>
      </c>
    </row>
    <row r="92" spans="13:20">
      <c r="M92">
        <v>85</v>
      </c>
      <c r="N92">
        <v>97242.781169724447</v>
      </c>
      <c r="O92">
        <v>11311.831881040598</v>
      </c>
      <c r="P92">
        <v>11647.159040281053</v>
      </c>
      <c r="Q92">
        <v>7308.5458939114751</v>
      </c>
      <c r="R92">
        <v>21106.840676390773</v>
      </c>
      <c r="S92">
        <v>15670.064541782802</v>
      </c>
      <c r="T92">
        <v>29177.903303538606</v>
      </c>
    </row>
    <row r="93" spans="13:20">
      <c r="M93">
        <v>86</v>
      </c>
      <c r="N93">
        <v>99260.394015456201</v>
      </c>
      <c r="O93">
        <v>10972.101940727227</v>
      </c>
      <c r="P93">
        <v>13535.189271603642</v>
      </c>
      <c r="Q93">
        <v>7096.6396776300471</v>
      </c>
      <c r="R93">
        <v>22318.041512617187</v>
      </c>
      <c r="S93">
        <v>15796.332163129702</v>
      </c>
      <c r="T93">
        <v>28650.166754571161</v>
      </c>
    </row>
    <row r="94" spans="13:20">
      <c r="M94">
        <v>87</v>
      </c>
      <c r="N94">
        <v>100459.86831200009</v>
      </c>
      <c r="O94">
        <v>11284.059000068388</v>
      </c>
      <c r="P94">
        <v>12729.54917041368</v>
      </c>
      <c r="Q94">
        <v>7732.2124362929999</v>
      </c>
      <c r="R94">
        <v>22127.608879678482</v>
      </c>
      <c r="S94">
        <v>15394.268908493297</v>
      </c>
      <c r="T94">
        <v>30202.353039949652</v>
      </c>
    </row>
    <row r="95" spans="13:20">
      <c r="M95">
        <v>88</v>
      </c>
      <c r="N95">
        <v>98752.197291910183</v>
      </c>
      <c r="O95">
        <v>11545.464910123341</v>
      </c>
      <c r="P95">
        <v>11624.920053447016</v>
      </c>
      <c r="Q95">
        <v>7429.5928952263057</v>
      </c>
      <c r="R95">
        <v>21597.135102918201</v>
      </c>
      <c r="S95">
        <v>15660.300957928175</v>
      </c>
      <c r="T95">
        <v>29815.568581173535</v>
      </c>
    </row>
    <row r="96" spans="13:20">
      <c r="M96">
        <v>89</v>
      </c>
      <c r="N96">
        <v>99467.024663362303</v>
      </c>
      <c r="O96">
        <v>11055.456121382324</v>
      </c>
      <c r="P96">
        <v>13073.618016304448</v>
      </c>
      <c r="Q96">
        <v>8153.4081698837444</v>
      </c>
      <c r="R96">
        <v>21180.391952710179</v>
      </c>
      <c r="S96">
        <v>15880.737996463606</v>
      </c>
      <c r="T96">
        <v>29197.014115325353</v>
      </c>
    </row>
    <row r="97" spans="13:20">
      <c r="M97">
        <v>90</v>
      </c>
      <c r="N97">
        <v>99162.829926958773</v>
      </c>
      <c r="O97">
        <v>10959.118551366224</v>
      </c>
      <c r="P97">
        <v>13438.214246925545</v>
      </c>
      <c r="Q97">
        <v>7720.3486278637874</v>
      </c>
      <c r="R97">
        <v>21388.169658186682</v>
      </c>
      <c r="S97">
        <v>15329.861000081526</v>
      </c>
      <c r="T97">
        <v>29496.048514038092</v>
      </c>
    </row>
    <row r="98" spans="13:20">
      <c r="M98">
        <v>91</v>
      </c>
      <c r="N98">
        <v>97856.537298440904</v>
      </c>
      <c r="O98">
        <v>11283.402707274145</v>
      </c>
      <c r="P98">
        <v>11319.273182405621</v>
      </c>
      <c r="Q98">
        <v>8106.0297731995233</v>
      </c>
      <c r="R98">
        <v>21450.604790822857</v>
      </c>
      <c r="S98">
        <v>15769.28533494293</v>
      </c>
      <c r="T98">
        <v>28727.202548583624</v>
      </c>
    </row>
    <row r="99" spans="13:20">
      <c r="M99">
        <v>92</v>
      </c>
      <c r="N99">
        <v>97667.111549022971</v>
      </c>
      <c r="O99">
        <v>10959.801600730671</v>
      </c>
      <c r="P99">
        <v>12518.726127059754</v>
      </c>
      <c r="Q99">
        <v>7280.3240206830351</v>
      </c>
      <c r="R99">
        <v>20784.242049632292</v>
      </c>
      <c r="S99">
        <v>15165.913993517055</v>
      </c>
      <c r="T99">
        <v>30110.044444256113</v>
      </c>
    </row>
    <row r="100" spans="13:20">
      <c r="M100">
        <v>93</v>
      </c>
      <c r="N100">
        <v>100653.6073317074</v>
      </c>
      <c r="O100">
        <v>11160.437482578129</v>
      </c>
      <c r="P100">
        <v>12808.724749784134</v>
      </c>
      <c r="Q100">
        <v>7173.1625699146689</v>
      </c>
      <c r="R100">
        <v>23963.573729710872</v>
      </c>
      <c r="S100">
        <v>15511.253389211144</v>
      </c>
      <c r="T100">
        <v>29139.805918599832</v>
      </c>
    </row>
    <row r="101" spans="13:20">
      <c r="M101">
        <v>94</v>
      </c>
      <c r="N101">
        <v>97621.916426685042</v>
      </c>
      <c r="O101">
        <v>11032.1564399045</v>
      </c>
      <c r="P101">
        <v>12054.572889735853</v>
      </c>
      <c r="Q101">
        <v>7505.6988372309243</v>
      </c>
      <c r="R101">
        <v>20893.307167662402</v>
      </c>
      <c r="S101">
        <v>15934.517353792944</v>
      </c>
      <c r="T101">
        <v>29095.480936662952</v>
      </c>
    </row>
    <row r="102" spans="13:20">
      <c r="M102">
        <v>95</v>
      </c>
      <c r="N102">
        <v>100748.07499914062</v>
      </c>
      <c r="O102">
        <v>11178.756643475317</v>
      </c>
      <c r="P102">
        <v>13285.191385558377</v>
      </c>
      <c r="Q102">
        <v>8123.6179398504864</v>
      </c>
      <c r="R102">
        <v>21616.653307433229</v>
      </c>
      <c r="S102">
        <v>16232.084223091193</v>
      </c>
      <c r="T102">
        <v>29404.233213955511</v>
      </c>
    </row>
    <row r="103" spans="13:20">
      <c r="M103">
        <v>96</v>
      </c>
      <c r="N103">
        <v>101801.05023338769</v>
      </c>
      <c r="O103">
        <v>10930.869289828415</v>
      </c>
      <c r="P103">
        <v>11840.850061915451</v>
      </c>
      <c r="Q103">
        <v>7956.6722560463731</v>
      </c>
      <c r="R103">
        <v>24302.902421342555</v>
      </c>
      <c r="S103">
        <v>15968.099769244767</v>
      </c>
      <c r="T103">
        <v>29771.483756605103</v>
      </c>
    </row>
    <row r="104" spans="13:20">
      <c r="M104">
        <v>97</v>
      </c>
      <c r="N104">
        <v>97200.41145328572</v>
      </c>
      <c r="O104">
        <v>11406.797126236967</v>
      </c>
      <c r="P104">
        <v>12167.680961528098</v>
      </c>
      <c r="Q104">
        <v>7166.4947864263204</v>
      </c>
      <c r="R104">
        <v>20594.920484789855</v>
      </c>
      <c r="S104">
        <v>15606.796614612549</v>
      </c>
      <c r="T104">
        <v>29302.898091863692</v>
      </c>
    </row>
    <row r="105" spans="13:20">
      <c r="M105">
        <v>98</v>
      </c>
      <c r="N105">
        <v>98996.332707239839</v>
      </c>
      <c r="O105">
        <v>11228.078268267484</v>
      </c>
      <c r="P105">
        <v>12647.493280923994</v>
      </c>
      <c r="Q105">
        <v>7126.2772003209757</v>
      </c>
      <c r="R105">
        <v>21953.786319222672</v>
      </c>
      <c r="S105">
        <v>14604.153991643203</v>
      </c>
      <c r="T105">
        <v>30310.384821068725</v>
      </c>
    </row>
    <row r="106" spans="13:20">
      <c r="M106">
        <v>99</v>
      </c>
      <c r="N106">
        <v>97792.265491617305</v>
      </c>
      <c r="O106">
        <v>11124.047716828056</v>
      </c>
      <c r="P106">
        <v>12414.264333644196</v>
      </c>
      <c r="Q106">
        <v>8082.4968806945935</v>
      </c>
      <c r="R106">
        <v>20578.206663956124</v>
      </c>
      <c r="S106">
        <v>15049.794901208512</v>
      </c>
      <c r="T106">
        <v>29690.707999887942</v>
      </c>
    </row>
    <row r="107" spans="13:20">
      <c r="M107">
        <v>100</v>
      </c>
      <c r="N107">
        <v>96850.85685212219</v>
      </c>
      <c r="O107">
        <v>10930.274290961932</v>
      </c>
      <c r="P107">
        <v>11507.665305155562</v>
      </c>
      <c r="Q107">
        <v>7913.8742928639795</v>
      </c>
      <c r="R107">
        <v>20812.320775674722</v>
      </c>
      <c r="S107">
        <v>15581.355291026855</v>
      </c>
      <c r="T107">
        <v>29039.447195524615</v>
      </c>
    </row>
    <row r="108" spans="13:20">
      <c r="M108">
        <v>101</v>
      </c>
      <c r="N108">
        <v>99129.613899776785</v>
      </c>
      <c r="O108">
        <v>10932.05869265537</v>
      </c>
      <c r="P108">
        <v>11873.433095967375</v>
      </c>
      <c r="Q108">
        <v>8036.0159818429411</v>
      </c>
      <c r="R108">
        <v>22620.441131255135</v>
      </c>
      <c r="S108">
        <v>15553.069918130903</v>
      </c>
      <c r="T108">
        <v>29038.188784348371</v>
      </c>
    </row>
    <row r="109" spans="13:20">
      <c r="M109">
        <v>102</v>
      </c>
      <c r="N109">
        <v>100652.08047423488</v>
      </c>
      <c r="O109">
        <v>11285.296396624013</v>
      </c>
      <c r="P109">
        <v>12385.60997272842</v>
      </c>
      <c r="Q109">
        <v>7156.1329575732243</v>
      </c>
      <c r="R109">
        <v>22756.555754656343</v>
      </c>
      <c r="S109">
        <v>15646.552661028662</v>
      </c>
      <c r="T109">
        <v>30213.62984593914</v>
      </c>
    </row>
    <row r="110" spans="13:20">
      <c r="M110">
        <v>103</v>
      </c>
      <c r="N110">
        <v>97871.133280476424</v>
      </c>
      <c r="O110">
        <v>11203.137635535531</v>
      </c>
      <c r="P110">
        <v>12425.035869582916</v>
      </c>
      <c r="Q110">
        <v>7546.4071620842897</v>
      </c>
      <c r="R110">
        <v>21024.164557755412</v>
      </c>
      <c r="S110">
        <v>15655.910013202712</v>
      </c>
      <c r="T110">
        <v>28905.644687760938</v>
      </c>
    </row>
    <row r="111" spans="13:20">
      <c r="M111">
        <v>104</v>
      </c>
      <c r="N111">
        <v>100587.1291358201</v>
      </c>
      <c r="O111">
        <v>11183.724272802869</v>
      </c>
      <c r="P111">
        <v>13124.058485638823</v>
      </c>
      <c r="Q111">
        <v>7739.0315363210857</v>
      </c>
      <c r="R111">
        <v>22053.50028195183</v>
      </c>
      <c r="S111">
        <v>15815.037320601863</v>
      </c>
      <c r="T111">
        <v>29736.058545820913</v>
      </c>
    </row>
    <row r="112" spans="13:20">
      <c r="M112">
        <v>105</v>
      </c>
      <c r="N112">
        <v>97778.623125671424</v>
      </c>
      <c r="O112">
        <v>11021.209585597711</v>
      </c>
      <c r="P112">
        <v>11807.898052976545</v>
      </c>
      <c r="Q112">
        <v>7199.6142124823355</v>
      </c>
      <c r="R112">
        <v>21879.578433498427</v>
      </c>
      <c r="S112">
        <v>15483.111784240535</v>
      </c>
      <c r="T112">
        <v>29575.252830748486</v>
      </c>
    </row>
    <row r="113" spans="13:20">
      <c r="M113">
        <v>106</v>
      </c>
      <c r="N113">
        <v>100362.70104509457</v>
      </c>
      <c r="O113">
        <v>11503.746107310151</v>
      </c>
      <c r="P113">
        <v>12279.598334503671</v>
      </c>
      <c r="Q113">
        <v>7481.1145361745157</v>
      </c>
      <c r="R113">
        <v>22956.429576474897</v>
      </c>
      <c r="S113">
        <v>15583.229664192304</v>
      </c>
      <c r="T113">
        <v>29372.882960210874</v>
      </c>
    </row>
    <row r="114" spans="13:20">
      <c r="M114">
        <v>107</v>
      </c>
      <c r="N114">
        <v>100196.76235437345</v>
      </c>
      <c r="O114">
        <v>11053.93429243191</v>
      </c>
      <c r="P114">
        <v>12173.570467911153</v>
      </c>
      <c r="Q114">
        <v>6744.003666750571</v>
      </c>
      <c r="R114">
        <v>23878.795675185556</v>
      </c>
      <c r="S114">
        <v>16100.663285311843</v>
      </c>
      <c r="T114">
        <v>29361.508266632394</v>
      </c>
    </row>
    <row r="115" spans="13:20">
      <c r="M115">
        <v>108</v>
      </c>
      <c r="N115">
        <v>99999.367534868041</v>
      </c>
      <c r="O115">
        <v>11151.804370170983</v>
      </c>
      <c r="P115">
        <v>12828.335283703218</v>
      </c>
      <c r="Q115">
        <v>7359.8362780896805</v>
      </c>
      <c r="R115">
        <v>22349.927863404206</v>
      </c>
      <c r="S115">
        <v>15717.730236863401</v>
      </c>
      <c r="T115">
        <v>29393.134968632239</v>
      </c>
    </row>
    <row r="116" spans="13:20">
      <c r="M116">
        <v>109</v>
      </c>
      <c r="N116">
        <v>98601.588336957982</v>
      </c>
      <c r="O116">
        <v>11221.178823749595</v>
      </c>
      <c r="P116">
        <v>11968.454032752965</v>
      </c>
      <c r="Q116">
        <v>7781.2975094495032</v>
      </c>
      <c r="R116">
        <v>21058.350162943167</v>
      </c>
      <c r="S116">
        <v>15648.169715866912</v>
      </c>
      <c r="T116">
        <v>29980.757191863031</v>
      </c>
    </row>
    <row r="117" spans="13:20">
      <c r="M117">
        <v>110</v>
      </c>
      <c r="N117">
        <v>99474.548047424643</v>
      </c>
      <c r="O117">
        <v>11630.063913203598</v>
      </c>
      <c r="P117">
        <v>12712.730540774448</v>
      </c>
      <c r="Q117">
        <v>7458.2319462351397</v>
      </c>
      <c r="R117">
        <v>22537.830923065889</v>
      </c>
      <c r="S117">
        <v>15354.240244481836</v>
      </c>
      <c r="T117">
        <v>28691.325980104404</v>
      </c>
    </row>
    <row r="118" spans="13:20">
      <c r="M118">
        <v>111</v>
      </c>
      <c r="N118">
        <v>98753.704000431695</v>
      </c>
      <c r="O118">
        <v>10896.204644697813</v>
      </c>
      <c r="P118">
        <v>12729.29730313761</v>
      </c>
      <c r="Q118">
        <v>7688.4055200422908</v>
      </c>
      <c r="R118">
        <v>21169.927241851794</v>
      </c>
      <c r="S118">
        <v>14941.355813944556</v>
      </c>
      <c r="T118">
        <v>30281.798404763034</v>
      </c>
    </row>
    <row r="119" spans="13:20">
      <c r="M119">
        <v>112</v>
      </c>
      <c r="N119">
        <v>99132.27316751302</v>
      </c>
      <c r="O119">
        <v>11465.973940322929</v>
      </c>
      <c r="P119">
        <v>12654.655951862871</v>
      </c>
      <c r="Q119">
        <v>7503.8733593807701</v>
      </c>
      <c r="R119">
        <v>21030.24535477857</v>
      </c>
      <c r="S119">
        <v>15702.276502924733</v>
      </c>
      <c r="T119">
        <v>29871.073088337314</v>
      </c>
    </row>
    <row r="120" spans="13:20">
      <c r="M120">
        <v>113</v>
      </c>
      <c r="N120">
        <v>101807.3633567681</v>
      </c>
      <c r="O120">
        <v>11214.080421669074</v>
      </c>
      <c r="P120">
        <v>13128.015044092012</v>
      </c>
      <c r="Q120">
        <v>7313.7862479509886</v>
      </c>
      <c r="R120">
        <v>22785.450705325005</v>
      </c>
      <c r="S120">
        <v>16166.961402036388</v>
      </c>
      <c r="T120">
        <v>30089.803643117466</v>
      </c>
    </row>
    <row r="121" spans="13:20">
      <c r="M121">
        <v>114</v>
      </c>
      <c r="N121">
        <v>97812.296824720557</v>
      </c>
      <c r="O121">
        <v>11036.177060852266</v>
      </c>
      <c r="P121">
        <v>11937.099323601404</v>
      </c>
      <c r="Q121">
        <v>8178.3009863758607</v>
      </c>
      <c r="R121">
        <v>20879.018736210055</v>
      </c>
      <c r="S121">
        <v>15670.610775244168</v>
      </c>
      <c r="T121">
        <v>29161.989137378649</v>
      </c>
    </row>
    <row r="122" spans="13:20">
      <c r="M122">
        <v>115</v>
      </c>
      <c r="N122">
        <v>97634.602149175349</v>
      </c>
      <c r="O122">
        <v>11127.555608191471</v>
      </c>
      <c r="P122">
        <v>11112.880362957429</v>
      </c>
      <c r="Q122">
        <v>7600.5390041239343</v>
      </c>
      <c r="R122">
        <v>21242.885651626755</v>
      </c>
      <c r="S122">
        <v>16354.56552494664</v>
      </c>
      <c r="T122">
        <v>29109.800365284435</v>
      </c>
    </row>
    <row r="123" spans="13:20">
      <c r="M123">
        <v>116</v>
      </c>
      <c r="N123">
        <v>100207.80804904946</v>
      </c>
      <c r="O123">
        <v>11002.061001008989</v>
      </c>
      <c r="P123">
        <v>13054.324566947296</v>
      </c>
      <c r="Q123">
        <v>7469.1000026550928</v>
      </c>
      <c r="R123">
        <v>22056.799175666099</v>
      </c>
      <c r="S123">
        <v>16042.043421305607</v>
      </c>
      <c r="T123">
        <v>29747.073735339796</v>
      </c>
    </row>
    <row r="124" spans="13:20">
      <c r="M124">
        <v>117</v>
      </c>
      <c r="N124">
        <v>101193.01929208808</v>
      </c>
      <c r="O124">
        <v>11558.23545893998</v>
      </c>
      <c r="P124">
        <v>12177.809059174424</v>
      </c>
      <c r="Q124">
        <v>8000.8392134891237</v>
      </c>
      <c r="R124">
        <v>22682.385517091338</v>
      </c>
      <c r="S124">
        <v>16047.048494805224</v>
      </c>
      <c r="T124">
        <v>29667.55496218157</v>
      </c>
    </row>
    <row r="125" spans="13:20">
      <c r="M125">
        <v>118</v>
      </c>
      <c r="N125">
        <v>98953.487571636462</v>
      </c>
      <c r="O125">
        <v>11478.283384565189</v>
      </c>
      <c r="P125">
        <v>11069.27014585591</v>
      </c>
      <c r="Q125">
        <v>7806.4177824082444</v>
      </c>
      <c r="R125">
        <v>22588.145428399162</v>
      </c>
      <c r="S125">
        <v>15848.225321125339</v>
      </c>
      <c r="T125">
        <v>29231.467052406148</v>
      </c>
    </row>
    <row r="126" spans="13:20">
      <c r="M126">
        <v>119</v>
      </c>
      <c r="N126">
        <v>100206.99651185563</v>
      </c>
      <c r="O126">
        <v>11557.623450395353</v>
      </c>
      <c r="P126">
        <v>13459.45392991983</v>
      </c>
      <c r="Q126">
        <v>8288.5316661549532</v>
      </c>
      <c r="R126">
        <v>21048.335779993475</v>
      </c>
      <c r="S126">
        <v>14984.256740115372</v>
      </c>
      <c r="T126">
        <v>30047.409584728695</v>
      </c>
    </row>
    <row r="127" spans="13:20">
      <c r="M127">
        <v>120</v>
      </c>
      <c r="N127">
        <v>98387.152568811129</v>
      </c>
      <c r="O127">
        <v>11022.165707613429</v>
      </c>
      <c r="P127">
        <v>12571.654382764224</v>
      </c>
      <c r="Q127">
        <v>8049.679292429777</v>
      </c>
      <c r="R127">
        <v>21348.371511237121</v>
      </c>
      <c r="S127">
        <v>15719.348090941994</v>
      </c>
      <c r="T127">
        <v>28921.212696523784</v>
      </c>
    </row>
    <row r="128" spans="13:20">
      <c r="M128">
        <v>121</v>
      </c>
      <c r="N128">
        <v>104534.08094118914</v>
      </c>
      <c r="O128">
        <v>11132.384882838016</v>
      </c>
      <c r="P128">
        <v>14243.082649687423</v>
      </c>
      <c r="Q128">
        <v>8720.6642113493072</v>
      </c>
      <c r="R128">
        <v>23928.588293746914</v>
      </c>
      <c r="S128">
        <v>16404.902428034187</v>
      </c>
      <c r="T128">
        <v>29193.28917448924</v>
      </c>
    </row>
    <row r="129" spans="13:20">
      <c r="M129">
        <v>122</v>
      </c>
      <c r="N129">
        <v>100554.66577247871</v>
      </c>
      <c r="O129">
        <v>11433.470832602472</v>
      </c>
      <c r="P129">
        <v>12228.256543566655</v>
      </c>
      <c r="Q129">
        <v>7753.1304729694903</v>
      </c>
      <c r="R129">
        <v>22422.262581730909</v>
      </c>
      <c r="S129">
        <v>15195.128211319894</v>
      </c>
      <c r="T129">
        <v>30603.076400104506</v>
      </c>
    </row>
    <row r="130" spans="13:20">
      <c r="M130">
        <v>123</v>
      </c>
      <c r="N130">
        <v>98491.097517843897</v>
      </c>
      <c r="O130">
        <v>11185.562827045698</v>
      </c>
      <c r="P130">
        <v>12590.558489962241</v>
      </c>
      <c r="Q130">
        <v>7707.4482291688755</v>
      </c>
      <c r="R130">
        <v>20875.700660250313</v>
      </c>
      <c r="S130">
        <v>15170.704785336764</v>
      </c>
      <c r="T130">
        <v>29910.203238620776</v>
      </c>
    </row>
    <row r="131" spans="13:20">
      <c r="M131">
        <v>124</v>
      </c>
      <c r="N131">
        <v>101258.72476826423</v>
      </c>
      <c r="O131">
        <v>11238.202999446325</v>
      </c>
      <c r="P131">
        <v>11988.910431820046</v>
      </c>
      <c r="Q131">
        <v>7513.7498672223792</v>
      </c>
      <c r="R131">
        <v>24569.481805609932</v>
      </c>
      <c r="S131">
        <v>15647.273670098321</v>
      </c>
      <c r="T131">
        <v>29309.010082119945</v>
      </c>
    </row>
    <row r="132" spans="13:20">
      <c r="M132">
        <v>125</v>
      </c>
      <c r="N132">
        <v>98439.205358345309</v>
      </c>
      <c r="O132">
        <v>11145.116329325398</v>
      </c>
      <c r="P132">
        <v>13321.12616720681</v>
      </c>
      <c r="Q132">
        <v>7733.0504483620243</v>
      </c>
      <c r="R132">
        <v>20199.384320087134</v>
      </c>
      <c r="S132">
        <v>15361.738335992684</v>
      </c>
      <c r="T132">
        <v>29681.515742088079</v>
      </c>
    </row>
    <row r="133" spans="13:20">
      <c r="M133">
        <v>126</v>
      </c>
      <c r="N133">
        <v>102360.16798077206</v>
      </c>
      <c r="O133">
        <v>11535.781840518637</v>
      </c>
      <c r="P133">
        <v>11736.909460875053</v>
      </c>
      <c r="Q133">
        <v>8172.8122076245263</v>
      </c>
      <c r="R133">
        <v>23720.063029301218</v>
      </c>
      <c r="S133">
        <v>15654.951651543535</v>
      </c>
      <c r="T133">
        <v>30441.674603740084</v>
      </c>
    </row>
    <row r="134" spans="13:20">
      <c r="M134">
        <v>127</v>
      </c>
      <c r="N134">
        <v>96781.063466957479</v>
      </c>
      <c r="O134">
        <v>11120.189180465279</v>
      </c>
      <c r="P134">
        <v>12345.644536113992</v>
      </c>
      <c r="Q134">
        <v>7776.6873565468923</v>
      </c>
      <c r="R134">
        <v>20305.088948371522</v>
      </c>
      <c r="S134">
        <v>15641.778018256613</v>
      </c>
      <c r="T134">
        <v>28788.763147703536</v>
      </c>
    </row>
    <row r="135" spans="13:20">
      <c r="M135">
        <v>128</v>
      </c>
      <c r="N135">
        <v>101465.48334686877</v>
      </c>
      <c r="O135">
        <v>11164.821019034993</v>
      </c>
      <c r="P135">
        <v>12979.707751305988</v>
      </c>
      <c r="Q135">
        <v>6833.2409793881843</v>
      </c>
      <c r="R135">
        <v>23761.815664888247</v>
      </c>
      <c r="S135">
        <v>15744.360695181069</v>
      </c>
      <c r="T135">
        <v>29969.029227798521</v>
      </c>
    </row>
    <row r="136" spans="13:20">
      <c r="M136">
        <v>129</v>
      </c>
      <c r="N136">
        <v>98945.364454797513</v>
      </c>
      <c r="O136">
        <v>11403.0228809316</v>
      </c>
      <c r="P136">
        <v>12394.148450619861</v>
      </c>
      <c r="Q136">
        <v>7963.8164939684921</v>
      </c>
      <c r="R136">
        <v>21409.934296647141</v>
      </c>
      <c r="S136">
        <v>15729.370281555406</v>
      </c>
      <c r="T136">
        <v>29189.529255001413</v>
      </c>
    </row>
    <row r="137" spans="13:20">
      <c r="M137">
        <v>130</v>
      </c>
      <c r="N137">
        <v>96694.087549566408</v>
      </c>
      <c r="O137">
        <v>11013.116441975752</v>
      </c>
      <c r="P137">
        <v>11869.611322010558</v>
      </c>
      <c r="Q137">
        <v>6967.6675304209866</v>
      </c>
      <c r="R137">
        <v>20889.135896683067</v>
      </c>
      <c r="S137">
        <v>15367.140560358554</v>
      </c>
      <c r="T137">
        <v>29372.955222821463</v>
      </c>
    </row>
    <row r="138" spans="13:20">
      <c r="M138">
        <v>131</v>
      </c>
      <c r="N138">
        <v>97918.148732583126</v>
      </c>
      <c r="O138">
        <v>11304.25475676086</v>
      </c>
      <c r="P138">
        <v>11876.539878651231</v>
      </c>
      <c r="Q138">
        <v>7959.0568282355525</v>
      </c>
      <c r="R138">
        <v>20345.31109377589</v>
      </c>
      <c r="S138">
        <v>15480.805485289167</v>
      </c>
      <c r="T138">
        <v>30006.508144247218</v>
      </c>
    </row>
    <row r="139" spans="13:20">
      <c r="M139">
        <v>132</v>
      </c>
      <c r="N139">
        <v>99120.678406834661</v>
      </c>
      <c r="O139">
        <v>11503.647667828249</v>
      </c>
      <c r="P139">
        <v>12010.067931733825</v>
      </c>
      <c r="Q139">
        <v>8494.4885752335849</v>
      </c>
      <c r="R139">
        <v>20754.002387064313</v>
      </c>
      <c r="S139">
        <v>16207.830666150981</v>
      </c>
      <c r="T139">
        <v>29230.285529783734</v>
      </c>
    </row>
    <row r="140" spans="13:20">
      <c r="M140">
        <v>133</v>
      </c>
      <c r="N140">
        <v>101771.62506585542</v>
      </c>
      <c r="O140">
        <v>10932.921043736496</v>
      </c>
      <c r="P140">
        <v>13170.493915222121</v>
      </c>
      <c r="Q140">
        <v>8416.3940903739858</v>
      </c>
      <c r="R140">
        <v>23802.53588612919</v>
      </c>
      <c r="S140">
        <v>15439.254038852383</v>
      </c>
      <c r="T140">
        <v>28946.822802365434</v>
      </c>
    </row>
    <row r="141" spans="13:20">
      <c r="M141">
        <v>134</v>
      </c>
      <c r="N141">
        <v>96749.049939170785</v>
      </c>
      <c r="O141">
        <v>11068.743745803922</v>
      </c>
      <c r="P141">
        <v>11671.619133971117</v>
      </c>
      <c r="Q141">
        <v>7584.6413058575217</v>
      </c>
      <c r="R141">
        <v>20682.70187312879</v>
      </c>
      <c r="S141">
        <v>15187.319995501108</v>
      </c>
      <c r="T141">
        <v>29522.922847363356</v>
      </c>
    </row>
    <row r="142" spans="13:20">
      <c r="M142">
        <v>135</v>
      </c>
      <c r="N142">
        <v>98598.862863299524</v>
      </c>
      <c r="O142">
        <v>10957.174668955991</v>
      </c>
      <c r="P142">
        <v>11880.008755229963</v>
      </c>
      <c r="Q142">
        <v>7275.2429689101491</v>
      </c>
      <c r="R142">
        <v>22216.435507151367</v>
      </c>
      <c r="S142">
        <v>14928.274598768468</v>
      </c>
      <c r="T142">
        <v>30515.550214946936</v>
      </c>
    </row>
    <row r="143" spans="13:20">
      <c r="M143">
        <v>136</v>
      </c>
      <c r="N143">
        <v>100345.48643860729</v>
      </c>
      <c r="O143">
        <v>11126.944491115628</v>
      </c>
      <c r="P143">
        <v>12654.90593993017</v>
      </c>
      <c r="Q143">
        <v>7190.7519477742917</v>
      </c>
      <c r="R143">
        <v>23188.916853678951</v>
      </c>
      <c r="S143">
        <v>16225.006620422131</v>
      </c>
      <c r="T143">
        <v>28996.295862305076</v>
      </c>
    </row>
    <row r="144" spans="13:20">
      <c r="M144">
        <v>137</v>
      </c>
      <c r="N144">
        <v>98738.581986222562</v>
      </c>
      <c r="O144">
        <v>11186.865436244763</v>
      </c>
      <c r="P144">
        <v>11597.474489239143</v>
      </c>
      <c r="Q144">
        <v>6961.4543781527227</v>
      </c>
      <c r="R144">
        <v>22295.448292755507</v>
      </c>
      <c r="S144">
        <v>15941.738598608947</v>
      </c>
      <c r="T144">
        <v>29852.865172342856</v>
      </c>
    </row>
    <row r="145" spans="13:20">
      <c r="M145">
        <v>138</v>
      </c>
      <c r="N145">
        <v>99532.349202257537</v>
      </c>
      <c r="O145">
        <v>11516.774675349661</v>
      </c>
      <c r="P145">
        <v>12516.688866323335</v>
      </c>
      <c r="Q145">
        <v>7474.5855134395842</v>
      </c>
      <c r="R145">
        <v>21572.12618023621</v>
      </c>
      <c r="S145">
        <v>15656.376357216675</v>
      </c>
      <c r="T145">
        <v>29809.076252367602</v>
      </c>
    </row>
    <row r="146" spans="13:20">
      <c r="M146">
        <v>139</v>
      </c>
      <c r="N146">
        <v>100894.60264374415</v>
      </c>
      <c r="O146">
        <v>11427.223553021613</v>
      </c>
      <c r="P146">
        <v>11125.965508421223</v>
      </c>
      <c r="Q146">
        <v>7971.4382616619832</v>
      </c>
      <c r="R146">
        <v>23961.204797827435</v>
      </c>
      <c r="S146">
        <v>16130.545165146315</v>
      </c>
      <c r="T146">
        <v>29461.335354500847</v>
      </c>
    </row>
    <row r="147" spans="13:20">
      <c r="M147">
        <v>140</v>
      </c>
      <c r="N147">
        <v>100511.43914681714</v>
      </c>
      <c r="O147">
        <v>11395.18897704791</v>
      </c>
      <c r="P147">
        <v>13355.781944566896</v>
      </c>
      <c r="Q147">
        <v>7282.3085197546015</v>
      </c>
      <c r="R147">
        <v>21445.930560632754</v>
      </c>
      <c r="S147">
        <v>15960.324094772728</v>
      </c>
      <c r="T147">
        <v>29990.131659026811</v>
      </c>
    </row>
    <row r="148" spans="13:20">
      <c r="M148">
        <v>141</v>
      </c>
      <c r="N148">
        <v>100820.56255246191</v>
      </c>
      <c r="O148">
        <v>10678.734684954765</v>
      </c>
      <c r="P148">
        <v>12671.692525909937</v>
      </c>
      <c r="Q148">
        <v>7837.8929190768649</v>
      </c>
      <c r="R148">
        <v>24123.93890004529</v>
      </c>
      <c r="S148">
        <v>14645.36637269309</v>
      </c>
      <c r="T148">
        <v>30058.198722467994</v>
      </c>
    </row>
    <row r="149" spans="13:20">
      <c r="M149">
        <v>142</v>
      </c>
      <c r="N149">
        <v>100821.80138964829</v>
      </c>
      <c r="O149">
        <v>11358.848583395156</v>
      </c>
      <c r="P149">
        <v>12809.236560649148</v>
      </c>
      <c r="Q149">
        <v>7927.4887701480493</v>
      </c>
      <c r="R149">
        <v>22500.479008341401</v>
      </c>
      <c r="S149">
        <v>15445.939567663689</v>
      </c>
      <c r="T149">
        <v>29576.679071887549</v>
      </c>
    </row>
    <row r="150" spans="13:20">
      <c r="M150">
        <v>143</v>
      </c>
      <c r="N150">
        <v>97621.466638577942</v>
      </c>
      <c r="O150">
        <v>11320.546641357552</v>
      </c>
      <c r="P150">
        <v>11764.570129597094</v>
      </c>
      <c r="Q150">
        <v>7370.9013544854752</v>
      </c>
      <c r="R150">
        <v>21408.517263551264</v>
      </c>
      <c r="S150">
        <v>14813.465043555134</v>
      </c>
      <c r="T150">
        <v>30041.569742234831</v>
      </c>
    </row>
    <row r="151" spans="13:20">
      <c r="M151">
        <v>144</v>
      </c>
      <c r="N151">
        <v>98535.031886305354</v>
      </c>
      <c r="O151">
        <v>11820.204371701169</v>
      </c>
      <c r="P151">
        <v>11789.939369670859</v>
      </c>
      <c r="Q151">
        <v>7386.7791135549651</v>
      </c>
      <c r="R151">
        <v>21429.703288824538</v>
      </c>
      <c r="S151">
        <v>15471.747197562951</v>
      </c>
      <c r="T151">
        <v>29366.889771080263</v>
      </c>
    </row>
    <row r="152" spans="13:20">
      <c r="M152">
        <v>145</v>
      </c>
      <c r="N152">
        <v>98367.161673146562</v>
      </c>
      <c r="O152">
        <v>10930.332860513587</v>
      </c>
      <c r="P152">
        <v>11842.267498775916</v>
      </c>
      <c r="Q152">
        <v>7025.7546560596084</v>
      </c>
      <c r="R152">
        <v>22345.267320455307</v>
      </c>
      <c r="S152">
        <v>14989.367586733439</v>
      </c>
      <c r="T152">
        <v>30103.196544773557</v>
      </c>
    </row>
    <row r="153" spans="13:20">
      <c r="M153">
        <v>146</v>
      </c>
      <c r="N153">
        <v>101675.14281921122</v>
      </c>
      <c r="O153">
        <v>10988.511982954144</v>
      </c>
      <c r="P153">
        <v>11213.350638111642</v>
      </c>
      <c r="Q153">
        <v>7789.5340804955522</v>
      </c>
      <c r="R153">
        <v>24296.476206468855</v>
      </c>
      <c r="S153">
        <v>15212.623723156305</v>
      </c>
      <c r="T153">
        <v>31168.274433990096</v>
      </c>
    </row>
    <row r="154" spans="13:20">
      <c r="M154">
        <v>147</v>
      </c>
      <c r="N154">
        <v>99345.511640008874</v>
      </c>
      <c r="O154">
        <v>11477.998403661288</v>
      </c>
      <c r="P154">
        <v>13524.68648767655</v>
      </c>
      <c r="Q154">
        <v>7815.6177793130082</v>
      </c>
      <c r="R154">
        <v>20704.128517558696</v>
      </c>
      <c r="S154">
        <v>14955.533894165743</v>
      </c>
      <c r="T154">
        <v>30000.200691875067</v>
      </c>
    </row>
    <row r="155" spans="13:20">
      <c r="M155">
        <v>148</v>
      </c>
      <c r="N155">
        <v>98189.214479552684</v>
      </c>
      <c r="O155">
        <v>11431.06078301424</v>
      </c>
      <c r="P155">
        <v>11474.823824631098</v>
      </c>
      <c r="Q155">
        <v>7628.7404374594989</v>
      </c>
      <c r="R155">
        <v>20942.431524561376</v>
      </c>
      <c r="S155">
        <v>15563.56120610277</v>
      </c>
      <c r="T155">
        <v>30053.817423726116</v>
      </c>
    </row>
    <row r="156" spans="13:20">
      <c r="M156">
        <v>149</v>
      </c>
      <c r="N156">
        <v>100169.85060234874</v>
      </c>
      <c r="O156">
        <v>11069.016145912452</v>
      </c>
      <c r="P156">
        <v>11962.284397242403</v>
      </c>
      <c r="Q156">
        <v>8345.6757624997772</v>
      </c>
      <c r="R156">
        <v>22548.280471197711</v>
      </c>
      <c r="S156">
        <v>15369.893057207724</v>
      </c>
      <c r="T156">
        <v>29914.560403730738</v>
      </c>
    </row>
    <row r="157" spans="13:20">
      <c r="M157">
        <v>150</v>
      </c>
      <c r="N157">
        <v>101391.49172217338</v>
      </c>
      <c r="O157">
        <v>11322.780291181984</v>
      </c>
      <c r="P157">
        <v>11613.998201086044</v>
      </c>
      <c r="Q157">
        <v>8404.0135834735265</v>
      </c>
      <c r="R157">
        <v>23241.007794473266</v>
      </c>
      <c r="S157">
        <v>15186.165526260636</v>
      </c>
      <c r="T157">
        <v>30397.039263143331</v>
      </c>
    </row>
    <row r="158" spans="13:20">
      <c r="M158">
        <v>151</v>
      </c>
      <c r="N158">
        <v>98181.883619719636</v>
      </c>
      <c r="O158">
        <v>11225.656444700136</v>
      </c>
      <c r="P158">
        <v>11418.737427621989</v>
      </c>
      <c r="Q158">
        <v>7459.9679044175336</v>
      </c>
      <c r="R158">
        <v>21766.661617690403</v>
      </c>
      <c r="S158">
        <v>15332.873959349923</v>
      </c>
      <c r="T158">
        <v>29958.727906708707</v>
      </c>
    </row>
    <row r="159" spans="13:20">
      <c r="M159">
        <v>152</v>
      </c>
      <c r="N159">
        <v>97810.083481593581</v>
      </c>
      <c r="O159">
        <v>11475.375687526359</v>
      </c>
      <c r="P159">
        <v>11582.839555056597</v>
      </c>
      <c r="Q159">
        <v>7397.9190231870907</v>
      </c>
      <c r="R159">
        <v>21135.543283369912</v>
      </c>
      <c r="S159">
        <v>15219.260413748667</v>
      </c>
      <c r="T159">
        <v>29773.525621943918</v>
      </c>
    </row>
    <row r="160" spans="13:20">
      <c r="M160">
        <v>153</v>
      </c>
      <c r="N160">
        <v>99546.203542879884</v>
      </c>
      <c r="O160">
        <v>11112.304451856093</v>
      </c>
      <c r="P160">
        <v>12304.406252004259</v>
      </c>
      <c r="Q160">
        <v>7730.566867407867</v>
      </c>
      <c r="R160">
        <v>21551.89497315191</v>
      </c>
      <c r="S160">
        <v>15987.948575880551</v>
      </c>
      <c r="T160">
        <v>29783.950677398359</v>
      </c>
    </row>
    <row r="161" spans="13:20">
      <c r="M161">
        <v>154</v>
      </c>
      <c r="N161">
        <v>98886.372550269385</v>
      </c>
      <c r="O161">
        <v>10990.993053229866</v>
      </c>
      <c r="P161">
        <v>12219.173016023473</v>
      </c>
      <c r="Q161">
        <v>7715.0738404283456</v>
      </c>
      <c r="R161">
        <v>21570.342481894604</v>
      </c>
      <c r="S161">
        <v>14931.288465876249</v>
      </c>
      <c r="T161">
        <v>30347.459208672575</v>
      </c>
    </row>
    <row r="162" spans="13:20">
      <c r="M162">
        <v>155</v>
      </c>
      <c r="N162">
        <v>99301.654347522053</v>
      </c>
      <c r="O162">
        <v>11284.595750211234</v>
      </c>
      <c r="P162">
        <v>12454.330701331604</v>
      </c>
      <c r="Q162">
        <v>7672.6509005629787</v>
      </c>
      <c r="R162">
        <v>21371.28971294294</v>
      </c>
      <c r="S162">
        <v>15426.696786786164</v>
      </c>
      <c r="T162">
        <v>29893.866573365893</v>
      </c>
    </row>
    <row r="163" spans="13:20">
      <c r="M163">
        <v>156</v>
      </c>
      <c r="N163">
        <v>101406.86331621863</v>
      </c>
      <c r="O163">
        <v>11956.571455048615</v>
      </c>
      <c r="P163">
        <v>12529.275275686201</v>
      </c>
      <c r="Q163">
        <v>7474.6166464548969</v>
      </c>
      <c r="R163">
        <v>22941.754482979035</v>
      </c>
      <c r="S163">
        <v>16188.167136519713</v>
      </c>
      <c r="T163">
        <v>29351.941149762857</v>
      </c>
    </row>
    <row r="164" spans="13:20">
      <c r="M164">
        <v>157</v>
      </c>
      <c r="N164">
        <v>101030.8018955513</v>
      </c>
      <c r="O164">
        <v>11215.406495942403</v>
      </c>
      <c r="P164">
        <v>11990.817304611157</v>
      </c>
      <c r="Q164">
        <v>7928.9596317496216</v>
      </c>
      <c r="R164">
        <v>22521.491850366874</v>
      </c>
      <c r="S164">
        <v>15168.620091465171</v>
      </c>
      <c r="T164">
        <v>31113.544508066225</v>
      </c>
    </row>
    <row r="165" spans="13:20">
      <c r="M165">
        <v>158</v>
      </c>
      <c r="N165">
        <v>100239.38459694275</v>
      </c>
      <c r="O165">
        <v>10994.777358737436</v>
      </c>
      <c r="P165">
        <v>12316.262267996179</v>
      </c>
      <c r="Q165">
        <v>8332.8645984931118</v>
      </c>
      <c r="R165">
        <v>21360.587577086644</v>
      </c>
      <c r="S165">
        <v>16192.737536951439</v>
      </c>
      <c r="T165">
        <v>29861.365104106033</v>
      </c>
    </row>
    <row r="166" spans="13:20">
      <c r="M166">
        <v>159</v>
      </c>
      <c r="N166">
        <v>99136.505802423257</v>
      </c>
      <c r="O166">
        <v>10909.223639143125</v>
      </c>
      <c r="P166">
        <v>12001.234216100089</v>
      </c>
      <c r="Q166">
        <v>7380.6055882951396</v>
      </c>
      <c r="R166">
        <v>22213.366133770287</v>
      </c>
      <c r="S166">
        <v>16248.373313964217</v>
      </c>
      <c r="T166">
        <v>29309.599807899667</v>
      </c>
    </row>
    <row r="167" spans="13:20">
      <c r="M167">
        <v>160</v>
      </c>
      <c r="N167">
        <v>96279.476250786771</v>
      </c>
      <c r="O167">
        <v>11098.482658996209</v>
      </c>
      <c r="P167">
        <v>11803.08524282604</v>
      </c>
      <c r="Q167">
        <v>7365.8194375616622</v>
      </c>
      <c r="R167">
        <v>20640.114154092684</v>
      </c>
      <c r="S167">
        <v>15076.801560989856</v>
      </c>
      <c r="T167">
        <v>29484.403335234754</v>
      </c>
    </row>
    <row r="168" spans="13:20">
      <c r="M168">
        <v>161</v>
      </c>
      <c r="N168">
        <v>97818.971690187784</v>
      </c>
      <c r="O168">
        <v>11590.245557621143</v>
      </c>
      <c r="P168">
        <v>12450.677507857403</v>
      </c>
      <c r="Q168">
        <v>6952.0985208190605</v>
      </c>
      <c r="R168">
        <v>20636.669498477917</v>
      </c>
      <c r="S168">
        <v>14778.424132279557</v>
      </c>
      <c r="T168">
        <v>30423.323874654201</v>
      </c>
    </row>
    <row r="169" spans="13:20">
      <c r="M169">
        <v>162</v>
      </c>
      <c r="N169">
        <v>100065.01005593489</v>
      </c>
      <c r="O169">
        <v>11216.411210439117</v>
      </c>
      <c r="P169">
        <v>12802.600810163734</v>
      </c>
      <c r="Q169">
        <v>7158.0185120057195</v>
      </c>
      <c r="R169">
        <v>21400.316425571833</v>
      </c>
      <c r="S169">
        <v>16053.894374542959</v>
      </c>
      <c r="T169">
        <v>30265.039016557628</v>
      </c>
    </row>
    <row r="170" spans="13:20">
      <c r="M170">
        <v>163</v>
      </c>
      <c r="N170">
        <v>99796.77526179995</v>
      </c>
      <c r="O170">
        <v>10934.86720211498</v>
      </c>
      <c r="P170">
        <v>11966.060636003376</v>
      </c>
      <c r="Q170">
        <v>8173.3474696781641</v>
      </c>
      <c r="R170">
        <v>22660.631544612959</v>
      </c>
      <c r="S170">
        <v>15718.329060587585</v>
      </c>
      <c r="T170">
        <v>29227.518343868331</v>
      </c>
    </row>
    <row r="171" spans="13:20">
      <c r="M171">
        <v>164</v>
      </c>
      <c r="N171">
        <v>103509.10965014389</v>
      </c>
      <c r="O171">
        <v>11063.063508912523</v>
      </c>
      <c r="P171">
        <v>12974.539765674042</v>
      </c>
      <c r="Q171">
        <v>7260.3578047391056</v>
      </c>
      <c r="R171">
        <v>24562.524590600831</v>
      </c>
      <c r="S171">
        <v>15985.55567160765</v>
      </c>
      <c r="T171">
        <v>30823.076866959898</v>
      </c>
    </row>
    <row r="172" spans="13:20">
      <c r="M172">
        <v>165</v>
      </c>
      <c r="N172">
        <v>97343.890595480276</v>
      </c>
      <c r="O172">
        <v>10744.713801115709</v>
      </c>
      <c r="P172">
        <v>11965.557193515018</v>
      </c>
      <c r="Q172">
        <v>7954.3653480831526</v>
      </c>
      <c r="R172">
        <v>20326.606757743215</v>
      </c>
      <c r="S172">
        <v>15254.607100313839</v>
      </c>
      <c r="T172">
        <v>30241.565182490736</v>
      </c>
    </row>
    <row r="173" spans="13:20">
      <c r="M173">
        <v>166</v>
      </c>
      <c r="N173">
        <v>99599.356818804546</v>
      </c>
      <c r="O173">
        <v>10504.684000800928</v>
      </c>
      <c r="P173">
        <v>12552.402934707494</v>
      </c>
      <c r="Q173">
        <v>7582.1036730794576</v>
      </c>
      <c r="R173">
        <v>22731.396601318636</v>
      </c>
      <c r="S173">
        <v>16338.886653641533</v>
      </c>
      <c r="T173">
        <v>28918.764580878778</v>
      </c>
    </row>
    <row r="174" spans="13:20">
      <c r="M174">
        <v>167</v>
      </c>
      <c r="N174">
        <v>100265.37162458745</v>
      </c>
      <c r="O174">
        <v>11042.330179735844</v>
      </c>
      <c r="P174">
        <v>13477.402960317484</v>
      </c>
      <c r="Q174">
        <v>8388.4167660045277</v>
      </c>
      <c r="R174">
        <v>21406.301886594349</v>
      </c>
      <c r="S174">
        <v>15141.058675864235</v>
      </c>
      <c r="T174">
        <v>29671.966886768379</v>
      </c>
    </row>
    <row r="175" spans="13:20">
      <c r="M175">
        <v>168</v>
      </c>
      <c r="N175">
        <v>95926.832287004392</v>
      </c>
      <c r="O175">
        <v>10721.537675760532</v>
      </c>
      <c r="P175">
        <v>11835.913011772514</v>
      </c>
      <c r="Q175">
        <v>7492.6722710963568</v>
      </c>
      <c r="R175">
        <v>20867.337506772008</v>
      </c>
      <c r="S175">
        <v>15327.826712305392</v>
      </c>
      <c r="T175">
        <v>28566.677453884706</v>
      </c>
    </row>
    <row r="176" spans="13:20">
      <c r="M176">
        <v>169</v>
      </c>
      <c r="N176">
        <v>99940.673644621362</v>
      </c>
      <c r="O176">
        <v>11114.653482396436</v>
      </c>
      <c r="P176">
        <v>12225.253391476388</v>
      </c>
      <c r="Q176">
        <v>7773.8133488037838</v>
      </c>
      <c r="R176">
        <v>22453.85886587224</v>
      </c>
      <c r="S176">
        <v>15278.237290642533</v>
      </c>
      <c r="T176">
        <v>30086.940519789325</v>
      </c>
    </row>
    <row r="177" spans="13:20">
      <c r="M177">
        <v>170</v>
      </c>
      <c r="N177">
        <v>98247.483431766246</v>
      </c>
      <c r="O177">
        <v>11083.983299050797</v>
      </c>
      <c r="P177">
        <v>12221.815166665196</v>
      </c>
      <c r="Q177">
        <v>7395.1029523026837</v>
      </c>
      <c r="R177">
        <v>20822.898736242449</v>
      </c>
      <c r="S177">
        <v>16361.693501975813</v>
      </c>
      <c r="T177">
        <v>29471.439273270036</v>
      </c>
    </row>
    <row r="178" spans="13:20">
      <c r="M178">
        <v>171</v>
      </c>
      <c r="N178">
        <v>102114.68560563041</v>
      </c>
      <c r="O178">
        <v>11371.205096885467</v>
      </c>
      <c r="P178">
        <v>12845.893302969274</v>
      </c>
      <c r="Q178">
        <v>7781.7890817550669</v>
      </c>
      <c r="R178">
        <v>24902.78069167443</v>
      </c>
      <c r="S178">
        <v>15002.821356849116</v>
      </c>
      <c r="T178">
        <v>29139.894089781508</v>
      </c>
    </row>
    <row r="179" spans="13:20">
      <c r="M179">
        <v>172</v>
      </c>
      <c r="N179">
        <v>99570.587035743767</v>
      </c>
      <c r="O179">
        <v>10771.332486918338</v>
      </c>
      <c r="P179">
        <v>11213.984127192796</v>
      </c>
      <c r="Q179">
        <v>7568.7157536348368</v>
      </c>
      <c r="R179">
        <v>24366.690360805922</v>
      </c>
      <c r="S179">
        <v>15907.661857672792</v>
      </c>
      <c r="T179">
        <v>28909.746982594661</v>
      </c>
    </row>
    <row r="180" spans="13:20">
      <c r="M180">
        <v>173</v>
      </c>
      <c r="N180">
        <v>100876.88305946103</v>
      </c>
      <c r="O180">
        <v>11432.560081552372</v>
      </c>
      <c r="P180">
        <v>12371.181334570483</v>
      </c>
      <c r="Q180">
        <v>7345.9056722181685</v>
      </c>
      <c r="R180">
        <v>23181.522111942078</v>
      </c>
      <c r="S180">
        <v>16342.919104348617</v>
      </c>
      <c r="T180">
        <v>29213.581867668145</v>
      </c>
    </row>
    <row r="181" spans="13:20">
      <c r="M181">
        <v>174</v>
      </c>
      <c r="N181">
        <v>100617.22576044653</v>
      </c>
      <c r="O181">
        <v>11338.030929778322</v>
      </c>
      <c r="P181">
        <v>12216.311730985259</v>
      </c>
      <c r="Q181">
        <v>7266.6139680497299</v>
      </c>
      <c r="R181">
        <v>23456.634459449357</v>
      </c>
      <c r="S181">
        <v>15435.165711629474</v>
      </c>
      <c r="T181">
        <v>30128.769572185996</v>
      </c>
    </row>
    <row r="182" spans="13:20">
      <c r="M182">
        <v>175</v>
      </c>
      <c r="N182">
        <v>100337.6813370678</v>
      </c>
      <c r="O182">
        <v>11727.40736270116</v>
      </c>
      <c r="P182">
        <v>12839.271944614477</v>
      </c>
      <c r="Q182">
        <v>7711.8986356568803</v>
      </c>
      <c r="R182">
        <v>21465.702699085952</v>
      </c>
      <c r="S182">
        <v>16252.031384009719</v>
      </c>
      <c r="T182">
        <v>29436.485337370606</v>
      </c>
    </row>
    <row r="183" spans="13:20">
      <c r="M183">
        <v>176</v>
      </c>
      <c r="N183">
        <v>99480.29831353703</v>
      </c>
      <c r="O183">
        <v>10956.842695901452</v>
      </c>
      <c r="P183">
        <v>12217.752512827226</v>
      </c>
      <c r="Q183">
        <v>7894.1997541516503</v>
      </c>
      <c r="R183">
        <v>21833.63430537533</v>
      </c>
      <c r="S183">
        <v>15327.821816300464</v>
      </c>
      <c r="T183">
        <v>30187.806749639931</v>
      </c>
    </row>
    <row r="184" spans="13:20">
      <c r="M184">
        <v>177</v>
      </c>
      <c r="N184">
        <v>97262.146871920922</v>
      </c>
      <c r="O184">
        <v>11682.263085313143</v>
      </c>
      <c r="P184">
        <v>12221.41085378032</v>
      </c>
      <c r="Q184">
        <v>7323.0169754174312</v>
      </c>
      <c r="R184">
        <v>20920.354042917541</v>
      </c>
      <c r="S184">
        <v>14929.696294072031</v>
      </c>
      <c r="T184">
        <v>29343.27910087529</v>
      </c>
    </row>
    <row r="185" spans="13:20">
      <c r="M185">
        <v>178</v>
      </c>
      <c r="N185">
        <v>98585.669541619471</v>
      </c>
      <c r="O185">
        <v>10852.621711459286</v>
      </c>
      <c r="P185">
        <v>11565.218299369812</v>
      </c>
      <c r="Q185">
        <v>7593.4052373771665</v>
      </c>
      <c r="R185">
        <v>22445.688713564246</v>
      </c>
      <c r="S185">
        <v>15889.574460846106</v>
      </c>
      <c r="T185">
        <v>29296.500034486609</v>
      </c>
    </row>
    <row r="186" spans="13:20">
      <c r="M186">
        <v>179</v>
      </c>
      <c r="N186">
        <v>96849.223614269111</v>
      </c>
      <c r="O186">
        <v>11428.010255240035</v>
      </c>
      <c r="P186">
        <v>11356.42947750556</v>
      </c>
      <c r="Q186">
        <v>7353.2577551901331</v>
      </c>
      <c r="R186">
        <v>20614.62055566474</v>
      </c>
      <c r="S186">
        <v>15099.514944108785</v>
      </c>
      <c r="T186">
        <v>30132.10123044001</v>
      </c>
    </row>
    <row r="187" spans="13:20">
      <c r="M187">
        <v>180</v>
      </c>
      <c r="N187">
        <v>98372.67690760491</v>
      </c>
      <c r="O187">
        <v>11218.973280343571</v>
      </c>
      <c r="P187">
        <v>11778.848151542501</v>
      </c>
      <c r="Q187">
        <v>7776.2248489595304</v>
      </c>
      <c r="R187">
        <v>21658.5069262816</v>
      </c>
      <c r="S187">
        <v>15218.129312419325</v>
      </c>
      <c r="T187">
        <v>29930.122290267798</v>
      </c>
    </row>
    <row r="188" spans="13:20">
      <c r="M188">
        <v>181</v>
      </c>
      <c r="N188">
        <v>98903.43479448033</v>
      </c>
      <c r="O188">
        <v>11322.864533176536</v>
      </c>
      <c r="P188">
        <v>11994.042868845569</v>
      </c>
      <c r="Q188">
        <v>8151.7904402863678</v>
      </c>
      <c r="R188">
        <v>21543.247696584462</v>
      </c>
      <c r="S188">
        <v>15479.844410049751</v>
      </c>
      <c r="T188">
        <v>29184.929761451138</v>
      </c>
    </row>
    <row r="189" spans="13:20">
      <c r="M189">
        <v>182</v>
      </c>
      <c r="N189">
        <v>99398.381300742549</v>
      </c>
      <c r="O189">
        <v>11477.586570747095</v>
      </c>
      <c r="P189">
        <v>13015.651525518253</v>
      </c>
      <c r="Q189">
        <v>7553.7976627975977</v>
      </c>
      <c r="R189">
        <v>20532.268312357213</v>
      </c>
      <c r="S189">
        <v>15487.890246465389</v>
      </c>
      <c r="T189">
        <v>30287.684741186717</v>
      </c>
    </row>
    <row r="190" spans="13:20">
      <c r="M190">
        <v>183</v>
      </c>
      <c r="N190">
        <v>99698.510968489689</v>
      </c>
      <c r="O190">
        <v>12006.361254029023</v>
      </c>
      <c r="P190">
        <v>12477.847919711241</v>
      </c>
      <c r="Q190">
        <v>8047.4905978614288</v>
      </c>
      <c r="R190">
        <v>20546.796912617858</v>
      </c>
      <c r="S190">
        <v>15879.761135377285</v>
      </c>
      <c r="T190">
        <v>29786.990177189182</v>
      </c>
    </row>
    <row r="191" spans="13:20">
      <c r="M191">
        <v>184</v>
      </c>
      <c r="N191">
        <v>98820.244910827154</v>
      </c>
      <c r="O191">
        <v>11321.200350496198</v>
      </c>
      <c r="P191">
        <v>12226.539030275047</v>
      </c>
      <c r="Q191">
        <v>7201.4888413185072</v>
      </c>
      <c r="R191">
        <v>21036.385619867087</v>
      </c>
      <c r="S191">
        <v>15792.130733694848</v>
      </c>
      <c r="T191">
        <v>30170.376366610108</v>
      </c>
    </row>
    <row r="192" spans="13:20">
      <c r="M192">
        <v>185</v>
      </c>
      <c r="N192">
        <v>99038.784938765137</v>
      </c>
      <c r="O192">
        <v>11312.610766127584</v>
      </c>
      <c r="P192">
        <v>11902.859608627245</v>
      </c>
      <c r="Q192">
        <v>7490.7681452500738</v>
      </c>
      <c r="R192">
        <v>23299.354197138906</v>
      </c>
      <c r="S192">
        <v>15122.702729875502</v>
      </c>
      <c r="T192">
        <v>28891.83843936132</v>
      </c>
    </row>
    <row r="193" spans="13:20">
      <c r="M193">
        <v>186</v>
      </c>
      <c r="N193">
        <v>99022.686158526529</v>
      </c>
      <c r="O193">
        <v>11406.22823932127</v>
      </c>
      <c r="P193">
        <v>12955.704723970728</v>
      </c>
      <c r="Q193">
        <v>7320.8433980881346</v>
      </c>
      <c r="R193">
        <v>21958.326131746482</v>
      </c>
      <c r="S193">
        <v>14758.89946845216</v>
      </c>
      <c r="T193">
        <v>29602.736074513105</v>
      </c>
    </row>
    <row r="194" spans="13:20">
      <c r="M194">
        <v>187</v>
      </c>
      <c r="N194">
        <v>98583.515519209555</v>
      </c>
      <c r="O194">
        <v>11168.510149611378</v>
      </c>
      <c r="P194">
        <v>11741.989236989257</v>
      </c>
      <c r="Q194">
        <v>6990.3038920483723</v>
      </c>
      <c r="R194">
        <v>22825.766717869017</v>
      </c>
      <c r="S194">
        <v>15069.717333437697</v>
      </c>
      <c r="T194">
        <v>29974.569465105138</v>
      </c>
    </row>
    <row r="195" spans="13:20">
      <c r="M195">
        <v>188</v>
      </c>
      <c r="N195">
        <v>97651.962633922987</v>
      </c>
      <c r="O195">
        <v>11321.127867869174</v>
      </c>
      <c r="P195">
        <v>11494.625271985227</v>
      </c>
      <c r="Q195">
        <v>6855.685105700165</v>
      </c>
      <c r="R195">
        <v>22029.825803607477</v>
      </c>
      <c r="S195">
        <v>15354.807111115861</v>
      </c>
      <c r="T195">
        <v>29753.438126610155</v>
      </c>
    </row>
    <row r="196" spans="13:20">
      <c r="M196">
        <v>189</v>
      </c>
      <c r="N196">
        <v>100942.60668957814</v>
      </c>
      <c r="O196">
        <v>11476.437435623102</v>
      </c>
      <c r="P196">
        <v>12493.207404862933</v>
      </c>
      <c r="Q196">
        <v>7675.9972652858523</v>
      </c>
      <c r="R196">
        <v>21766.709485835596</v>
      </c>
      <c r="S196">
        <v>15897.101715875044</v>
      </c>
      <c r="T196">
        <v>30657.259348517873</v>
      </c>
    </row>
    <row r="197" spans="13:20">
      <c r="M197">
        <v>190</v>
      </c>
      <c r="N197">
        <v>100430.78315222709</v>
      </c>
      <c r="O197">
        <v>11250.04585581719</v>
      </c>
      <c r="P197">
        <v>13160.927346633713</v>
      </c>
      <c r="Q197">
        <v>7677.3535628747723</v>
      </c>
      <c r="R197">
        <v>22477.365345294245</v>
      </c>
      <c r="S197">
        <v>15268.96458759597</v>
      </c>
      <c r="T197">
        <v>29830.347915429607</v>
      </c>
    </row>
    <row r="198" spans="13:20">
      <c r="M198">
        <v>191</v>
      </c>
      <c r="N198">
        <v>98762.927781093298</v>
      </c>
      <c r="O198">
        <v>11358.288823056697</v>
      </c>
      <c r="P198">
        <v>11903.694906226414</v>
      </c>
      <c r="Q198">
        <v>7325.4087754043821</v>
      </c>
      <c r="R198">
        <v>22382.462919906222</v>
      </c>
      <c r="S198">
        <v>15415.144603187362</v>
      </c>
      <c r="T198">
        <v>29416.123634441654</v>
      </c>
    </row>
    <row r="199" spans="13:20">
      <c r="M199">
        <v>192</v>
      </c>
      <c r="N199">
        <v>98217.686942668122</v>
      </c>
      <c r="O199">
        <v>11230.885827769238</v>
      </c>
      <c r="P199">
        <v>12881.268608774468</v>
      </c>
      <c r="Q199">
        <v>7289.5507668843929</v>
      </c>
      <c r="R199">
        <v>21922.195422033899</v>
      </c>
      <c r="S199">
        <v>14663.81266121698</v>
      </c>
      <c r="T199">
        <v>29334.279524474812</v>
      </c>
    </row>
    <row r="200" spans="13:20">
      <c r="M200">
        <v>193</v>
      </c>
      <c r="N200">
        <v>100433.16073124872</v>
      </c>
      <c r="O200">
        <v>11404.223966237838</v>
      </c>
      <c r="P200">
        <v>11858.102986785891</v>
      </c>
      <c r="Q200">
        <v>7057.0657622669933</v>
      </c>
      <c r="R200">
        <v>22673.880130160487</v>
      </c>
      <c r="S200">
        <v>16052.031435577559</v>
      </c>
      <c r="T200">
        <v>30206.371161041316</v>
      </c>
    </row>
    <row r="201" spans="13:20">
      <c r="M201">
        <v>194</v>
      </c>
      <c r="N201">
        <v>99154.368418144455</v>
      </c>
      <c r="O201">
        <v>11265.788688505747</v>
      </c>
      <c r="P201">
        <v>13120.383609589951</v>
      </c>
      <c r="Q201">
        <v>7502.5981127793711</v>
      </c>
      <c r="R201">
        <v>21190.215182990774</v>
      </c>
      <c r="S201">
        <v>15459.540713963805</v>
      </c>
      <c r="T201">
        <v>29732.484630143503</v>
      </c>
    </row>
    <row r="202" spans="13:20">
      <c r="M202">
        <v>195</v>
      </c>
      <c r="N202">
        <v>99942.569233311719</v>
      </c>
      <c r="O202">
        <v>11124.257500105832</v>
      </c>
      <c r="P202">
        <v>12277.64785031294</v>
      </c>
      <c r="Q202">
        <v>7405.5365321958843</v>
      </c>
      <c r="R202">
        <v>22190.169363737492</v>
      </c>
      <c r="S202">
        <v>15603.432089856333</v>
      </c>
      <c r="T202">
        <v>30103.860538108907</v>
      </c>
    </row>
    <row r="203" spans="13:20">
      <c r="M203">
        <v>196</v>
      </c>
      <c r="N203">
        <v>98606.529747210036</v>
      </c>
      <c r="O203">
        <v>11450.300885004948</v>
      </c>
      <c r="P203">
        <v>11995.11489169571</v>
      </c>
      <c r="Q203">
        <v>7047.063983365425</v>
      </c>
      <c r="R203">
        <v>22165.764156076562</v>
      </c>
      <c r="S203">
        <v>15493.473624777913</v>
      </c>
      <c r="T203">
        <v>29292.796496419054</v>
      </c>
    </row>
    <row r="204" spans="13:20">
      <c r="M204">
        <v>197</v>
      </c>
      <c r="N204">
        <v>99201.738322042642</v>
      </c>
      <c r="O204">
        <v>10979.940414111716</v>
      </c>
      <c r="P204">
        <v>12803.638819588443</v>
      </c>
      <c r="Q204">
        <v>7649.8922192933642</v>
      </c>
      <c r="R204">
        <v>22298.134410221333</v>
      </c>
      <c r="S204">
        <v>15452.741890258449</v>
      </c>
      <c r="T204">
        <v>28996.241457265773</v>
      </c>
    </row>
    <row r="205" spans="13:20">
      <c r="M205">
        <v>198</v>
      </c>
      <c r="N205">
        <v>98962.521255137908</v>
      </c>
      <c r="O205">
        <v>11315.185023312619</v>
      </c>
      <c r="P205">
        <v>11637.686338242476</v>
      </c>
      <c r="Q205">
        <v>6810.6844612139585</v>
      </c>
      <c r="R205">
        <v>22580.777306287782</v>
      </c>
      <c r="S205">
        <v>15457.140420175772</v>
      </c>
      <c r="T205">
        <v>30223.474109944564</v>
      </c>
    </row>
    <row r="206" spans="13:20">
      <c r="M206">
        <v>199</v>
      </c>
      <c r="N206">
        <v>98699.453335550206</v>
      </c>
      <c r="O206">
        <v>10952.186470698922</v>
      </c>
      <c r="P206">
        <v>12010.900817250345</v>
      </c>
      <c r="Q206">
        <v>8292.2954279946498</v>
      </c>
      <c r="R206">
        <v>20995.599817099977</v>
      </c>
      <c r="S206">
        <v>14923.8751750786</v>
      </c>
      <c r="T206">
        <v>30420.299736092187</v>
      </c>
    </row>
    <row r="207" spans="13:20">
      <c r="M207">
        <v>200</v>
      </c>
      <c r="N207">
        <v>97355.890968219639</v>
      </c>
      <c r="O207">
        <v>11159.563064469108</v>
      </c>
      <c r="P207">
        <v>11563.294559939401</v>
      </c>
      <c r="Q207">
        <v>7279.3929965061352</v>
      </c>
      <c r="R207">
        <v>21351.148401191087</v>
      </c>
      <c r="S207">
        <v>14847.782605277056</v>
      </c>
      <c r="T207">
        <v>30095.745896447392</v>
      </c>
    </row>
    <row r="208" spans="13:20">
      <c r="M208">
        <v>201</v>
      </c>
      <c r="N208">
        <v>98841.150356200553</v>
      </c>
      <c r="O208">
        <v>11128.48363733384</v>
      </c>
      <c r="P208">
        <v>13076.98147725651</v>
      </c>
      <c r="Q208">
        <v>6892.8203234092953</v>
      </c>
      <c r="R208">
        <v>21944.125333061693</v>
      </c>
      <c r="S208">
        <v>15090.801751020877</v>
      </c>
      <c r="T208">
        <v>29475.763219299664</v>
      </c>
    </row>
    <row r="209" spans="13:20">
      <c r="M209">
        <v>202</v>
      </c>
      <c r="N209">
        <v>102254.44419911626</v>
      </c>
      <c r="O209">
        <v>11532.424280599753</v>
      </c>
      <c r="P209">
        <v>11861.113965467075</v>
      </c>
      <c r="Q209">
        <v>8114.3804566578319</v>
      </c>
      <c r="R209">
        <v>23793.637866150104</v>
      </c>
      <c r="S209">
        <v>16326.185076851591</v>
      </c>
      <c r="T209">
        <v>29557.259383224882</v>
      </c>
    </row>
    <row r="210" spans="13:20">
      <c r="M210">
        <v>203</v>
      </c>
      <c r="N210">
        <v>99545.702773587735</v>
      </c>
      <c r="O210">
        <v>11358.437050385292</v>
      </c>
      <c r="P210">
        <v>12108.425470355282</v>
      </c>
      <c r="Q210">
        <v>8116.9647458315667</v>
      </c>
      <c r="R210">
        <v>22597.830252423293</v>
      </c>
      <c r="S210">
        <v>14934.586390710036</v>
      </c>
      <c r="T210">
        <v>29567.166024408787</v>
      </c>
    </row>
    <row r="211" spans="13:20">
      <c r="M211">
        <v>204</v>
      </c>
      <c r="N211">
        <v>98925.642599192055</v>
      </c>
      <c r="O211">
        <v>11317.075428892134</v>
      </c>
      <c r="P211">
        <v>12636.481412936475</v>
      </c>
      <c r="Q211">
        <v>7204.2097240051735</v>
      </c>
      <c r="R211">
        <v>22707.08827434963</v>
      </c>
      <c r="S211">
        <v>15225.59638125014</v>
      </c>
      <c r="T211">
        <v>28991.071669363268</v>
      </c>
    </row>
    <row r="212" spans="13:20">
      <c r="M212">
        <v>205</v>
      </c>
      <c r="N212">
        <v>100338.0687697308</v>
      </c>
      <c r="O212">
        <v>11019.711627103365</v>
      </c>
      <c r="P212">
        <v>13239.95086014216</v>
      </c>
      <c r="Q212">
        <v>7281.8677270466569</v>
      </c>
      <c r="R212">
        <v>23568.975471887956</v>
      </c>
      <c r="S212">
        <v>15409.883852701738</v>
      </c>
      <c r="T212">
        <v>28751.787832138987</v>
      </c>
    </row>
    <row r="213" spans="13:20">
      <c r="M213">
        <v>206</v>
      </c>
      <c r="N213">
        <v>99783.27053501163</v>
      </c>
      <c r="O213">
        <v>11728.504081306637</v>
      </c>
      <c r="P213">
        <v>12703.20115346584</v>
      </c>
      <c r="Q213">
        <v>8491.9085857253285</v>
      </c>
      <c r="R213">
        <v>20587.469763400069</v>
      </c>
      <c r="S213">
        <v>15603.284659867033</v>
      </c>
      <c r="T213">
        <v>29784.91752040862</v>
      </c>
    </row>
    <row r="214" spans="13:20">
      <c r="M214">
        <v>207</v>
      </c>
      <c r="N214">
        <v>100391.57586800524</v>
      </c>
      <c r="O214">
        <v>11216.130980836691</v>
      </c>
      <c r="P214">
        <v>13504.478366328167</v>
      </c>
      <c r="Q214">
        <v>8074.5500721732333</v>
      </c>
      <c r="R214">
        <v>21279.428683478323</v>
      </c>
      <c r="S214">
        <v>14959.785509629806</v>
      </c>
      <c r="T214">
        <v>30298.631787539718</v>
      </c>
    </row>
    <row r="215" spans="13:20">
      <c r="M215">
        <v>208</v>
      </c>
      <c r="N215">
        <v>103235.2287530348</v>
      </c>
      <c r="O215">
        <v>11012.09968355232</v>
      </c>
      <c r="P215">
        <v>13791.986558272454</v>
      </c>
      <c r="Q215">
        <v>8305.2862847616107</v>
      </c>
      <c r="R215">
        <v>23336.557684574225</v>
      </c>
      <c r="S215">
        <v>15821.229681923833</v>
      </c>
      <c r="T215">
        <v>30112.826264795011</v>
      </c>
    </row>
    <row r="216" spans="13:20">
      <c r="M216">
        <v>209</v>
      </c>
      <c r="N216">
        <v>100468.94142921153</v>
      </c>
      <c r="O216">
        <v>11471.399962025738</v>
      </c>
      <c r="P216">
        <v>11924.945552922993</v>
      </c>
      <c r="Q216">
        <v>7159.5148899466458</v>
      </c>
      <c r="R216">
        <v>22951.129976671487</v>
      </c>
      <c r="S216">
        <v>15389.054119284181</v>
      </c>
      <c r="T216">
        <v>30682.35649207493</v>
      </c>
    </row>
    <row r="217" spans="13:20">
      <c r="M217">
        <v>210</v>
      </c>
      <c r="N217">
        <v>96456.997828510575</v>
      </c>
      <c r="O217">
        <v>11107.983642852771</v>
      </c>
      <c r="P217">
        <v>11867.447246006086</v>
      </c>
      <c r="Q217">
        <v>7618.3616190556941</v>
      </c>
      <c r="R217">
        <v>20554.196150312113</v>
      </c>
      <c r="S217">
        <v>15071.422534172369</v>
      </c>
      <c r="T217">
        <v>29172.006086302055</v>
      </c>
    </row>
    <row r="218" spans="13:20">
      <c r="M218">
        <v>211</v>
      </c>
      <c r="N218">
        <v>96984.139258105395</v>
      </c>
      <c r="O218">
        <v>11405.280645723489</v>
      </c>
      <c r="P218">
        <v>11683.621307264639</v>
      </c>
      <c r="Q218">
        <v>7004.1199343004992</v>
      </c>
      <c r="R218">
        <v>20869.02600021469</v>
      </c>
      <c r="S218">
        <v>15003.688150857366</v>
      </c>
      <c r="T218">
        <v>29870.52282083534</v>
      </c>
    </row>
    <row r="219" spans="13:20">
      <c r="M219">
        <v>212</v>
      </c>
      <c r="N219">
        <v>101807.52176647147</v>
      </c>
      <c r="O219">
        <v>11396.991168486165</v>
      </c>
      <c r="P219">
        <v>12265.480334395879</v>
      </c>
      <c r="Q219">
        <v>7962.5399187573112</v>
      </c>
      <c r="R219">
        <v>22785.476009662161</v>
      </c>
      <c r="S219">
        <v>15100.79762655173</v>
      </c>
      <c r="T219">
        <v>31339.751777146052</v>
      </c>
    </row>
    <row r="220" spans="13:20">
      <c r="M220">
        <v>213</v>
      </c>
      <c r="N220">
        <v>99643.434473723988</v>
      </c>
      <c r="O220">
        <v>11222.708391746959</v>
      </c>
      <c r="P220">
        <v>12322.55433953393</v>
      </c>
      <c r="Q220">
        <v>7305.9112726802732</v>
      </c>
      <c r="R220">
        <v>22517.076067029204</v>
      </c>
      <c r="S220">
        <v>15774.399740183148</v>
      </c>
      <c r="T220">
        <v>29527.592566380317</v>
      </c>
    </row>
    <row r="221" spans="13:20">
      <c r="M221">
        <v>214</v>
      </c>
      <c r="N221">
        <v>99075.682972577764</v>
      </c>
      <c r="O221">
        <v>10957.468121093472</v>
      </c>
      <c r="P221">
        <v>11909.454586295695</v>
      </c>
      <c r="Q221">
        <v>7239.7591168839281</v>
      </c>
      <c r="R221">
        <v>22774.342642006919</v>
      </c>
      <c r="S221">
        <v>15179.92945945986</v>
      </c>
      <c r="T221">
        <v>30104.536939456906</v>
      </c>
    </row>
    <row r="222" spans="13:20">
      <c r="M222">
        <v>215</v>
      </c>
      <c r="N222">
        <v>97848.052690615543</v>
      </c>
      <c r="O222">
        <v>10860.671653721858</v>
      </c>
      <c r="P222">
        <v>11994.251029093841</v>
      </c>
      <c r="Q222">
        <v>7432.0303705129272</v>
      </c>
      <c r="R222">
        <v>21986.819735707464</v>
      </c>
      <c r="S222">
        <v>15523.56279496625</v>
      </c>
      <c r="T222">
        <v>29074.363460053471</v>
      </c>
    </row>
    <row r="223" spans="13:20">
      <c r="M223">
        <v>216</v>
      </c>
      <c r="N223">
        <v>99175.229359101271</v>
      </c>
      <c r="O223">
        <v>11224.732565009264</v>
      </c>
      <c r="P223">
        <v>12549.448663955085</v>
      </c>
      <c r="Q223">
        <v>7101.3261937788866</v>
      </c>
      <c r="R223">
        <v>21367.627532729453</v>
      </c>
      <c r="S223">
        <v>15895.237345572659</v>
      </c>
      <c r="T223">
        <v>30096.342515172299</v>
      </c>
    </row>
    <row r="224" spans="13:20">
      <c r="M224">
        <v>217</v>
      </c>
      <c r="N224">
        <v>97643.929628321726</v>
      </c>
      <c r="O224">
        <v>11018.706540997911</v>
      </c>
      <c r="P224">
        <v>11988.373742122243</v>
      </c>
      <c r="Q224">
        <v>7667.5440125139112</v>
      </c>
      <c r="R224">
        <v>21006.108948329038</v>
      </c>
      <c r="S224">
        <v>15821.652679101926</v>
      </c>
      <c r="T224">
        <v>29002.796568293987</v>
      </c>
    </row>
    <row r="225" spans="13:20">
      <c r="M225">
        <v>218</v>
      </c>
      <c r="N225">
        <v>102245.28935792763</v>
      </c>
      <c r="O225">
        <v>11378.404089197673</v>
      </c>
      <c r="P225">
        <v>11845.581008614732</v>
      </c>
      <c r="Q225">
        <v>8332.8292448803095</v>
      </c>
      <c r="R225">
        <v>23639.663513993717</v>
      </c>
      <c r="S225">
        <v>15443.985337476764</v>
      </c>
      <c r="T225">
        <v>30494.023453347272</v>
      </c>
    </row>
    <row r="226" spans="13:20">
      <c r="M226">
        <v>219</v>
      </c>
      <c r="N226">
        <v>100008.66495901234</v>
      </c>
      <c r="O226">
        <v>11265.366750051871</v>
      </c>
      <c r="P226">
        <v>13018.819912117664</v>
      </c>
      <c r="Q226">
        <v>7993.245750423539</v>
      </c>
      <c r="R226">
        <v>21587.648464210131</v>
      </c>
      <c r="S226">
        <v>15919.094861966209</v>
      </c>
      <c r="T226">
        <v>29039.6170608508</v>
      </c>
    </row>
    <row r="227" spans="13:20">
      <c r="M227">
        <v>220</v>
      </c>
      <c r="N227">
        <v>98145.442903717223</v>
      </c>
      <c r="O227">
        <v>11164.088737331982</v>
      </c>
      <c r="P227">
        <v>11238.160716544757</v>
      </c>
      <c r="Q227">
        <v>8457.2341462958757</v>
      </c>
      <c r="R227">
        <v>21567.882182948568</v>
      </c>
      <c r="S227">
        <v>15135.194199882555</v>
      </c>
      <c r="T227">
        <v>29665.85279315439</v>
      </c>
    </row>
    <row r="228" spans="13:20">
      <c r="M228">
        <v>221</v>
      </c>
      <c r="N228">
        <v>99407.013357147749</v>
      </c>
      <c r="O228">
        <v>11081.841998408538</v>
      </c>
      <c r="P228">
        <v>12386.180477597078</v>
      </c>
      <c r="Q228">
        <v>8330.640512822145</v>
      </c>
      <c r="R228">
        <v>21072.347180709417</v>
      </c>
      <c r="S228">
        <v>16030.392247106895</v>
      </c>
      <c r="T228">
        <v>29543.931760537416</v>
      </c>
    </row>
    <row r="229" spans="13:20">
      <c r="M229">
        <v>222</v>
      </c>
      <c r="N229">
        <v>100144.48973234842</v>
      </c>
      <c r="O229">
        <v>11021.728056395705</v>
      </c>
      <c r="P229">
        <v>12386.504003887163</v>
      </c>
      <c r="Q229">
        <v>7065.9833062589951</v>
      </c>
      <c r="R229">
        <v>23093.910659020152</v>
      </c>
      <c r="S229">
        <v>16148.071206942708</v>
      </c>
      <c r="T229">
        <v>29448.852836460366</v>
      </c>
    </row>
    <row r="230" spans="13:20">
      <c r="M230">
        <v>223</v>
      </c>
      <c r="N230">
        <v>96499.605560117081</v>
      </c>
      <c r="O230">
        <v>11245.060194070054</v>
      </c>
      <c r="P230">
        <v>11863.328608936157</v>
      </c>
      <c r="Q230">
        <v>7814.3700782612232</v>
      </c>
      <c r="R230">
        <v>20321.231654561616</v>
      </c>
      <c r="S230">
        <v>14989.057772983448</v>
      </c>
      <c r="T230">
        <v>29346.229781394108</v>
      </c>
    </row>
    <row r="231" spans="13:20">
      <c r="M231">
        <v>224</v>
      </c>
      <c r="N231">
        <v>98509.197325907924</v>
      </c>
      <c r="O231">
        <v>11381.113275249974</v>
      </c>
      <c r="P231">
        <v>12572.727664440521</v>
      </c>
      <c r="Q231">
        <v>7268.1662589501784</v>
      </c>
      <c r="R231">
        <v>21160.568353302187</v>
      </c>
      <c r="S231">
        <v>16442.052586951679</v>
      </c>
      <c r="T231">
        <v>28797.753321828186</v>
      </c>
    </row>
    <row r="232" spans="13:20">
      <c r="M232">
        <v>225</v>
      </c>
      <c r="N232">
        <v>96995.075283851795</v>
      </c>
      <c r="O232">
        <v>10949.56261692929</v>
      </c>
      <c r="P232">
        <v>12217.563076165483</v>
      </c>
      <c r="Q232">
        <v>6992.0626173961164</v>
      </c>
      <c r="R232">
        <v>21254.681041370728</v>
      </c>
      <c r="S232">
        <v>16176.12887231035</v>
      </c>
      <c r="T232">
        <v>28364.591511806178</v>
      </c>
    </row>
    <row r="233" spans="13:20">
      <c r="M233">
        <v>226</v>
      </c>
      <c r="N233">
        <v>99730.486100612514</v>
      </c>
      <c r="O233">
        <v>11042.037222231236</v>
      </c>
      <c r="P233">
        <v>13220.581081133512</v>
      </c>
      <c r="Q233">
        <v>7824.5668337055995</v>
      </c>
      <c r="R233">
        <v>22100.482743645338</v>
      </c>
      <c r="S233">
        <v>15142.695188628004</v>
      </c>
      <c r="T233">
        <v>29513.55513235087</v>
      </c>
    </row>
    <row r="234" spans="13:20">
      <c r="M234">
        <v>227</v>
      </c>
      <c r="N234">
        <v>98097.965712016477</v>
      </c>
      <c r="O234">
        <v>10837.952523786978</v>
      </c>
      <c r="P234">
        <v>12227.308816098781</v>
      </c>
      <c r="Q234">
        <v>7406.8468747255465</v>
      </c>
      <c r="R234">
        <v>20846.141380033729</v>
      </c>
      <c r="S234">
        <v>15713.737735265906</v>
      </c>
      <c r="T234">
        <v>29886.616046702529</v>
      </c>
    </row>
    <row r="235" spans="13:20">
      <c r="M235">
        <v>228</v>
      </c>
      <c r="N235">
        <v>97708.36592135622</v>
      </c>
      <c r="O235">
        <v>11552.157328841877</v>
      </c>
      <c r="P235">
        <v>11755.444594599976</v>
      </c>
      <c r="Q235">
        <v>7166.9363306185951</v>
      </c>
      <c r="R235">
        <v>21248.475735041906</v>
      </c>
      <c r="S235">
        <v>15101.795684808534</v>
      </c>
      <c r="T235">
        <v>29845.349611714311</v>
      </c>
    </row>
    <row r="236" spans="13:20">
      <c r="M236">
        <v>229</v>
      </c>
      <c r="N236">
        <v>99643.472473492715</v>
      </c>
      <c r="O236">
        <v>10940.123586966729</v>
      </c>
      <c r="P236">
        <v>12513.328446884059</v>
      </c>
      <c r="Q236">
        <v>7546.5807766893158</v>
      </c>
      <c r="R236">
        <v>21951.817923868955</v>
      </c>
      <c r="S236">
        <v>16362.288870363656</v>
      </c>
      <c r="T236">
        <v>29289.048890520622</v>
      </c>
    </row>
    <row r="237" spans="13:20">
      <c r="M237">
        <v>230</v>
      </c>
      <c r="N237">
        <v>97279.370706299786</v>
      </c>
      <c r="O237">
        <v>10891.850119193192</v>
      </c>
      <c r="P237">
        <v>11910.604493885287</v>
      </c>
      <c r="Q237">
        <v>7555.7273041328472</v>
      </c>
      <c r="R237">
        <v>20446.197657455305</v>
      </c>
      <c r="S237">
        <v>16237.719988971359</v>
      </c>
      <c r="T237">
        <v>29227.977752339339</v>
      </c>
    </row>
    <row r="238" spans="13:20">
      <c r="M238">
        <v>231</v>
      </c>
      <c r="N238">
        <v>98345.508009571015</v>
      </c>
      <c r="O238">
        <v>11061.643558770447</v>
      </c>
      <c r="P238">
        <v>11527.223481162153</v>
      </c>
      <c r="Q238">
        <v>7910.8530663911151</v>
      </c>
      <c r="R238">
        <v>21084.40947433464</v>
      </c>
      <c r="S238">
        <v>15536.958587152914</v>
      </c>
      <c r="T238">
        <v>30217.378514060689</v>
      </c>
    </row>
    <row r="239" spans="13:20">
      <c r="M239">
        <v>232</v>
      </c>
      <c r="N239">
        <v>102775.91953391195</v>
      </c>
      <c r="O239">
        <v>11017.456426801966</v>
      </c>
      <c r="P239">
        <v>13084.384134989163</v>
      </c>
      <c r="Q239">
        <v>7200.8183217334508</v>
      </c>
      <c r="R239">
        <v>25016.92814775541</v>
      </c>
      <c r="S239">
        <v>14984.639380687928</v>
      </c>
      <c r="T239">
        <v>30550.43845814513</v>
      </c>
    </row>
    <row r="240" spans="13:20">
      <c r="M240">
        <v>233</v>
      </c>
      <c r="N240">
        <v>101517.85168840837</v>
      </c>
      <c r="O240">
        <v>11446.535148762592</v>
      </c>
      <c r="P240">
        <v>13337.756881871435</v>
      </c>
      <c r="Q240">
        <v>7649.4399816645782</v>
      </c>
      <c r="R240">
        <v>22143.488442031492</v>
      </c>
      <c r="S240">
        <v>15603.779164461208</v>
      </c>
      <c r="T240">
        <v>30219.909574658599</v>
      </c>
    </row>
    <row r="241" spans="13:20">
      <c r="M241">
        <v>234</v>
      </c>
      <c r="N241">
        <v>96684.540508800317</v>
      </c>
      <c r="O241">
        <v>10948.063795459315</v>
      </c>
      <c r="P241">
        <v>12486.367813919851</v>
      </c>
      <c r="Q241">
        <v>7171.9106944405403</v>
      </c>
      <c r="R241">
        <v>20728.809887609768</v>
      </c>
      <c r="S241">
        <v>15173.744267906886</v>
      </c>
      <c r="T241">
        <v>29102.815401792108</v>
      </c>
    </row>
    <row r="242" spans="13:20">
      <c r="M242">
        <v>235</v>
      </c>
      <c r="N242">
        <v>98169.169331869052</v>
      </c>
      <c r="O242">
        <v>11185.970504981513</v>
      </c>
      <c r="P242">
        <v>13015.533435056856</v>
      </c>
      <c r="Q242">
        <v>6908.1670474697448</v>
      </c>
      <c r="R242">
        <v>22208.641670607238</v>
      </c>
      <c r="S242">
        <v>15638.679658660963</v>
      </c>
      <c r="T242">
        <v>28443.195358621266</v>
      </c>
    </row>
    <row r="243" spans="13:20">
      <c r="M243">
        <v>236</v>
      </c>
      <c r="N243">
        <v>99895.547208119329</v>
      </c>
      <c r="O243">
        <v>11044.019181137544</v>
      </c>
      <c r="P243">
        <v>13704.68202646757</v>
      </c>
      <c r="Q243">
        <v>8076.3258370794128</v>
      </c>
      <c r="R243">
        <v>21207.139136620131</v>
      </c>
      <c r="S243">
        <v>15462.079050226039</v>
      </c>
      <c r="T243">
        <v>29404.56209261977</v>
      </c>
    </row>
    <row r="244" spans="13:20">
      <c r="M244">
        <v>237</v>
      </c>
      <c r="N244">
        <v>98501.314578318488</v>
      </c>
      <c r="O244">
        <v>11203.713385822271</v>
      </c>
      <c r="P244">
        <v>12340.072766143287</v>
      </c>
      <c r="Q244">
        <v>7374.9574495528213</v>
      </c>
      <c r="R244">
        <v>20414.986301499637</v>
      </c>
      <c r="S244">
        <v>16435.549979519681</v>
      </c>
      <c r="T244">
        <v>29625.488726255116</v>
      </c>
    </row>
    <row r="245" spans="13:20">
      <c r="M245">
        <v>238</v>
      </c>
      <c r="N245">
        <v>99724.551762622054</v>
      </c>
      <c r="O245">
        <v>11239.55415260785</v>
      </c>
      <c r="P245">
        <v>11807.927548247128</v>
      </c>
      <c r="Q245">
        <v>7138.9087109323154</v>
      </c>
      <c r="R245">
        <v>24310.685646663296</v>
      </c>
      <c r="S245">
        <v>15296.152817121432</v>
      </c>
      <c r="T245">
        <v>29151.451789913062</v>
      </c>
    </row>
    <row r="246" spans="13:20">
      <c r="M246">
        <v>239</v>
      </c>
      <c r="N246">
        <v>99348.687619589051</v>
      </c>
      <c r="O246">
        <v>10875.76204870485</v>
      </c>
      <c r="P246">
        <v>11802.177795258025</v>
      </c>
      <c r="Q246">
        <v>8251.6114930659587</v>
      </c>
      <c r="R246">
        <v>21106.022711119876</v>
      </c>
      <c r="S246">
        <v>15650.461874229033</v>
      </c>
      <c r="T246">
        <v>30522.297183247196</v>
      </c>
    </row>
    <row r="247" spans="13:20">
      <c r="M247">
        <v>240</v>
      </c>
      <c r="N247">
        <v>97022.821983383634</v>
      </c>
      <c r="O247">
        <v>11258.940289369208</v>
      </c>
      <c r="P247">
        <v>11846.056383923749</v>
      </c>
      <c r="Q247">
        <v>7434.8451974266691</v>
      </c>
      <c r="R247">
        <v>20613.811768714262</v>
      </c>
      <c r="S247">
        <v>14943.340559589407</v>
      </c>
      <c r="T247">
        <v>29956.772253744442</v>
      </c>
    </row>
    <row r="248" spans="13:20">
      <c r="M248">
        <v>241</v>
      </c>
      <c r="N248">
        <v>103282.35209438609</v>
      </c>
      <c r="O248">
        <v>11338.954271469585</v>
      </c>
      <c r="P248">
        <v>12353.321981556388</v>
      </c>
      <c r="Q248">
        <v>7532.5712605545159</v>
      </c>
      <c r="R248">
        <v>25202.196854830057</v>
      </c>
      <c r="S248">
        <v>15639.709262638858</v>
      </c>
      <c r="T248">
        <v>30012.407771177452</v>
      </c>
    </row>
    <row r="249" spans="13:20">
      <c r="M249">
        <v>242</v>
      </c>
      <c r="N249">
        <v>98362.640289584117</v>
      </c>
      <c r="O249">
        <v>11443.450725721023</v>
      </c>
      <c r="P249">
        <v>11677.233323303302</v>
      </c>
      <c r="Q249">
        <v>7780.0799434424034</v>
      </c>
      <c r="R249">
        <v>21500.183735698967</v>
      </c>
      <c r="S249">
        <v>15931.998496732807</v>
      </c>
      <c r="T249">
        <v>28976.581081853044</v>
      </c>
    </row>
    <row r="250" spans="13:20">
      <c r="M250">
        <v>243</v>
      </c>
      <c r="N250">
        <v>99429.713048958991</v>
      </c>
      <c r="O250">
        <v>11254.124405435965</v>
      </c>
      <c r="P250">
        <v>11669.718972852108</v>
      </c>
      <c r="Q250">
        <v>7775.9330317950389</v>
      </c>
      <c r="R250">
        <v>22939.414504175969</v>
      </c>
      <c r="S250">
        <v>15350.118327905275</v>
      </c>
      <c r="T250">
        <v>29447.559549837009</v>
      </c>
    </row>
    <row r="251" spans="13:20">
      <c r="M251">
        <v>244</v>
      </c>
      <c r="N251">
        <v>96766.466571028854</v>
      </c>
      <c r="O251">
        <v>11037.464437620303</v>
      </c>
      <c r="P251">
        <v>12709.186034281651</v>
      </c>
      <c r="Q251">
        <v>6956.2976736779074</v>
      </c>
      <c r="R251">
        <v>21238.954099237624</v>
      </c>
      <c r="S251">
        <v>15157.057510982033</v>
      </c>
      <c r="T251">
        <v>28589.056333340999</v>
      </c>
    </row>
    <row r="252" spans="13:20">
      <c r="M252">
        <v>245</v>
      </c>
      <c r="N252">
        <v>99858.272000175712</v>
      </c>
      <c r="O252">
        <v>10655.929306816388</v>
      </c>
      <c r="P252">
        <v>12760.0163199623</v>
      </c>
      <c r="Q252">
        <v>7452.9382230343281</v>
      </c>
      <c r="R252">
        <v>23106.863775244088</v>
      </c>
      <c r="S252">
        <v>15266.482756996589</v>
      </c>
      <c r="T252">
        <v>29660.606077761429</v>
      </c>
    </row>
    <row r="253" spans="13:20">
      <c r="M253">
        <v>246</v>
      </c>
      <c r="N253">
        <v>100069.86341917848</v>
      </c>
      <c r="O253">
        <v>11115.76305350172</v>
      </c>
      <c r="P253">
        <v>12365.682486577956</v>
      </c>
      <c r="Q253">
        <v>8028.3705804749188</v>
      </c>
      <c r="R253">
        <v>21129.131079727464</v>
      </c>
      <c r="S253">
        <v>16178.235821964216</v>
      </c>
      <c r="T253">
        <v>30050.237959946549</v>
      </c>
    </row>
    <row r="254" spans="13:20">
      <c r="M254">
        <v>247</v>
      </c>
      <c r="N254">
        <v>98908.051414982867</v>
      </c>
      <c r="O254">
        <v>10973.559574349578</v>
      </c>
      <c r="P254">
        <v>12475.77730924702</v>
      </c>
      <c r="Q254">
        <v>8326.9205551984287</v>
      </c>
      <c r="R254">
        <v>20782.839001277629</v>
      </c>
      <c r="S254">
        <v>15191.267703214437</v>
      </c>
      <c r="T254">
        <v>30149.742500105753</v>
      </c>
    </row>
    <row r="255" spans="13:20">
      <c r="M255">
        <v>248</v>
      </c>
      <c r="N255">
        <v>98778.525084064735</v>
      </c>
      <c r="O255">
        <v>11032.165523256146</v>
      </c>
      <c r="P255">
        <v>12190.215320015282</v>
      </c>
      <c r="Q255">
        <v>8334.6456571571562</v>
      </c>
      <c r="R255">
        <v>21964.499966184234</v>
      </c>
      <c r="S255">
        <v>15650.456781560346</v>
      </c>
      <c r="T255">
        <v>28542.873263791509</v>
      </c>
    </row>
    <row r="256" spans="13:20">
      <c r="M256">
        <v>249</v>
      </c>
      <c r="N256">
        <v>100352.8369342306</v>
      </c>
      <c r="O256">
        <v>11071.557505322131</v>
      </c>
      <c r="P256">
        <v>12514.066020095546</v>
      </c>
      <c r="Q256">
        <v>7920.5188130191182</v>
      </c>
      <c r="R256">
        <v>23916.417538024387</v>
      </c>
      <c r="S256">
        <v>14872.173786654244</v>
      </c>
      <c r="T256">
        <v>29082.945672973652</v>
      </c>
    </row>
    <row r="257" spans="13:20">
      <c r="M257">
        <v>250</v>
      </c>
      <c r="N257">
        <v>100460.1297433451</v>
      </c>
      <c r="O257">
        <v>11173.745652748461</v>
      </c>
      <c r="P257">
        <v>13444.13992776363</v>
      </c>
      <c r="Q257">
        <v>7440.375415505674</v>
      </c>
      <c r="R257">
        <v>21211.65344486832</v>
      </c>
      <c r="S257">
        <v>16060.756372222251</v>
      </c>
      <c r="T257">
        <v>30296.150139123089</v>
      </c>
    </row>
    <row r="258" spans="13:20">
      <c r="M258">
        <v>251</v>
      </c>
      <c r="N258">
        <v>99363.133540812007</v>
      </c>
      <c r="O258">
        <v>11406.948663950523</v>
      </c>
      <c r="P258">
        <v>13029.561347185148</v>
      </c>
      <c r="Q258">
        <v>8216.1544616831798</v>
      </c>
      <c r="R258">
        <v>20612.63213869432</v>
      </c>
      <c r="S258">
        <v>16229.024810649735</v>
      </c>
      <c r="T258">
        <v>28889.110389829137</v>
      </c>
    </row>
    <row r="259" spans="13:20">
      <c r="M259">
        <v>252</v>
      </c>
      <c r="N259">
        <v>100110.5875326721</v>
      </c>
      <c r="O259">
        <v>11657.522552603168</v>
      </c>
      <c r="P259">
        <v>13460.86720884852</v>
      </c>
      <c r="Q259">
        <v>8218.387471356531</v>
      </c>
      <c r="R259">
        <v>20933.438170146175</v>
      </c>
      <c r="S259">
        <v>15445.843509339578</v>
      </c>
      <c r="T259">
        <v>29448.079013323986</v>
      </c>
    </row>
    <row r="260" spans="13:20">
      <c r="M260">
        <v>253</v>
      </c>
      <c r="N260">
        <v>99533.557968398643</v>
      </c>
      <c r="O260">
        <v>11565.559042784718</v>
      </c>
      <c r="P260">
        <v>12111.135008698882</v>
      </c>
      <c r="Q260">
        <v>6955.9573243265759</v>
      </c>
      <c r="R260">
        <v>22710.664607391449</v>
      </c>
      <c r="S260">
        <v>15907.310256526313</v>
      </c>
      <c r="T260">
        <v>29216.181630046165</v>
      </c>
    </row>
    <row r="261" spans="13:20">
      <c r="M261">
        <v>254</v>
      </c>
      <c r="N261">
        <v>101702.13641428064</v>
      </c>
      <c r="O261">
        <v>10904.468731037459</v>
      </c>
      <c r="P261">
        <v>13910.931402594206</v>
      </c>
      <c r="Q261">
        <v>7084.2837053791955</v>
      </c>
      <c r="R261">
        <v>22408.372094153747</v>
      </c>
      <c r="S261">
        <v>16441.939913432932</v>
      </c>
      <c r="T261">
        <v>29997.469601271881</v>
      </c>
    </row>
    <row r="262" spans="13:20">
      <c r="M262">
        <v>255</v>
      </c>
      <c r="N262">
        <v>99383.190231971719</v>
      </c>
      <c r="O262">
        <v>11082.113781165795</v>
      </c>
      <c r="P262">
        <v>12080.515756110341</v>
      </c>
      <c r="Q262">
        <v>7387.6897563912444</v>
      </c>
      <c r="R262">
        <v>22479.989028125157</v>
      </c>
      <c r="S262">
        <v>15726.117634819388</v>
      </c>
      <c r="T262">
        <v>29758.014305756933</v>
      </c>
    </row>
    <row r="263" spans="13:20">
      <c r="M263">
        <v>256</v>
      </c>
      <c r="N263">
        <v>103604.32653889</v>
      </c>
      <c r="O263">
        <v>10742.53467590826</v>
      </c>
      <c r="P263">
        <v>14749.225684050849</v>
      </c>
      <c r="Q263">
        <v>8008.6200750427615</v>
      </c>
      <c r="R263">
        <v>23732.641931339727</v>
      </c>
      <c r="S263">
        <v>15706.440698493196</v>
      </c>
      <c r="T263">
        <v>29591.870390524229</v>
      </c>
    </row>
    <row r="264" spans="13:20">
      <c r="M264">
        <v>257</v>
      </c>
      <c r="N264">
        <v>102947.57818058498</v>
      </c>
      <c r="O264">
        <v>11488.439016156581</v>
      </c>
      <c r="P264">
        <v>12561.596471051116</v>
      </c>
      <c r="Q264">
        <v>8257.4907325435306</v>
      </c>
      <c r="R264">
        <v>24986.769325255882</v>
      </c>
      <c r="S264">
        <v>15678.185736633694</v>
      </c>
      <c r="T264">
        <v>29182.677164962013</v>
      </c>
    </row>
    <row r="265" spans="13:20">
      <c r="M265">
        <v>258</v>
      </c>
      <c r="N265">
        <v>97818.854111412234</v>
      </c>
      <c r="O265">
        <v>11335.99056959759</v>
      </c>
      <c r="P265">
        <v>11494.648572921426</v>
      </c>
      <c r="Q265">
        <v>6973.460508550731</v>
      </c>
      <c r="R265">
        <v>21052.171647106814</v>
      </c>
      <c r="S265">
        <v>15878.815050738523</v>
      </c>
      <c r="T265">
        <v>29951.23828196813</v>
      </c>
    </row>
    <row r="266" spans="13:20">
      <c r="M266">
        <v>259</v>
      </c>
      <c r="N266">
        <v>100336.47763503688</v>
      </c>
      <c r="O266">
        <v>11787.552517266486</v>
      </c>
      <c r="P266">
        <v>13295.057724580214</v>
      </c>
      <c r="Q266">
        <v>7869.0087929936471</v>
      </c>
      <c r="R266">
        <v>20606.537036859416</v>
      </c>
      <c r="S266">
        <v>15376.892272975316</v>
      </c>
      <c r="T266">
        <v>30300.485740083612</v>
      </c>
    </row>
    <row r="267" spans="13:20">
      <c r="M267">
        <v>260</v>
      </c>
      <c r="N267">
        <v>98708.429268434702</v>
      </c>
      <c r="O267">
        <v>11631.418710071644</v>
      </c>
      <c r="P267">
        <v>12235.834561713446</v>
      </c>
      <c r="Q267">
        <v>7850.9629774504319</v>
      </c>
      <c r="R267">
        <v>21252.527651824996</v>
      </c>
      <c r="S267">
        <v>15122.8158267657</v>
      </c>
      <c r="T267">
        <v>29826.26382796243</v>
      </c>
    </row>
    <row r="268" spans="13:20">
      <c r="M268">
        <v>261</v>
      </c>
      <c r="N268">
        <v>102374.33467830173</v>
      </c>
      <c r="O268">
        <v>11193.238125186563</v>
      </c>
      <c r="P268">
        <v>13380.949254898893</v>
      </c>
      <c r="Q268">
        <v>6922.8276530325211</v>
      </c>
      <c r="R268">
        <v>23324.872791876798</v>
      </c>
      <c r="S268">
        <v>16316.536591589229</v>
      </c>
      <c r="T268">
        <v>30299.179891727603</v>
      </c>
    </row>
    <row r="269" spans="13:20">
      <c r="M269">
        <v>262</v>
      </c>
      <c r="N269">
        <v>98144.836265561476</v>
      </c>
      <c r="O269">
        <v>11390.617125436627</v>
      </c>
      <c r="P269">
        <v>12278.908667878835</v>
      </c>
      <c r="Q269">
        <v>6788.9274749184588</v>
      </c>
      <c r="R269">
        <v>22106.592396205237</v>
      </c>
      <c r="S269">
        <v>15015.981687575259</v>
      </c>
      <c r="T269">
        <v>29450.375436649716</v>
      </c>
    </row>
    <row r="270" spans="13:20">
      <c r="M270">
        <v>263</v>
      </c>
      <c r="N270">
        <v>101170.40270411369</v>
      </c>
      <c r="O270">
        <v>11687.642805250489</v>
      </c>
      <c r="P270">
        <v>12646.252294095673</v>
      </c>
      <c r="Q270">
        <v>7967.3757830968761</v>
      </c>
      <c r="R270">
        <v>23225.417396834604</v>
      </c>
      <c r="S270">
        <v>15332.426536892381</v>
      </c>
      <c r="T270">
        <v>29175.562665417081</v>
      </c>
    </row>
    <row r="271" spans="13:20">
      <c r="M271">
        <v>264</v>
      </c>
      <c r="N271">
        <v>98422.835079944591</v>
      </c>
      <c r="O271">
        <v>10659.931015163405</v>
      </c>
      <c r="P271">
        <v>12580.677679020391</v>
      </c>
      <c r="Q271">
        <v>7409.5770583428366</v>
      </c>
      <c r="R271">
        <v>21725.015287611805</v>
      </c>
      <c r="S271">
        <v>15856.538354490722</v>
      </c>
      <c r="T271">
        <v>29323.892301922406</v>
      </c>
    </row>
    <row r="272" spans="13:20">
      <c r="M272">
        <v>265</v>
      </c>
      <c r="N272">
        <v>101049.99823394122</v>
      </c>
      <c r="O272">
        <v>10882.550213633978</v>
      </c>
      <c r="P272">
        <v>13237.553843549837</v>
      </c>
      <c r="Q272">
        <v>8236.5726586585806</v>
      </c>
      <c r="R272">
        <v>22994.253335529618</v>
      </c>
      <c r="S272">
        <v>15314.881663630322</v>
      </c>
      <c r="T272">
        <v>29338.701718501175</v>
      </c>
    </row>
    <row r="273" spans="13:20">
      <c r="M273">
        <v>266</v>
      </c>
      <c r="N273">
        <v>99526.579601794656</v>
      </c>
      <c r="O273">
        <v>10970.022006919768</v>
      </c>
      <c r="P273">
        <v>14498.750574279886</v>
      </c>
      <c r="Q273">
        <v>7029.3125314947292</v>
      </c>
      <c r="R273">
        <v>20900.228107264818</v>
      </c>
      <c r="S273">
        <v>15610.41002341449</v>
      </c>
      <c r="T273">
        <v>29404.035936823733</v>
      </c>
    </row>
    <row r="274" spans="13:20">
      <c r="M274">
        <v>267</v>
      </c>
      <c r="N274">
        <v>99337.674919508325</v>
      </c>
      <c r="O274">
        <v>11684.800733479107</v>
      </c>
      <c r="P274">
        <v>12202.334759324402</v>
      </c>
      <c r="Q274">
        <v>7175.852288065782</v>
      </c>
      <c r="R274">
        <v>22675.678565429327</v>
      </c>
      <c r="S274">
        <v>15354.486269693456</v>
      </c>
      <c r="T274">
        <v>29212.654115445166</v>
      </c>
    </row>
    <row r="275" spans="13:20">
      <c r="M275">
        <v>268</v>
      </c>
      <c r="N275">
        <v>102228.20470191511</v>
      </c>
      <c r="O275">
        <v>11300.500672441747</v>
      </c>
      <c r="P275">
        <v>12492.643633543423</v>
      </c>
      <c r="Q275">
        <v>7080.0977140649056</v>
      </c>
      <c r="R275">
        <v>25412.209598196237</v>
      </c>
      <c r="S275">
        <v>15591.252471370284</v>
      </c>
      <c r="T275">
        <v>29419.155551465577</v>
      </c>
    </row>
    <row r="276" spans="13:20">
      <c r="M276">
        <v>269</v>
      </c>
      <c r="N276">
        <v>101601.44081597961</v>
      </c>
      <c r="O276">
        <v>10760.68031130953</v>
      </c>
      <c r="P276">
        <v>12190.921335948347</v>
      </c>
      <c r="Q276">
        <v>8358.7179703710517</v>
      </c>
      <c r="R276">
        <v>23186.227101550783</v>
      </c>
      <c r="S276">
        <v>16572.199490264236</v>
      </c>
      <c r="T276">
        <v>29357.507016377829</v>
      </c>
    </row>
    <row r="277" spans="13:20">
      <c r="M277">
        <v>270</v>
      </c>
      <c r="N277">
        <v>97267.737031831799</v>
      </c>
      <c r="O277">
        <v>11309.264198865643</v>
      </c>
      <c r="P277">
        <v>11774.481948717877</v>
      </c>
      <c r="Q277">
        <v>7512.3956524044015</v>
      </c>
      <c r="R277">
        <v>20659.251654306667</v>
      </c>
      <c r="S277">
        <v>15416.085746118648</v>
      </c>
      <c r="T277">
        <v>29782.721028788987</v>
      </c>
    </row>
    <row r="278" spans="13:20">
      <c r="M278">
        <v>271</v>
      </c>
      <c r="N278">
        <v>99895.387130785894</v>
      </c>
      <c r="O278">
        <v>11178.591788137808</v>
      </c>
      <c r="P278">
        <v>12404.07249129366</v>
      </c>
      <c r="Q278">
        <v>7357.9179439606687</v>
      </c>
      <c r="R278">
        <v>21209.14555741446</v>
      </c>
      <c r="S278">
        <v>16195.532776029757</v>
      </c>
      <c r="T278">
        <v>30352.438402705146</v>
      </c>
    </row>
    <row r="279" spans="13:20">
      <c r="M279">
        <v>272</v>
      </c>
      <c r="N279">
        <v>98627.998285154492</v>
      </c>
      <c r="O279">
        <v>11082.546709507578</v>
      </c>
      <c r="P279">
        <v>12005.207906731874</v>
      </c>
      <c r="Q279">
        <v>7920.3907634211391</v>
      </c>
      <c r="R279">
        <v>21447.105395509527</v>
      </c>
      <c r="S279">
        <v>15316.373525786739</v>
      </c>
      <c r="T279">
        <v>30012.061262028688</v>
      </c>
    </row>
    <row r="280" spans="13:20">
      <c r="M280">
        <v>273</v>
      </c>
      <c r="N280">
        <v>101619.25766490554</v>
      </c>
      <c r="O280">
        <v>11744.294356744795</v>
      </c>
      <c r="P280">
        <v>12598.626531873939</v>
      </c>
      <c r="Q280">
        <v>7146.7493990658031</v>
      </c>
      <c r="R280">
        <v>24585.097092836157</v>
      </c>
      <c r="S280">
        <v>15171.221381323441</v>
      </c>
      <c r="T280">
        <v>29362.256403521817</v>
      </c>
    </row>
    <row r="281" spans="13:20">
      <c r="M281">
        <v>274</v>
      </c>
      <c r="N281">
        <v>97378.751375326785</v>
      </c>
      <c r="O281">
        <v>10701.389962964609</v>
      </c>
      <c r="P281">
        <v>11759.602524140602</v>
      </c>
      <c r="Q281">
        <v>7656.3487993326726</v>
      </c>
      <c r="R281">
        <v>21961.245397504295</v>
      </c>
      <c r="S281">
        <v>15167.088531545409</v>
      </c>
      <c r="T281">
        <v>29274.756756997162</v>
      </c>
    </row>
    <row r="282" spans="13:20">
      <c r="M282">
        <v>275</v>
      </c>
      <c r="N282">
        <v>97956.929103296454</v>
      </c>
      <c r="O282">
        <v>11180.356367778557</v>
      </c>
      <c r="P282">
        <v>12082.076077373807</v>
      </c>
      <c r="Q282">
        <v>7271.0050730067569</v>
      </c>
      <c r="R282">
        <v>21507.351877619396</v>
      </c>
      <c r="S282">
        <v>15934.852281044867</v>
      </c>
      <c r="T282">
        <v>28855.014526288429</v>
      </c>
    </row>
    <row r="283" spans="13:20">
      <c r="M283">
        <v>276</v>
      </c>
      <c r="N283">
        <v>100947.22512196869</v>
      </c>
      <c r="O283">
        <v>10937.24988132971</v>
      </c>
      <c r="P283">
        <v>11628.561698914911</v>
      </c>
      <c r="Q283">
        <v>7828.6617618492037</v>
      </c>
      <c r="R283">
        <v>23800.092239805643</v>
      </c>
      <c r="S283">
        <v>16143.308162122588</v>
      </c>
      <c r="T283">
        <v>29419.074166142651</v>
      </c>
    </row>
    <row r="284" spans="13:20">
      <c r="M284">
        <v>277</v>
      </c>
      <c r="N284">
        <v>100848.05545823654</v>
      </c>
      <c r="O284">
        <v>11410.29183301605</v>
      </c>
      <c r="P284">
        <v>13195.338450535981</v>
      </c>
      <c r="Q284">
        <v>7298.141323435404</v>
      </c>
      <c r="R284">
        <v>22728.509911082565</v>
      </c>
      <c r="S284">
        <v>15416.768549451401</v>
      </c>
      <c r="T284">
        <v>29878.920927574211</v>
      </c>
    </row>
    <row r="285" spans="13:20">
      <c r="M285">
        <v>278</v>
      </c>
      <c r="N285">
        <v>99225.459574188091</v>
      </c>
      <c r="O285">
        <v>10970.505985597858</v>
      </c>
      <c r="P285">
        <v>12873.94385222414</v>
      </c>
      <c r="Q285">
        <v>7392.5467195990277</v>
      </c>
      <c r="R285">
        <v>21201.029433649124</v>
      </c>
      <c r="S285">
        <v>15680.025977874728</v>
      </c>
      <c r="T285">
        <v>30264.654775122115</v>
      </c>
    </row>
    <row r="286" spans="13:20">
      <c r="M286">
        <v>279</v>
      </c>
      <c r="N286">
        <v>100258.07083782501</v>
      </c>
      <c r="O286">
        <v>11190.345198184281</v>
      </c>
      <c r="P286">
        <v>11610.98300014433</v>
      </c>
      <c r="Q286">
        <v>7774.1561280780061</v>
      </c>
      <c r="R286">
        <v>23430.470333307152</v>
      </c>
      <c r="S286">
        <v>15706.716966974305</v>
      </c>
      <c r="T286">
        <v>29512.571538714295</v>
      </c>
    </row>
    <row r="287" spans="13:20">
      <c r="M287">
        <v>280</v>
      </c>
      <c r="N287">
        <v>98324.022697622611</v>
      </c>
      <c r="O287">
        <v>11282.124842773012</v>
      </c>
      <c r="P287">
        <v>11336.882096394624</v>
      </c>
      <c r="Q287">
        <v>7076.126989966574</v>
      </c>
      <c r="R287">
        <v>22003.112525512486</v>
      </c>
      <c r="S287">
        <v>15214.498085884243</v>
      </c>
      <c r="T287">
        <v>30442.684552642455</v>
      </c>
    </row>
    <row r="288" spans="13:20">
      <c r="M288">
        <v>281</v>
      </c>
      <c r="N288">
        <v>102646.66247469647</v>
      </c>
      <c r="O288">
        <v>10893.368078948755</v>
      </c>
      <c r="P288">
        <v>13407.805145056169</v>
      </c>
      <c r="Q288">
        <v>7774.8147195629635</v>
      </c>
      <c r="R288">
        <v>23984.566124818484</v>
      </c>
      <c r="S288">
        <v>16008.955533705528</v>
      </c>
      <c r="T288">
        <v>29499.748441056829</v>
      </c>
    </row>
    <row r="289" spans="13:20">
      <c r="M289">
        <v>282</v>
      </c>
      <c r="N289">
        <v>101616.40874574902</v>
      </c>
      <c r="O289">
        <v>11348.252081559755</v>
      </c>
      <c r="P289">
        <v>12272.419587417447</v>
      </c>
      <c r="Q289">
        <v>8059.6174945021939</v>
      </c>
      <c r="R289">
        <v>23098.635677428912</v>
      </c>
      <c r="S289">
        <v>15687.217160473292</v>
      </c>
      <c r="T289">
        <v>30014.114766558843</v>
      </c>
    </row>
    <row r="290" spans="13:20">
      <c r="M290">
        <v>283</v>
      </c>
      <c r="N290">
        <v>100494.24292735182</v>
      </c>
      <c r="O290">
        <v>10918.425976603505</v>
      </c>
      <c r="P290">
        <v>13652.653415374814</v>
      </c>
      <c r="Q290">
        <v>7842.2851128558295</v>
      </c>
      <c r="R290">
        <v>20751.022924226272</v>
      </c>
      <c r="S290">
        <v>15801.357194435328</v>
      </c>
      <c r="T290">
        <v>30500.270519413203</v>
      </c>
    </row>
    <row r="291" spans="13:20">
      <c r="M291">
        <v>284</v>
      </c>
      <c r="N291">
        <v>97572.455885808537</v>
      </c>
      <c r="O291">
        <v>11164.807775869374</v>
      </c>
      <c r="P291">
        <v>12329.081006230934</v>
      </c>
      <c r="Q291">
        <v>7680.8819539098167</v>
      </c>
      <c r="R291">
        <v>21470.676145812613</v>
      </c>
      <c r="S291">
        <v>14869.828792017091</v>
      </c>
      <c r="T291">
        <v>29042.697839409127</v>
      </c>
    </row>
    <row r="292" spans="13:20">
      <c r="M292">
        <v>285</v>
      </c>
      <c r="N292">
        <v>98351.757322141493</v>
      </c>
      <c r="O292">
        <v>10628.981770310702</v>
      </c>
      <c r="P292">
        <v>13374.202332735978</v>
      </c>
      <c r="Q292">
        <v>7352.2298082931211</v>
      </c>
      <c r="R292">
        <v>21035.380434931358</v>
      </c>
      <c r="S292">
        <v>15720.074437264519</v>
      </c>
      <c r="T292">
        <v>29158.941447063313</v>
      </c>
    </row>
    <row r="293" spans="13:20">
      <c r="M293">
        <v>286</v>
      </c>
      <c r="N293">
        <v>101483.20784430968</v>
      </c>
      <c r="O293">
        <v>11604.865837527419</v>
      </c>
      <c r="P293">
        <v>13510.119063982087</v>
      </c>
      <c r="Q293">
        <v>7860.7268398874357</v>
      </c>
      <c r="R293">
        <v>22184.500717479383</v>
      </c>
      <c r="S293">
        <v>15886.837037701685</v>
      </c>
      <c r="T293">
        <v>29495.603667805248</v>
      </c>
    </row>
    <row r="294" spans="13:20">
      <c r="M294">
        <v>287</v>
      </c>
      <c r="N294">
        <v>100428.10156410544</v>
      </c>
      <c r="O294">
        <v>11162.183840847501</v>
      </c>
      <c r="P294">
        <v>12408.145684000992</v>
      </c>
      <c r="Q294">
        <v>7520.4418079127954</v>
      </c>
      <c r="R294">
        <v>22313.747294521745</v>
      </c>
      <c r="S294">
        <v>16055.28259959531</v>
      </c>
      <c r="T294">
        <v>29968.50952017953</v>
      </c>
    </row>
    <row r="295" spans="13:20">
      <c r="M295">
        <v>288</v>
      </c>
      <c r="N295">
        <v>102152.96113624008</v>
      </c>
      <c r="O295">
        <v>11018.375286057344</v>
      </c>
      <c r="P295">
        <v>13995.977048468898</v>
      </c>
      <c r="Q295">
        <v>7711.875357208045</v>
      </c>
      <c r="R295">
        <v>21980.793283190516</v>
      </c>
      <c r="S295">
        <v>16292.806485401545</v>
      </c>
      <c r="T295">
        <v>30404.476657734573</v>
      </c>
    </row>
    <row r="296" spans="13:20">
      <c r="M296">
        <v>289</v>
      </c>
      <c r="N296">
        <v>96850.383010596459</v>
      </c>
      <c r="O296">
        <v>11079.697628085622</v>
      </c>
      <c r="P296">
        <v>12144.923641244439</v>
      </c>
      <c r="Q296">
        <v>7340.1591543596614</v>
      </c>
      <c r="R296">
        <v>20675.5497438288</v>
      </c>
      <c r="S296">
        <v>14910.85198480914</v>
      </c>
      <c r="T296">
        <v>29759.31779481276</v>
      </c>
    </row>
    <row r="297" spans="13:20">
      <c r="M297">
        <v>290</v>
      </c>
      <c r="N297">
        <v>100078.86117351253</v>
      </c>
      <c r="O297">
        <v>11779.907221881527</v>
      </c>
      <c r="P297">
        <v>12857.923113559771</v>
      </c>
      <c r="Q297">
        <v>7679.5499931445283</v>
      </c>
      <c r="R297">
        <v>21406.522973236632</v>
      </c>
      <c r="S297">
        <v>15966.253940652852</v>
      </c>
      <c r="T297">
        <v>29338.153383244156</v>
      </c>
    </row>
    <row r="298" spans="13:20">
      <c r="M298">
        <v>291</v>
      </c>
      <c r="N298">
        <v>100566.2018218419</v>
      </c>
      <c r="O298">
        <v>11326.04977455944</v>
      </c>
      <c r="P298">
        <v>12735.142329173283</v>
      </c>
      <c r="Q298">
        <v>7976.1325177804611</v>
      </c>
      <c r="R298">
        <v>21197.833480599998</v>
      </c>
      <c r="S298">
        <v>15397.342630244364</v>
      </c>
      <c r="T298">
        <v>30818.427675647796</v>
      </c>
    </row>
    <row r="299" spans="13:20">
      <c r="M299">
        <v>292</v>
      </c>
      <c r="N299">
        <v>100400.01193313528</v>
      </c>
      <c r="O299">
        <v>10987.573686092523</v>
      </c>
      <c r="P299">
        <v>11819.61877795474</v>
      </c>
      <c r="Q299">
        <v>7331.0335035098788</v>
      </c>
      <c r="R299">
        <v>24233.686458911812</v>
      </c>
      <c r="S299">
        <v>14973.249118294207</v>
      </c>
      <c r="T299">
        <v>29850.555390690708</v>
      </c>
    </row>
    <row r="300" spans="13:20">
      <c r="M300">
        <v>293</v>
      </c>
      <c r="N300">
        <v>99234.733687059954</v>
      </c>
      <c r="O300">
        <v>10625.190142431598</v>
      </c>
      <c r="P300">
        <v>13354.078465674189</v>
      </c>
      <c r="Q300">
        <v>7545.1517014609653</v>
      </c>
      <c r="R300">
        <v>22061.130283155464</v>
      </c>
      <c r="S300">
        <v>15263.170247292297</v>
      </c>
      <c r="T300">
        <v>29424.093353727098</v>
      </c>
    </row>
    <row r="301" spans="13:20">
      <c r="M301">
        <v>294</v>
      </c>
      <c r="N301">
        <v>97795.550578428374</v>
      </c>
      <c r="O301">
        <v>11419.787029163715</v>
      </c>
      <c r="P301">
        <v>11664.404835832822</v>
      </c>
      <c r="Q301">
        <v>7216.2436877981791</v>
      </c>
      <c r="R301">
        <v>21945.25571451521</v>
      </c>
      <c r="S301">
        <v>15292.173603719009</v>
      </c>
      <c r="T301">
        <v>29344.140700230131</v>
      </c>
    </row>
    <row r="302" spans="13:20">
      <c r="M302">
        <v>295</v>
      </c>
      <c r="N302">
        <v>96667.855625893411</v>
      </c>
      <c r="O302">
        <v>11056.564645240971</v>
      </c>
      <c r="P302">
        <v>12000.693532058183</v>
      </c>
      <c r="Q302">
        <v>7589.2430650934239</v>
      </c>
      <c r="R302">
        <v>20800.738643891225</v>
      </c>
      <c r="S302">
        <v>15524.256640948182</v>
      </c>
      <c r="T302">
        <v>28820.396487931161</v>
      </c>
    </row>
    <row r="303" spans="13:20">
      <c r="M303">
        <v>296</v>
      </c>
      <c r="N303">
        <v>99207.230652995146</v>
      </c>
      <c r="O303">
        <v>10990.987752373656</v>
      </c>
      <c r="P303">
        <v>12155.048785661471</v>
      </c>
      <c r="Q303">
        <v>7599.0731155593276</v>
      </c>
      <c r="R303">
        <v>22819.272950543414</v>
      </c>
      <c r="S303">
        <v>14968.815420752657</v>
      </c>
      <c r="T303">
        <v>29533.241467527921</v>
      </c>
    </row>
    <row r="304" spans="13:20">
      <c r="M304">
        <v>297</v>
      </c>
      <c r="N304">
        <v>99608.334746664259</v>
      </c>
      <c r="O304">
        <v>11364.278020468064</v>
      </c>
      <c r="P304">
        <v>13266.766787874463</v>
      </c>
      <c r="Q304">
        <v>7323.0038707177628</v>
      </c>
      <c r="R304">
        <v>21012.235819931135</v>
      </c>
      <c r="S304">
        <v>15672.002876281809</v>
      </c>
      <c r="T304">
        <v>29823.923784459468</v>
      </c>
    </row>
    <row r="305" spans="13:20">
      <c r="M305">
        <v>298</v>
      </c>
      <c r="N305">
        <v>98532.566344353269</v>
      </c>
      <c r="O305">
        <v>10915.908799507899</v>
      </c>
      <c r="P305">
        <v>11598.48890715398</v>
      </c>
      <c r="Q305">
        <v>8027.7645706490493</v>
      </c>
      <c r="R305">
        <v>22066.326297318861</v>
      </c>
      <c r="S305">
        <v>15418.103100516222</v>
      </c>
      <c r="T305">
        <v>29471.605715598751</v>
      </c>
    </row>
    <row r="306" spans="13:20">
      <c r="M306">
        <v>299</v>
      </c>
      <c r="N306">
        <v>99165.265763015908</v>
      </c>
      <c r="O306">
        <v>11323.460460035791</v>
      </c>
      <c r="P306">
        <v>13400.281867207481</v>
      </c>
      <c r="Q306">
        <v>6971.2450623737677</v>
      </c>
      <c r="R306">
        <v>21873.25269041902</v>
      </c>
      <c r="S306">
        <v>14746.689798668922</v>
      </c>
      <c r="T306">
        <v>29866.584773883838</v>
      </c>
    </row>
    <row r="307" spans="13:20">
      <c r="M307">
        <v>300</v>
      </c>
      <c r="N307">
        <v>98648.516721119769</v>
      </c>
      <c r="O307">
        <v>10806.86401284651</v>
      </c>
      <c r="P307">
        <v>12383.077033373656</v>
      </c>
      <c r="Q307">
        <v>7808.6214095210917</v>
      </c>
      <c r="R307">
        <v>21400.606051480649</v>
      </c>
      <c r="S307">
        <v>15477.461737242169</v>
      </c>
      <c r="T307">
        <v>29994.324695464253</v>
      </c>
    </row>
    <row r="308" spans="13:20">
      <c r="M308">
        <v>301</v>
      </c>
      <c r="N308">
        <v>98871.895570202658</v>
      </c>
      <c r="O308">
        <v>11781.461624180272</v>
      </c>
      <c r="P308">
        <v>11885.453018904383</v>
      </c>
      <c r="Q308">
        <v>7470.3836067693937</v>
      </c>
      <c r="R308">
        <v>22177.818869458104</v>
      </c>
      <c r="S308">
        <v>15221.35452704274</v>
      </c>
      <c r="T308">
        <v>29132.007171429323</v>
      </c>
    </row>
    <row r="309" spans="13:20">
      <c r="M309">
        <v>302</v>
      </c>
      <c r="N309">
        <v>103716.59270520743</v>
      </c>
      <c r="O309">
        <v>11237.813395191035</v>
      </c>
      <c r="P309">
        <v>14635.513518985274</v>
      </c>
      <c r="Q309">
        <v>7634.0091919929628</v>
      </c>
      <c r="R309">
        <v>24542.100768121578</v>
      </c>
      <c r="S309">
        <v>15687.634836436107</v>
      </c>
      <c r="T309">
        <v>29114.029256960137</v>
      </c>
    </row>
    <row r="310" spans="13:20">
      <c r="M310">
        <v>303</v>
      </c>
      <c r="N310">
        <v>100085.04796993952</v>
      </c>
      <c r="O310">
        <v>11201.477828575706</v>
      </c>
      <c r="P310">
        <v>11492.761806070732</v>
      </c>
      <c r="Q310">
        <v>7541.1438563420434</v>
      </c>
      <c r="R310">
        <v>22710.993565762059</v>
      </c>
      <c r="S310">
        <v>16120.492893494193</v>
      </c>
      <c r="T310">
        <v>30048.188196735715</v>
      </c>
    </row>
    <row r="311" spans="13:20">
      <c r="M311">
        <v>304</v>
      </c>
      <c r="N311">
        <v>99684.021888251751</v>
      </c>
      <c r="O311">
        <v>10892.163325418402</v>
      </c>
      <c r="P311">
        <v>11589.965234666917</v>
      </c>
      <c r="Q311">
        <v>8175.5915709677774</v>
      </c>
      <c r="R311">
        <v>21856.753984213137</v>
      </c>
      <c r="S311">
        <v>15938.4020936017</v>
      </c>
      <c r="T311">
        <v>30162.578202971541</v>
      </c>
    </row>
    <row r="312" spans="13:20">
      <c r="M312">
        <v>305</v>
      </c>
      <c r="N312">
        <v>100394.30468247122</v>
      </c>
      <c r="O312">
        <v>11443.094922710376</v>
      </c>
      <c r="P312">
        <v>12910.503460776854</v>
      </c>
      <c r="Q312">
        <v>7008.40294096658</v>
      </c>
      <c r="R312">
        <v>22118.740504142621</v>
      </c>
      <c r="S312">
        <v>15515.105009381019</v>
      </c>
      <c r="T312">
        <v>30295.451171249224</v>
      </c>
    </row>
    <row r="313" spans="13:20">
      <c r="M313">
        <v>306</v>
      </c>
      <c r="N313">
        <v>98364.604820876528</v>
      </c>
      <c r="O313">
        <v>10799.81377280487</v>
      </c>
      <c r="P313">
        <v>11908.065623200549</v>
      </c>
      <c r="Q313">
        <v>8463.5662270783687</v>
      </c>
      <c r="R313">
        <v>21052.433188592164</v>
      </c>
      <c r="S313">
        <v>15371.724012475594</v>
      </c>
      <c r="T313">
        <v>29765.365957103291</v>
      </c>
    </row>
    <row r="314" spans="13:20">
      <c r="M314">
        <v>307</v>
      </c>
      <c r="N314">
        <v>96699.959280606505</v>
      </c>
      <c r="O314">
        <v>11166.544716202694</v>
      </c>
      <c r="P314">
        <v>11683.510267615009</v>
      </c>
      <c r="Q314">
        <v>7549.0977421402631</v>
      </c>
      <c r="R314">
        <v>20407.174441803407</v>
      </c>
      <c r="S314">
        <v>15572.715521330476</v>
      </c>
      <c r="T314">
        <v>29272.883106383721</v>
      </c>
    </row>
    <row r="315" spans="13:20">
      <c r="M315">
        <v>308</v>
      </c>
      <c r="N315">
        <v>99679.304786123423</v>
      </c>
      <c r="O315">
        <v>10930.323097052005</v>
      </c>
      <c r="P315">
        <v>12503.476562855274</v>
      </c>
      <c r="Q315">
        <v>7252.6293770605744</v>
      </c>
      <c r="R315">
        <v>22504.474491869543</v>
      </c>
      <c r="S315">
        <v>15494.132540363144</v>
      </c>
      <c r="T315">
        <v>29976.068322054787</v>
      </c>
    </row>
    <row r="316" spans="13:20">
      <c r="M316">
        <v>309</v>
      </c>
      <c r="N316">
        <v>98486.731918552032</v>
      </c>
      <c r="O316">
        <v>11414.679336755418</v>
      </c>
      <c r="P316">
        <v>12645.238138640234</v>
      </c>
      <c r="Q316">
        <v>7843.251019339923</v>
      </c>
      <c r="R316">
        <v>21313.15180396293</v>
      </c>
      <c r="S316">
        <v>15408.567970333008</v>
      </c>
      <c r="T316">
        <v>28977.504075415749</v>
      </c>
    </row>
    <row r="317" spans="13:20">
      <c r="M317">
        <v>310</v>
      </c>
      <c r="N317">
        <v>97207.484392574115</v>
      </c>
      <c r="O317">
        <v>11150.678051553146</v>
      </c>
      <c r="P317">
        <v>11605.677808584969</v>
      </c>
      <c r="Q317">
        <v>7219.9879758628376</v>
      </c>
      <c r="R317">
        <v>21738.706012206007</v>
      </c>
      <c r="S317">
        <v>15060.143481452506</v>
      </c>
      <c r="T317">
        <v>29557.346895592902</v>
      </c>
    </row>
    <row r="318" spans="13:20">
      <c r="M318">
        <v>311</v>
      </c>
      <c r="N318">
        <v>98533.641081074529</v>
      </c>
      <c r="O318">
        <v>11333.436975756675</v>
      </c>
      <c r="P318">
        <v>12152.879823643028</v>
      </c>
      <c r="Q318">
        <v>8011.7571636536231</v>
      </c>
      <c r="R318">
        <v>21422.36350380148</v>
      </c>
      <c r="S318">
        <v>14893.02902023231</v>
      </c>
      <c r="T318">
        <v>29883.730562571334</v>
      </c>
    </row>
    <row r="319" spans="13:20">
      <c r="M319">
        <v>312</v>
      </c>
      <c r="N319">
        <v>98814.278650913562</v>
      </c>
      <c r="O319">
        <v>11336.384373176412</v>
      </c>
      <c r="P319">
        <v>11555.868327664833</v>
      </c>
      <c r="Q319">
        <v>8168.8472576908953</v>
      </c>
      <c r="R319">
        <v>20894.282774509244</v>
      </c>
      <c r="S319">
        <v>15915.402117338806</v>
      </c>
      <c r="T319">
        <v>30068.858191064672</v>
      </c>
    </row>
    <row r="320" spans="13:20">
      <c r="M320">
        <v>313</v>
      </c>
      <c r="N320">
        <v>97774.498885160821</v>
      </c>
      <c r="O320">
        <v>11008.887654845556</v>
      </c>
      <c r="P320">
        <v>12057.968712358494</v>
      </c>
      <c r="Q320">
        <v>8305.3438012403294</v>
      </c>
      <c r="R320">
        <v>20634.565428043788</v>
      </c>
      <c r="S320">
        <v>15838.286678427063</v>
      </c>
      <c r="T320">
        <v>29109.914253237177</v>
      </c>
    </row>
    <row r="321" spans="13:20">
      <c r="M321">
        <v>314</v>
      </c>
      <c r="N321">
        <v>100346.62039341537</v>
      </c>
      <c r="O321">
        <v>10977.102572549611</v>
      </c>
      <c r="P321">
        <v>13149.921072566629</v>
      </c>
      <c r="Q321">
        <v>7196.0453901602486</v>
      </c>
      <c r="R321">
        <v>23727.407523141381</v>
      </c>
      <c r="S321">
        <v>15088.07016901204</v>
      </c>
      <c r="T321">
        <v>29244.680671715083</v>
      </c>
    </row>
    <row r="322" spans="13:20">
      <c r="M322">
        <v>315</v>
      </c>
      <c r="N322">
        <v>97847.093618620391</v>
      </c>
      <c r="O322">
        <v>11448.466466078427</v>
      </c>
      <c r="P322">
        <v>11815.573464077777</v>
      </c>
      <c r="Q322">
        <v>7157.6185665204184</v>
      </c>
      <c r="R322">
        <v>21170.071993021502</v>
      </c>
      <c r="S322">
        <v>16050.866942910092</v>
      </c>
      <c r="T322">
        <v>29224.775055753948</v>
      </c>
    </row>
    <row r="323" spans="13:20">
      <c r="M323">
        <v>316</v>
      </c>
      <c r="N323">
        <v>99144.26323253366</v>
      </c>
      <c r="O323">
        <v>11295.29344555621</v>
      </c>
      <c r="P323">
        <v>13466.673381464661</v>
      </c>
      <c r="Q323">
        <v>7213.7123987330533</v>
      </c>
      <c r="R323">
        <v>20458.715022081429</v>
      </c>
      <c r="S323">
        <v>15784.66860662382</v>
      </c>
      <c r="T323">
        <v>29987.218915200181</v>
      </c>
    </row>
    <row r="324" spans="13:20">
      <c r="M324">
        <v>317</v>
      </c>
      <c r="N324">
        <v>99240.855785332838</v>
      </c>
      <c r="O324">
        <v>11279.632959609469</v>
      </c>
      <c r="P324">
        <v>12317.214121048914</v>
      </c>
      <c r="Q324">
        <v>8370.1296294905278</v>
      </c>
      <c r="R324">
        <v>20575.490600071487</v>
      </c>
      <c r="S324">
        <v>15511.231947875192</v>
      </c>
      <c r="T324">
        <v>30301.859960819565</v>
      </c>
    </row>
    <row r="325" spans="13:20">
      <c r="M325">
        <v>318</v>
      </c>
      <c r="N325">
        <v>97253.415529654376</v>
      </c>
      <c r="O325">
        <v>11149.401272416533</v>
      </c>
      <c r="P325">
        <v>12234.073355755463</v>
      </c>
      <c r="Q325">
        <v>7015.1035078874147</v>
      </c>
      <c r="R325">
        <v>21485.847516824382</v>
      </c>
      <c r="S325">
        <v>15628.509802380013</v>
      </c>
      <c r="T325">
        <v>28587.328798659415</v>
      </c>
    </row>
    <row r="326" spans="13:20">
      <c r="M326">
        <v>319</v>
      </c>
      <c r="N326">
        <v>100884.34089091775</v>
      </c>
      <c r="O326">
        <v>11046.756625755535</v>
      </c>
      <c r="P326">
        <v>12668.618896184005</v>
      </c>
      <c r="Q326">
        <v>7982.0518020416821</v>
      </c>
      <c r="R326">
        <v>22483.208363438047</v>
      </c>
      <c r="S326">
        <v>15715.944057784993</v>
      </c>
      <c r="T326">
        <v>29929.087175073473</v>
      </c>
    </row>
    <row r="327" spans="13:20">
      <c r="M327">
        <v>320</v>
      </c>
      <c r="N327">
        <v>98773.740683805139</v>
      </c>
      <c r="O327">
        <v>11482.184220519175</v>
      </c>
      <c r="P327">
        <v>12608.736861586181</v>
      </c>
      <c r="Q327">
        <v>8050.174393729274</v>
      </c>
      <c r="R327">
        <v>20667.306880303902</v>
      </c>
      <c r="S327">
        <v>15455.143010532889</v>
      </c>
      <c r="T327">
        <v>29577.447392108174</v>
      </c>
    </row>
    <row r="328" spans="13:20">
      <c r="M328">
        <v>321</v>
      </c>
      <c r="N328">
        <v>96723.216538684166</v>
      </c>
      <c r="O328">
        <v>11200.049584840168</v>
      </c>
      <c r="P328">
        <v>12327.357746615298</v>
      </c>
      <c r="Q328">
        <v>6959.1078847892259</v>
      </c>
      <c r="R328">
        <v>20868.986917228445</v>
      </c>
      <c r="S328">
        <v>16179.493675493926</v>
      </c>
      <c r="T328">
        <v>28307.165494539371</v>
      </c>
    </row>
    <row r="329" spans="13:20">
      <c r="M329">
        <v>322</v>
      </c>
      <c r="N329">
        <v>101368.05669565655</v>
      </c>
      <c r="O329">
        <v>11071.139472528841</v>
      </c>
      <c r="P329">
        <v>12587.296436960432</v>
      </c>
      <c r="Q329">
        <v>8229.3224966050075</v>
      </c>
      <c r="R329">
        <v>23145.029541512693</v>
      </c>
      <c r="S329">
        <v>16319.618076585679</v>
      </c>
      <c r="T329">
        <v>28945.696752114654</v>
      </c>
    </row>
    <row r="330" spans="13:20">
      <c r="M330">
        <v>323</v>
      </c>
      <c r="N330">
        <v>97684.198838505763</v>
      </c>
      <c r="O330">
        <v>10813.632019036482</v>
      </c>
      <c r="P330">
        <v>11435.512033756489</v>
      </c>
      <c r="Q330">
        <v>7732.571684262296</v>
      </c>
      <c r="R330">
        <v>21448.865371395041</v>
      </c>
      <c r="S330">
        <v>15372.385496838684</v>
      </c>
      <c r="T330">
        <v>29959.578123712421</v>
      </c>
    </row>
    <row r="331" spans="13:20">
      <c r="M331">
        <v>324</v>
      </c>
      <c r="N331">
        <v>97323.402149364469</v>
      </c>
      <c r="O331">
        <v>11246.30474247396</v>
      </c>
      <c r="P331">
        <v>11885.11059249778</v>
      </c>
      <c r="Q331">
        <v>7519.9535581518876</v>
      </c>
      <c r="R331">
        <v>20359.136359452423</v>
      </c>
      <c r="S331">
        <v>15553.89557250333</v>
      </c>
      <c r="T331">
        <v>29745.882880083878</v>
      </c>
    </row>
    <row r="332" spans="13:20">
      <c r="M332">
        <v>325</v>
      </c>
      <c r="N332">
        <v>100494.91843206243</v>
      </c>
      <c r="O332">
        <v>11367.122785408061</v>
      </c>
      <c r="P332">
        <v>11884.063602436852</v>
      </c>
      <c r="Q332">
        <v>8270.8250144570611</v>
      </c>
      <c r="R332">
        <v>21923.058399726662</v>
      </c>
      <c r="S332">
        <v>15635.320988656815</v>
      </c>
      <c r="T332">
        <v>30344.976720036757</v>
      </c>
    </row>
    <row r="333" spans="13:20">
      <c r="M333">
        <v>326</v>
      </c>
      <c r="N333">
        <v>97954.290688194829</v>
      </c>
      <c r="O333">
        <v>11097.856051496776</v>
      </c>
      <c r="P333">
        <v>12159.817330504316</v>
      </c>
      <c r="Q333">
        <v>7266.8533797980717</v>
      </c>
      <c r="R333">
        <v>21715.997989875952</v>
      </c>
      <c r="S333">
        <v>15768.103170097262</v>
      </c>
      <c r="T333">
        <v>29148.855780290865</v>
      </c>
    </row>
    <row r="334" spans="13:20">
      <c r="M334">
        <v>327</v>
      </c>
      <c r="N334">
        <v>99738.993657909392</v>
      </c>
      <c r="O334">
        <v>10805.049009810515</v>
      </c>
      <c r="P334">
        <v>12737.044822530568</v>
      </c>
      <c r="Q334">
        <v>7422.8954316872068</v>
      </c>
      <c r="R334">
        <v>22113.24301931067</v>
      </c>
      <c r="S334">
        <v>15587.728470896973</v>
      </c>
      <c r="T334">
        <v>30079.688716157012</v>
      </c>
    </row>
    <row r="335" spans="13:20">
      <c r="M335">
        <v>328</v>
      </c>
      <c r="N335">
        <v>97967.424135531648</v>
      </c>
      <c r="O335">
        <v>10768.278007183731</v>
      </c>
      <c r="P335">
        <v>12174.195580124591</v>
      </c>
      <c r="Q335">
        <v>7466.0618298567506</v>
      </c>
      <c r="R335">
        <v>21665.782296714504</v>
      </c>
      <c r="S335">
        <v>15604.404885566324</v>
      </c>
      <c r="T335">
        <v>29483.180632482185</v>
      </c>
    </row>
    <row r="336" spans="13:20">
      <c r="M336">
        <v>329</v>
      </c>
      <c r="N336">
        <v>100330.1088082983</v>
      </c>
      <c r="O336">
        <v>10787.504611736536</v>
      </c>
      <c r="P336">
        <v>12699.00192488523</v>
      </c>
      <c r="Q336">
        <v>8327.7038629282779</v>
      </c>
      <c r="R336">
        <v>21107.248473185147</v>
      </c>
      <c r="S336">
        <v>16059.415139415558</v>
      </c>
      <c r="T336">
        <v>30348.281028342913</v>
      </c>
    </row>
    <row r="337" spans="13:20">
      <c r="M337">
        <v>330</v>
      </c>
      <c r="N337">
        <v>97460.405397855822</v>
      </c>
      <c r="O337">
        <v>10895.120576539617</v>
      </c>
      <c r="P337">
        <v>12398.706152084487</v>
      </c>
      <c r="Q337">
        <v>7114.1314638764588</v>
      </c>
      <c r="R337">
        <v>20395.918840834685</v>
      </c>
      <c r="S337">
        <v>15567.989258028772</v>
      </c>
      <c r="T337">
        <v>30090.923792546739</v>
      </c>
    </row>
    <row r="338" spans="13:20">
      <c r="M338">
        <v>331</v>
      </c>
      <c r="N338">
        <v>98841.534048352085</v>
      </c>
      <c r="O338">
        <v>11008.709090968692</v>
      </c>
      <c r="P338">
        <v>11903.10246359466</v>
      </c>
      <c r="Q338">
        <v>7941.1667878936705</v>
      </c>
      <c r="R338">
        <v>22488.53521846703</v>
      </c>
      <c r="S338">
        <v>15604.076569936771</v>
      </c>
      <c r="T338">
        <v>28993.457514637776</v>
      </c>
    </row>
    <row r="339" spans="13:20">
      <c r="M339">
        <v>332</v>
      </c>
      <c r="N339">
        <v>97064.881421541388</v>
      </c>
      <c r="O339">
        <v>10957.427917119241</v>
      </c>
      <c r="P339">
        <v>11459.871490424328</v>
      </c>
      <c r="Q339">
        <v>7468.1277543114084</v>
      </c>
      <c r="R339">
        <v>20802.210634028146</v>
      </c>
      <c r="S339">
        <v>15858.426242760466</v>
      </c>
      <c r="T339">
        <v>29418.760007883826</v>
      </c>
    </row>
    <row r="340" spans="13:20">
      <c r="M340">
        <v>333</v>
      </c>
      <c r="N340">
        <v>100786.16574418622</v>
      </c>
      <c r="O340">
        <v>11053.657918815547</v>
      </c>
      <c r="P340">
        <v>12894.910280811173</v>
      </c>
      <c r="Q340">
        <v>7998.2344134951272</v>
      </c>
      <c r="R340">
        <v>22865.444482771429</v>
      </c>
      <c r="S340">
        <v>15377.714188600989</v>
      </c>
      <c r="T340">
        <v>29501.168858598008</v>
      </c>
    </row>
    <row r="341" spans="13:20">
      <c r="M341">
        <v>334</v>
      </c>
      <c r="N341">
        <v>98639.284441858952</v>
      </c>
      <c r="O341">
        <v>11020.247857904767</v>
      </c>
      <c r="P341">
        <v>12605.580890312491</v>
      </c>
      <c r="Q341">
        <v>7300.4372251667883</v>
      </c>
      <c r="R341">
        <v>21401.50150223299</v>
      </c>
      <c r="S341">
        <v>16220.573759212355</v>
      </c>
      <c r="T341">
        <v>28923.09081133331</v>
      </c>
    </row>
    <row r="342" spans="13:20">
      <c r="M342">
        <v>335</v>
      </c>
      <c r="N342">
        <v>100051.66613490345</v>
      </c>
      <c r="O342">
        <v>11285.451566430267</v>
      </c>
      <c r="P342">
        <v>11839.135338747419</v>
      </c>
      <c r="Q342">
        <v>8150.0249295333651</v>
      </c>
      <c r="R342">
        <v>22410.762657560939</v>
      </c>
      <c r="S342">
        <v>15445.450638056953</v>
      </c>
      <c r="T342">
        <v>29986.217099549336</v>
      </c>
    </row>
    <row r="343" spans="13:20">
      <c r="M343">
        <v>336</v>
      </c>
      <c r="N343">
        <v>100436.48591457651</v>
      </c>
      <c r="O343">
        <v>11201.363230752393</v>
      </c>
      <c r="P343">
        <v>12175.870214047985</v>
      </c>
      <c r="Q343">
        <v>7926.3679882285487</v>
      </c>
      <c r="R343">
        <v>22791.053094494306</v>
      </c>
      <c r="S343">
        <v>14931.635438083807</v>
      </c>
      <c r="T343">
        <v>30281.894932722891</v>
      </c>
    </row>
    <row r="344" spans="13:20">
      <c r="M344">
        <v>337</v>
      </c>
      <c r="N344">
        <v>101226.05071328765</v>
      </c>
      <c r="O344">
        <v>11608.217354227052</v>
      </c>
      <c r="P344">
        <v>11259.238427994938</v>
      </c>
      <c r="Q344">
        <v>8132.9650168535563</v>
      </c>
      <c r="R344">
        <v>23711.793436721753</v>
      </c>
      <c r="S344">
        <v>16088.289869640217</v>
      </c>
      <c r="T344">
        <v>29473.119311867442</v>
      </c>
    </row>
    <row r="345" spans="13:20">
      <c r="M345">
        <v>338</v>
      </c>
      <c r="N345">
        <v>99295.362163497077</v>
      </c>
      <c r="O345">
        <v>10973.794263755693</v>
      </c>
      <c r="P345">
        <v>12686.163934829015</v>
      </c>
      <c r="Q345">
        <v>7572.8944976243156</v>
      </c>
      <c r="R345">
        <v>22364.566392092205</v>
      </c>
      <c r="S345">
        <v>15378.758712007608</v>
      </c>
      <c r="T345">
        <v>29296.931664465654</v>
      </c>
    </row>
    <row r="346" spans="13:20">
      <c r="M346">
        <v>339</v>
      </c>
      <c r="N346">
        <v>101723.94854704929</v>
      </c>
      <c r="O346">
        <v>11456.293289807412</v>
      </c>
      <c r="P346">
        <v>12980.20984662615</v>
      </c>
      <c r="Q346">
        <v>8662.829521773765</v>
      </c>
      <c r="R346">
        <v>21913.747455220051</v>
      </c>
      <c r="S346">
        <v>15342.093463754136</v>
      </c>
      <c r="T346">
        <v>30286.850249170111</v>
      </c>
    </row>
    <row r="347" spans="13:20">
      <c r="M347">
        <v>340</v>
      </c>
      <c r="N347">
        <v>101101.09646071128</v>
      </c>
      <c r="O347">
        <v>11062.488930468418</v>
      </c>
      <c r="P347">
        <v>12251.214919888655</v>
      </c>
      <c r="Q347">
        <v>7508.0440065478133</v>
      </c>
      <c r="R347">
        <v>23300.025405059507</v>
      </c>
      <c r="S347">
        <v>15470.1299354206</v>
      </c>
      <c r="T347">
        <v>30605.699699600777</v>
      </c>
    </row>
    <row r="348" spans="13:20">
      <c r="M348">
        <v>341</v>
      </c>
      <c r="N348">
        <v>98156.557072433556</v>
      </c>
      <c r="O348">
        <v>11169.646750237102</v>
      </c>
      <c r="P348">
        <v>11705.812656328317</v>
      </c>
      <c r="Q348">
        <v>7209.3536293847583</v>
      </c>
      <c r="R348">
        <v>22846.215512242819</v>
      </c>
      <c r="S348">
        <v>14836.380744954964</v>
      </c>
      <c r="T348">
        <v>29556.206742920749</v>
      </c>
    </row>
    <row r="349" spans="13:20">
      <c r="M349">
        <v>342</v>
      </c>
      <c r="N349">
        <v>98541.503602631812</v>
      </c>
      <c r="O349">
        <v>11331.729061626535</v>
      </c>
      <c r="P349">
        <v>12445.074284321523</v>
      </c>
      <c r="Q349">
        <v>7715.7946275963395</v>
      </c>
      <c r="R349">
        <v>21164.667287476408</v>
      </c>
      <c r="S349">
        <v>15053.764645929485</v>
      </c>
      <c r="T349">
        <v>29671.203540370632</v>
      </c>
    </row>
    <row r="350" spans="13:20">
      <c r="M350">
        <v>343</v>
      </c>
      <c r="N350">
        <v>100602.49452273815</v>
      </c>
      <c r="O350">
        <v>10832.490807497417</v>
      </c>
      <c r="P350">
        <v>13946.152456666212</v>
      </c>
      <c r="Q350">
        <v>7257.4614896164057</v>
      </c>
      <c r="R350">
        <v>21127.837561200955</v>
      </c>
      <c r="S350">
        <v>15991.677512545968</v>
      </c>
      <c r="T350">
        <v>30330.874102221751</v>
      </c>
    </row>
    <row r="351" spans="13:20">
      <c r="M351">
        <v>344</v>
      </c>
      <c r="N351">
        <v>102263.46370215471</v>
      </c>
      <c r="O351">
        <v>11188.041722841885</v>
      </c>
      <c r="P351">
        <v>13634.840123582626</v>
      </c>
      <c r="Q351">
        <v>8277.9551460886178</v>
      </c>
      <c r="R351">
        <v>22633.709043637155</v>
      </c>
      <c r="S351">
        <v>15445.798673177334</v>
      </c>
      <c r="T351">
        <v>29870.067371952628</v>
      </c>
    </row>
    <row r="352" spans="13:20">
      <c r="M352">
        <v>345</v>
      </c>
      <c r="N352">
        <v>103808.66182947114</v>
      </c>
      <c r="O352">
        <v>11477.873783126748</v>
      </c>
      <c r="P352">
        <v>11481.171951987373</v>
      </c>
      <c r="Q352">
        <v>8022.7389213815823</v>
      </c>
      <c r="R352">
        <v>25165.613554103718</v>
      </c>
      <c r="S352">
        <v>16854.48266405625</v>
      </c>
      <c r="T352">
        <v>29904.957807168372</v>
      </c>
    </row>
    <row r="353" spans="13:20">
      <c r="M353">
        <v>346</v>
      </c>
      <c r="N353">
        <v>98954.91862028325</v>
      </c>
      <c r="O353">
        <v>11309.127729818638</v>
      </c>
      <c r="P353">
        <v>12345.950204537996</v>
      </c>
      <c r="Q353">
        <v>7273.9588647309565</v>
      </c>
      <c r="R353">
        <v>22185.692602331561</v>
      </c>
      <c r="S353">
        <v>15278.867439246673</v>
      </c>
      <c r="T353">
        <v>29796.277659644828</v>
      </c>
    </row>
    <row r="354" spans="13:20">
      <c r="M354">
        <v>347</v>
      </c>
      <c r="N354">
        <v>100497.21555335728</v>
      </c>
      <c r="O354">
        <v>10913.018634269905</v>
      </c>
      <c r="P354">
        <v>12411.85384376006</v>
      </c>
      <c r="Q354">
        <v>7352.6008699184285</v>
      </c>
      <c r="R354">
        <v>23283.799457516172</v>
      </c>
      <c r="S354">
        <v>16026.889237946143</v>
      </c>
      <c r="T354">
        <v>29602.817456060198</v>
      </c>
    </row>
    <row r="355" spans="13:20">
      <c r="M355">
        <v>348</v>
      </c>
      <c r="N355">
        <v>97130.401357857161</v>
      </c>
      <c r="O355">
        <v>11101.395537479932</v>
      </c>
      <c r="P355">
        <v>12031.886615110241</v>
      </c>
      <c r="Q355">
        <v>7287.3754392205583</v>
      </c>
      <c r="R355">
        <v>21086.146188978266</v>
      </c>
      <c r="S355">
        <v>16022.610732338651</v>
      </c>
      <c r="T355">
        <v>28776.814913787217</v>
      </c>
    </row>
    <row r="356" spans="13:20">
      <c r="M356">
        <v>349</v>
      </c>
      <c r="N356">
        <v>99979.752376949196</v>
      </c>
      <c r="O356">
        <v>10806.435547811448</v>
      </c>
      <c r="P356">
        <v>12839.532980320753</v>
      </c>
      <c r="Q356">
        <v>7834.4032153753233</v>
      </c>
      <c r="R356">
        <v>22441.616596164971</v>
      </c>
      <c r="S356">
        <v>15751.949046108557</v>
      </c>
      <c r="T356">
        <v>29550.50555574564</v>
      </c>
    </row>
    <row r="357" spans="13:20">
      <c r="M357">
        <v>350</v>
      </c>
      <c r="N357">
        <v>101250.48066599469</v>
      </c>
      <c r="O357">
        <v>11004.361037803536</v>
      </c>
      <c r="P357">
        <v>12802.52071409969</v>
      </c>
      <c r="Q357">
        <v>8130.7894779335802</v>
      </c>
      <c r="R357">
        <v>22361.879702062812</v>
      </c>
      <c r="S357">
        <v>15688.702905164351</v>
      </c>
      <c r="T357">
        <v>30137.653275789256</v>
      </c>
    </row>
    <row r="358" spans="13:20">
      <c r="M358">
        <v>351</v>
      </c>
      <c r="N358">
        <v>98860.984131776233</v>
      </c>
      <c r="O358">
        <v>11252.948124825043</v>
      </c>
      <c r="P358">
        <v>12352.045016396693</v>
      </c>
      <c r="Q358">
        <v>7926.7284336347839</v>
      </c>
      <c r="R358">
        <v>21056.839083136609</v>
      </c>
      <c r="S358">
        <v>15069.533105683286</v>
      </c>
      <c r="T358">
        <v>30350.770841988229</v>
      </c>
    </row>
    <row r="359" spans="13:20">
      <c r="M359">
        <v>352</v>
      </c>
      <c r="N359">
        <v>99232.272144201372</v>
      </c>
      <c r="O359">
        <v>11248.2631635299</v>
      </c>
      <c r="P359">
        <v>12213.862073901355</v>
      </c>
      <c r="Q359">
        <v>8513.686139764086</v>
      </c>
      <c r="R359">
        <v>21234.811275913016</v>
      </c>
      <c r="S359">
        <v>14868.411048368747</v>
      </c>
      <c r="T359">
        <v>30082.71870548575</v>
      </c>
    </row>
    <row r="360" spans="13:20">
      <c r="M360">
        <v>353</v>
      </c>
      <c r="N360">
        <v>96820.402459389181</v>
      </c>
      <c r="O360">
        <v>10779.960578531289</v>
      </c>
      <c r="P360">
        <v>12061.232273116448</v>
      </c>
      <c r="Q360">
        <v>7814.4377063111151</v>
      </c>
      <c r="R360">
        <v>20928.504102375038</v>
      </c>
      <c r="S360">
        <v>14476.983239295754</v>
      </c>
      <c r="T360">
        <v>29796.692958485248</v>
      </c>
    </row>
    <row r="361" spans="13:20">
      <c r="M361">
        <v>354</v>
      </c>
      <c r="N361">
        <v>99785.308398347057</v>
      </c>
      <c r="O361">
        <v>11449.238774095538</v>
      </c>
      <c r="P361">
        <v>11836.179571308989</v>
      </c>
      <c r="Q361">
        <v>7489.2508519089088</v>
      </c>
      <c r="R361">
        <v>21856.234441133256</v>
      </c>
      <c r="S361">
        <v>15998.037462355183</v>
      </c>
      <c r="T361">
        <v>30179.984862436639</v>
      </c>
    </row>
    <row r="362" spans="13:20">
      <c r="M362">
        <v>355</v>
      </c>
      <c r="N362">
        <v>100985.08257436499</v>
      </c>
      <c r="O362">
        <v>10899.762618694689</v>
      </c>
      <c r="P362">
        <v>12258.973219669606</v>
      </c>
      <c r="Q362">
        <v>7878.9908815279841</v>
      </c>
      <c r="R362">
        <v>23521.174988962743</v>
      </c>
      <c r="S362">
        <v>15626.938673318298</v>
      </c>
      <c r="T362">
        <v>29786.808477878283</v>
      </c>
    </row>
    <row r="363" spans="13:20">
      <c r="M363">
        <v>356</v>
      </c>
      <c r="N363">
        <v>102342.51834790256</v>
      </c>
      <c r="O363">
        <v>10940.007339829745</v>
      </c>
      <c r="P363">
        <v>13332.504857764941</v>
      </c>
      <c r="Q363">
        <v>8012.3135934689708</v>
      </c>
      <c r="R363">
        <v>23039.947135047518</v>
      </c>
      <c r="S363">
        <v>15351.354167163445</v>
      </c>
      <c r="T363">
        <v>30765.316468067667</v>
      </c>
    </row>
    <row r="364" spans="13:20">
      <c r="M364">
        <v>357</v>
      </c>
      <c r="N364">
        <v>96318.91850255063</v>
      </c>
      <c r="O364">
        <v>11296.799605387292</v>
      </c>
      <c r="P364">
        <v>11864.377411151119</v>
      </c>
      <c r="Q364">
        <v>7280.7798281998012</v>
      </c>
      <c r="R364">
        <v>20874.695954096751</v>
      </c>
      <c r="S364">
        <v>15001.546081071596</v>
      </c>
      <c r="T364">
        <v>28838.855280565982</v>
      </c>
    </row>
    <row r="365" spans="13:20">
      <c r="M365">
        <v>358</v>
      </c>
      <c r="N365">
        <v>98646.346799506719</v>
      </c>
      <c r="O365">
        <v>11105.355712394474</v>
      </c>
      <c r="P365">
        <v>11906.331882744187</v>
      </c>
      <c r="Q365">
        <v>7620.171018228235</v>
      </c>
      <c r="R365">
        <v>22005.867164321153</v>
      </c>
      <c r="S365">
        <v>15737.353201370985</v>
      </c>
      <c r="T365">
        <v>29181.4057277916</v>
      </c>
    </row>
    <row r="366" spans="13:20">
      <c r="M366">
        <v>359</v>
      </c>
      <c r="N366">
        <v>99904.675984201109</v>
      </c>
      <c r="O366">
        <v>10951.079195413233</v>
      </c>
      <c r="P366">
        <v>12098.833801897013</v>
      </c>
      <c r="Q366">
        <v>7527.3402210925979</v>
      </c>
      <c r="R366">
        <v>22798.850239487638</v>
      </c>
      <c r="S366">
        <v>15133.108472977365</v>
      </c>
      <c r="T366">
        <v>30164.487958098136</v>
      </c>
    </row>
    <row r="367" spans="13:20">
      <c r="M367">
        <v>360</v>
      </c>
      <c r="N367">
        <v>97925.140075682575</v>
      </c>
      <c r="O367">
        <v>10568.833874761916</v>
      </c>
      <c r="P367">
        <v>12535.010225626367</v>
      </c>
      <c r="Q367">
        <v>7019.2568759622018</v>
      </c>
      <c r="R367">
        <v>21309.151312675011</v>
      </c>
      <c r="S367">
        <v>16040.434456329309</v>
      </c>
      <c r="T367">
        <v>29476.521487496004</v>
      </c>
    </row>
    <row r="368" spans="13:20">
      <c r="M368">
        <v>361</v>
      </c>
      <c r="N368">
        <v>99469.839711636698</v>
      </c>
      <c r="O368">
        <v>11633.961571878826</v>
      </c>
      <c r="P368">
        <v>13514.146592744253</v>
      </c>
      <c r="Q368">
        <v>7242.4114997967208</v>
      </c>
      <c r="R368">
        <v>22031.654409475639</v>
      </c>
      <c r="S368">
        <v>15310.197325647398</v>
      </c>
      <c r="T368">
        <v>28516.976214289483</v>
      </c>
    </row>
    <row r="369" spans="13:20">
      <c r="M369">
        <v>362</v>
      </c>
      <c r="N369">
        <v>98850.203007056713</v>
      </c>
      <c r="O369">
        <v>11248.801113175527</v>
      </c>
      <c r="P369">
        <v>11007.898688399542</v>
      </c>
      <c r="Q369">
        <v>7044.695644163744</v>
      </c>
      <c r="R369">
        <v>22784.48998172249</v>
      </c>
      <c r="S369">
        <v>15682.162055397695</v>
      </c>
      <c r="T369">
        <v>29927.093387715857</v>
      </c>
    </row>
    <row r="370" spans="13:20">
      <c r="M370">
        <v>363</v>
      </c>
      <c r="N370">
        <v>98544.270182302818</v>
      </c>
      <c r="O370">
        <v>10935.778101706494</v>
      </c>
      <c r="P370">
        <v>12317.109458553512</v>
      </c>
      <c r="Q370">
        <v>7835.8920979086224</v>
      </c>
      <c r="R370">
        <v>22275.932156059032</v>
      </c>
      <c r="S370">
        <v>15043.100695414618</v>
      </c>
      <c r="T370">
        <v>29324.167782361426</v>
      </c>
    </row>
    <row r="371" spans="13:20">
      <c r="M371">
        <v>364</v>
      </c>
      <c r="N371">
        <v>99435.745792151123</v>
      </c>
      <c r="O371">
        <v>10814.26181473223</v>
      </c>
      <c r="P371">
        <v>11163.447772650103</v>
      </c>
      <c r="Q371">
        <v>7501.5680039925564</v>
      </c>
      <c r="R371">
        <v>23698.139832517718</v>
      </c>
      <c r="S371">
        <v>15920.199373787716</v>
      </c>
      <c r="T371">
        <v>29274.673391248743</v>
      </c>
    </row>
    <row r="372" spans="13:20">
      <c r="M372">
        <v>365</v>
      </c>
      <c r="N372">
        <v>100442.47943432248</v>
      </c>
      <c r="O372">
        <v>11464.785500991784</v>
      </c>
      <c r="P372">
        <v>13076.696715835784</v>
      </c>
      <c r="Q372">
        <v>7191.962671420928</v>
      </c>
      <c r="R372">
        <v>22126.660955669337</v>
      </c>
      <c r="S372">
        <v>15880.745747928013</v>
      </c>
      <c r="T372">
        <v>29743.409475905471</v>
      </c>
    </row>
    <row r="373" spans="13:20">
      <c r="M373">
        <v>366</v>
      </c>
      <c r="N373">
        <v>98642.527934795929</v>
      </c>
      <c r="O373">
        <v>10844.254632151273</v>
      </c>
      <c r="P373">
        <v>12869.813649317404</v>
      </c>
      <c r="Q373">
        <v>7602.5830817826281</v>
      </c>
      <c r="R373">
        <v>21106.874678367465</v>
      </c>
      <c r="S373">
        <v>15744.889275503487</v>
      </c>
      <c r="T373">
        <v>29573.06093592196</v>
      </c>
    </row>
    <row r="374" spans="13:20">
      <c r="M374">
        <v>367</v>
      </c>
      <c r="N374">
        <v>101527.4614418881</v>
      </c>
      <c r="O374">
        <v>11008.420380408232</v>
      </c>
      <c r="P374">
        <v>13249.638218567521</v>
      </c>
      <c r="Q374">
        <v>7664.3491974308372</v>
      </c>
      <c r="R374">
        <v>22848.263483620722</v>
      </c>
      <c r="S374">
        <v>15771.196904542176</v>
      </c>
      <c r="T374">
        <v>30088.937329683471</v>
      </c>
    </row>
    <row r="375" spans="13:20">
      <c r="M375">
        <v>368</v>
      </c>
      <c r="N375">
        <v>99978.069749872258</v>
      </c>
      <c r="O375">
        <v>10998.091855357656</v>
      </c>
      <c r="P375">
        <v>11926.933708793731</v>
      </c>
      <c r="Q375">
        <v>8449.8117156344197</v>
      </c>
      <c r="R375">
        <v>20887.40335908228</v>
      </c>
      <c r="S375">
        <v>16351.557774498822</v>
      </c>
      <c r="T375">
        <v>30194.983422677837</v>
      </c>
    </row>
    <row r="376" spans="13:20">
      <c r="M376">
        <v>369</v>
      </c>
      <c r="N376">
        <v>99878.544621340348</v>
      </c>
      <c r="O376">
        <v>11199.996565138073</v>
      </c>
      <c r="P376">
        <v>11870.538917365528</v>
      </c>
      <c r="Q376">
        <v>7586.3811550758801</v>
      </c>
      <c r="R376">
        <v>23499.221819987866</v>
      </c>
      <c r="S376">
        <v>15764.865043172138</v>
      </c>
      <c r="T376">
        <v>29111.17272159097</v>
      </c>
    </row>
    <row r="377" spans="13:20">
      <c r="M377">
        <v>370</v>
      </c>
      <c r="N377">
        <v>98859.625537920525</v>
      </c>
      <c r="O377">
        <v>11177.319974091537</v>
      </c>
      <c r="P377">
        <v>11613.446793860574</v>
      </c>
      <c r="Q377">
        <v>7704.2831990290533</v>
      </c>
      <c r="R377">
        <v>22120.007421256829</v>
      </c>
      <c r="S377">
        <v>15356.676435738224</v>
      </c>
      <c r="T377">
        <v>29742.301386501545</v>
      </c>
    </row>
    <row r="378" spans="13:20">
      <c r="M378">
        <v>371</v>
      </c>
      <c r="N378">
        <v>98505.138422736505</v>
      </c>
      <c r="O378">
        <v>11292.993831055834</v>
      </c>
      <c r="P378">
        <v>12765.445097283769</v>
      </c>
      <c r="Q378">
        <v>7653.9307113796704</v>
      </c>
      <c r="R378">
        <v>21124.411033337565</v>
      </c>
      <c r="S378">
        <v>15436.687336580584</v>
      </c>
      <c r="T378">
        <v>29313.583562867268</v>
      </c>
    </row>
    <row r="379" spans="13:20">
      <c r="M379">
        <v>372</v>
      </c>
      <c r="N379">
        <v>97618.965069389073</v>
      </c>
      <c r="O379">
        <v>10782.541817039903</v>
      </c>
      <c r="P379">
        <v>11243.960018935079</v>
      </c>
      <c r="Q379">
        <v>7576.0397961854787</v>
      </c>
      <c r="R379">
        <v>20977.334049125289</v>
      </c>
      <c r="S379">
        <v>15797.623740287505</v>
      </c>
      <c r="T379">
        <v>30110.88904321408</v>
      </c>
    </row>
    <row r="380" spans="13:20">
      <c r="M380">
        <v>373</v>
      </c>
      <c r="N380">
        <v>99341.068008212213</v>
      </c>
      <c r="O380">
        <v>10861.517200423725</v>
      </c>
      <c r="P380">
        <v>11478.067070753212</v>
      </c>
      <c r="Q380">
        <v>8244.6283124676847</v>
      </c>
      <c r="R380">
        <v>22618.788028506959</v>
      </c>
      <c r="S380">
        <v>16073.04313805096</v>
      </c>
      <c r="T380">
        <v>29080.038709484968</v>
      </c>
    </row>
    <row r="381" spans="13:20">
      <c r="M381">
        <v>374</v>
      </c>
      <c r="N381">
        <v>97159.975704395678</v>
      </c>
      <c r="O381">
        <v>11009.359798662677</v>
      </c>
      <c r="P381">
        <v>11981.08988654986</v>
      </c>
      <c r="Q381">
        <v>7750.457565301439</v>
      </c>
      <c r="R381">
        <v>20663.107535701769</v>
      </c>
      <c r="S381">
        <v>15633.438015890453</v>
      </c>
      <c r="T381">
        <v>29279.41922351886</v>
      </c>
    </row>
    <row r="382" spans="13:20">
      <c r="M382">
        <v>375</v>
      </c>
      <c r="N382">
        <v>100188.76868180522</v>
      </c>
      <c r="O382">
        <v>11022.249897472364</v>
      </c>
      <c r="P382">
        <v>12884.756576255839</v>
      </c>
      <c r="Q382">
        <v>7874.8092323923356</v>
      </c>
      <c r="R382">
        <v>21549.200068160961</v>
      </c>
      <c r="S382">
        <v>15911.312835085339</v>
      </c>
      <c r="T382">
        <v>30084.789707266482</v>
      </c>
    </row>
    <row r="383" spans="13:20">
      <c r="M383">
        <v>376</v>
      </c>
      <c r="N383">
        <v>99793.022780337051</v>
      </c>
      <c r="O383">
        <v>11085.16872907479</v>
      </c>
      <c r="P383">
        <v>12370.604283638046</v>
      </c>
      <c r="Q383">
        <v>7609.1874783592784</v>
      </c>
      <c r="R383">
        <v>21920.475315774434</v>
      </c>
      <c r="S383">
        <v>15709.513475015741</v>
      </c>
      <c r="T383">
        <v>29882.761705233159</v>
      </c>
    </row>
    <row r="384" spans="13:20">
      <c r="M384">
        <v>377</v>
      </c>
      <c r="N384">
        <v>99481.077359410396</v>
      </c>
      <c r="O384">
        <v>11183.81467276128</v>
      </c>
      <c r="P384">
        <v>12074.268734620508</v>
      </c>
      <c r="Q384">
        <v>8249.1111738009567</v>
      </c>
      <c r="R384">
        <v>22559.741615698145</v>
      </c>
      <c r="S384">
        <v>15344.663125646375</v>
      </c>
      <c r="T384">
        <v>28838.920564542139</v>
      </c>
    </row>
    <row r="385" spans="13:20">
      <c r="M385">
        <v>378</v>
      </c>
      <c r="N385">
        <v>99596.794942975321</v>
      </c>
      <c r="O385">
        <v>10876.099617722612</v>
      </c>
      <c r="P385">
        <v>13392.961257558203</v>
      </c>
      <c r="Q385">
        <v>7234.3366978518634</v>
      </c>
      <c r="R385">
        <v>20527.866710815382</v>
      </c>
      <c r="S385">
        <v>16215.26481821663</v>
      </c>
      <c r="T385">
        <v>30092.235391405815</v>
      </c>
    </row>
    <row r="386" spans="13:20">
      <c r="M386">
        <v>379</v>
      </c>
      <c r="N386">
        <v>101425.27436873417</v>
      </c>
      <c r="O386">
        <v>11392.788700055589</v>
      </c>
      <c r="P386">
        <v>11882.700693891658</v>
      </c>
      <c r="Q386">
        <v>8250.0962003854802</v>
      </c>
      <c r="R386">
        <v>23044.5109380502</v>
      </c>
      <c r="S386">
        <v>16374.766116615108</v>
      </c>
      <c r="T386">
        <v>29675.860235468048</v>
      </c>
    </row>
    <row r="387" spans="13:20">
      <c r="M387">
        <v>380</v>
      </c>
      <c r="N387">
        <v>97657.430195677414</v>
      </c>
      <c r="O387">
        <v>10827.244359210828</v>
      </c>
      <c r="P387">
        <v>12807.605149202398</v>
      </c>
      <c r="Q387">
        <v>6770.3858817213923</v>
      </c>
      <c r="R387">
        <v>21821.500480247072</v>
      </c>
      <c r="S387">
        <v>15253.714075437689</v>
      </c>
      <c r="T387">
        <v>29170.60158040229</v>
      </c>
    </row>
    <row r="388" spans="13:20">
      <c r="M388">
        <v>381</v>
      </c>
      <c r="N388">
        <v>100746.65936706802</v>
      </c>
      <c r="O388">
        <v>11594.977411883394</v>
      </c>
      <c r="P388">
        <v>14013.231646750335</v>
      </c>
      <c r="Q388">
        <v>7112.3730580420497</v>
      </c>
      <c r="R388">
        <v>22689.130919161325</v>
      </c>
      <c r="S388">
        <v>15820.785582904791</v>
      </c>
      <c r="T388">
        <v>28325.487310717173</v>
      </c>
    </row>
    <row r="389" spans="13:20">
      <c r="M389">
        <v>382</v>
      </c>
      <c r="N389">
        <v>102106.87448765118</v>
      </c>
      <c r="O389">
        <v>10922.151702406369</v>
      </c>
      <c r="P389">
        <v>12652.414859837525</v>
      </c>
      <c r="Q389">
        <v>7924.3635670109115</v>
      </c>
      <c r="R389">
        <v>24400.514603914522</v>
      </c>
      <c r="S389">
        <v>15586.696846500114</v>
      </c>
      <c r="T389">
        <v>29783.819382643644</v>
      </c>
    </row>
    <row r="390" spans="13:20">
      <c r="M390">
        <v>383</v>
      </c>
      <c r="N390">
        <v>97227.287428102936</v>
      </c>
      <c r="O390">
        <v>10924.720920537304</v>
      </c>
      <c r="P390">
        <v>12849.382413177855</v>
      </c>
      <c r="Q390">
        <v>7392.7186926996819</v>
      </c>
      <c r="R390">
        <v>20823.069729211624</v>
      </c>
      <c r="S390">
        <v>15467.285261985813</v>
      </c>
      <c r="T390">
        <v>28868.093418404933</v>
      </c>
    </row>
    <row r="391" spans="13:20">
      <c r="M391">
        <v>384</v>
      </c>
      <c r="N391">
        <v>101758.67712291714</v>
      </c>
      <c r="O391">
        <v>10961.28808466285</v>
      </c>
      <c r="P391">
        <v>12766.485908453615</v>
      </c>
      <c r="Q391">
        <v>8030.4211230915698</v>
      </c>
      <c r="R391">
        <v>22535.788518672525</v>
      </c>
      <c r="S391">
        <v>16153.008026500855</v>
      </c>
      <c r="T391">
        <v>30412.683743061865</v>
      </c>
    </row>
    <row r="392" spans="13:20">
      <c r="M392">
        <v>385</v>
      </c>
      <c r="N392">
        <v>101982.99765979052</v>
      </c>
      <c r="O392">
        <v>10817.703102254483</v>
      </c>
      <c r="P392">
        <v>14008.451668956463</v>
      </c>
      <c r="Q392">
        <v>7505.3061940343841</v>
      </c>
      <c r="R392">
        <v>22745.436252271062</v>
      </c>
      <c r="S392">
        <v>15783.241334824763</v>
      </c>
      <c r="T392">
        <v>30022.792180859509</v>
      </c>
    </row>
    <row r="393" spans="13:20">
      <c r="M393">
        <v>386</v>
      </c>
      <c r="N393">
        <v>100389.82301358275</v>
      </c>
      <c r="O393">
        <v>10969.242910997849</v>
      </c>
      <c r="P393">
        <v>13864.14870283468</v>
      </c>
      <c r="Q393">
        <v>7381.4231839371105</v>
      </c>
      <c r="R393">
        <v>21383.617779639739</v>
      </c>
      <c r="S393">
        <v>15965.478366874011</v>
      </c>
      <c r="T393">
        <v>29953.651469057269</v>
      </c>
    </row>
    <row r="394" spans="13:20">
      <c r="M394">
        <v>387</v>
      </c>
      <c r="N394">
        <v>101276.87913053799</v>
      </c>
      <c r="O394">
        <v>11209.351664420317</v>
      </c>
      <c r="P394">
        <v>12576.556744419577</v>
      </c>
      <c r="Q394">
        <v>7198.0980969161201</v>
      </c>
      <c r="R394">
        <v>23722.145809876962</v>
      </c>
      <c r="S394">
        <v>15780.379823546005</v>
      </c>
      <c r="T394">
        <v>29779.862236636509</v>
      </c>
    </row>
    <row r="395" spans="13:20">
      <c r="M395">
        <v>388</v>
      </c>
      <c r="N395">
        <v>99031.915292901729</v>
      </c>
      <c r="O395">
        <v>11201.242785268736</v>
      </c>
      <c r="P395">
        <v>12087.126688225453</v>
      </c>
      <c r="Q395">
        <v>6851.316263250902</v>
      </c>
      <c r="R395">
        <v>22465.96347649748</v>
      </c>
      <c r="S395">
        <v>15511.21573461518</v>
      </c>
      <c r="T395">
        <v>30001.726379882854</v>
      </c>
    </row>
    <row r="396" spans="13:20">
      <c r="M396">
        <v>389</v>
      </c>
      <c r="N396">
        <v>96807.784031492061</v>
      </c>
      <c r="O396">
        <v>11551.305968520566</v>
      </c>
      <c r="P396">
        <v>11946.296445444999</v>
      </c>
      <c r="Q396">
        <v>7060.6383750618616</v>
      </c>
      <c r="R396">
        <v>20659.149156915973</v>
      </c>
      <c r="S396">
        <v>14832.602098464242</v>
      </c>
      <c r="T396">
        <v>29733.029867676349</v>
      </c>
    </row>
    <row r="397" spans="13:20">
      <c r="M397">
        <v>390</v>
      </c>
      <c r="N397">
        <v>100446.62769975016</v>
      </c>
      <c r="O397">
        <v>10653.435482658426</v>
      </c>
      <c r="P397">
        <v>12683.631577723438</v>
      </c>
      <c r="Q397">
        <v>7517.6529125043235</v>
      </c>
      <c r="R397">
        <v>22616.048900630562</v>
      </c>
      <c r="S397">
        <v>15350.590315265807</v>
      </c>
      <c r="T397">
        <v>30627.705601475442</v>
      </c>
    </row>
    <row r="398" spans="13:20">
      <c r="M398">
        <v>391</v>
      </c>
      <c r="N398">
        <v>99889.010306234981</v>
      </c>
      <c r="O398">
        <v>11909.252608612998</v>
      </c>
      <c r="P398">
        <v>11805.132433358436</v>
      </c>
      <c r="Q398">
        <v>8058.417880972549</v>
      </c>
      <c r="R398">
        <v>21414.538630293817</v>
      </c>
      <c r="S398">
        <v>16088.526215480728</v>
      </c>
      <c r="T398">
        <v>29712.792272674349</v>
      </c>
    </row>
    <row r="399" spans="13:20">
      <c r="M399">
        <v>392</v>
      </c>
      <c r="N399">
        <v>98312.00418330307</v>
      </c>
      <c r="O399">
        <v>10989.747361005455</v>
      </c>
      <c r="P399">
        <v>11797.908001162314</v>
      </c>
      <c r="Q399">
        <v>7548.3300796826252</v>
      </c>
      <c r="R399">
        <v>21766.080652420442</v>
      </c>
      <c r="S399">
        <v>15690.846382447051</v>
      </c>
      <c r="T399">
        <v>29426.133994807122</v>
      </c>
    </row>
    <row r="400" spans="13:20">
      <c r="M400">
        <v>393</v>
      </c>
      <c r="N400">
        <v>98460.67540388112</v>
      </c>
      <c r="O400">
        <v>11631.515536255522</v>
      </c>
      <c r="P400">
        <v>12463.605013397053</v>
      </c>
      <c r="Q400">
        <v>7865.2417286286664</v>
      </c>
      <c r="R400">
        <v>20866.441053559822</v>
      </c>
      <c r="S400">
        <v>15349.749247473148</v>
      </c>
      <c r="T400">
        <v>29241.870079000895</v>
      </c>
    </row>
    <row r="401" spans="13:20">
      <c r="M401">
        <v>394</v>
      </c>
      <c r="N401">
        <v>100660.15189396388</v>
      </c>
      <c r="O401">
        <v>11419.390267322842</v>
      </c>
      <c r="P401">
        <v>12122.9004997827</v>
      </c>
      <c r="Q401">
        <v>7620.8632475757158</v>
      </c>
      <c r="R401">
        <v>22438.47167260489</v>
      </c>
      <c r="S401">
        <v>15445.491151288275</v>
      </c>
      <c r="T401">
        <v>30700.075988030047</v>
      </c>
    </row>
    <row r="402" spans="13:20">
      <c r="M402">
        <v>395</v>
      </c>
      <c r="N402">
        <v>99584.15963049831</v>
      </c>
      <c r="O402">
        <v>10826.582129679213</v>
      </c>
      <c r="P402">
        <v>12755.020904919977</v>
      </c>
      <c r="Q402">
        <v>7419.137715044214</v>
      </c>
      <c r="R402">
        <v>22593.080462968046</v>
      </c>
      <c r="S402">
        <v>15488.152521337437</v>
      </c>
      <c r="T402">
        <v>29392.871319294227</v>
      </c>
    </row>
    <row r="403" spans="13:20">
      <c r="M403">
        <v>396</v>
      </c>
      <c r="N403">
        <v>100003.99062506408</v>
      </c>
      <c r="O403">
        <v>10786.535674911171</v>
      </c>
      <c r="P403">
        <v>12002.845675031494</v>
      </c>
      <c r="Q403">
        <v>7740.696313758699</v>
      </c>
      <c r="R403">
        <v>22748.575852218961</v>
      </c>
      <c r="S403">
        <v>15707.768607427615</v>
      </c>
      <c r="T403">
        <v>29933.858882736782</v>
      </c>
    </row>
    <row r="404" spans="13:20">
      <c r="M404">
        <v>397</v>
      </c>
      <c r="N404">
        <v>97611.378310901826</v>
      </c>
      <c r="O404">
        <v>11114.231732645203</v>
      </c>
      <c r="P404">
        <v>12004.52734321633</v>
      </c>
      <c r="Q404">
        <v>7439.8037913532935</v>
      </c>
      <c r="R404">
        <v>21682.718511630574</v>
      </c>
      <c r="S404">
        <v>15231.442177033972</v>
      </c>
      <c r="T404">
        <v>29319.812178536871</v>
      </c>
    </row>
    <row r="405" spans="13:20">
      <c r="M405">
        <v>398</v>
      </c>
      <c r="N405">
        <v>98805.773935331672</v>
      </c>
      <c r="O405">
        <v>10763.355517535394</v>
      </c>
      <c r="P405">
        <v>12829.997611668066</v>
      </c>
      <c r="Q405">
        <v>7843.9170675031273</v>
      </c>
      <c r="R405">
        <v>20987.125876638922</v>
      </c>
      <c r="S405">
        <v>15959.802680095669</v>
      </c>
      <c r="T405">
        <v>29603.336530109642</v>
      </c>
    </row>
    <row r="406" spans="13:20">
      <c r="M406">
        <v>399</v>
      </c>
      <c r="N406">
        <v>99174.419485755832</v>
      </c>
      <c r="O406">
        <v>10741.755539768097</v>
      </c>
      <c r="P406">
        <v>12867.195060234675</v>
      </c>
      <c r="Q406">
        <v>7083.4673666029003</v>
      </c>
      <c r="R406">
        <v>21178.670418260346</v>
      </c>
      <c r="S406">
        <v>15939.240706292301</v>
      </c>
      <c r="T406">
        <v>30258.41519926384</v>
      </c>
    </row>
    <row r="407" spans="13:20">
      <c r="M407">
        <v>400</v>
      </c>
      <c r="N407">
        <v>101485.5348145004</v>
      </c>
      <c r="O407">
        <v>10968.322346043155</v>
      </c>
      <c r="P407">
        <v>12075.446502149913</v>
      </c>
      <c r="Q407">
        <v>7564.1552589207731</v>
      </c>
      <c r="R407">
        <v>23630.379072923773</v>
      </c>
      <c r="S407">
        <v>15741.002152297287</v>
      </c>
      <c r="T407">
        <v>30422.851310327569</v>
      </c>
    </row>
    <row r="408" spans="13:20">
      <c r="M408">
        <v>401</v>
      </c>
      <c r="N408">
        <v>100119.75504111371</v>
      </c>
      <c r="O408">
        <v>11117.718960945294</v>
      </c>
      <c r="P408">
        <v>13937.25779564832</v>
      </c>
      <c r="Q408">
        <v>7119.9357212799059</v>
      </c>
      <c r="R408">
        <v>22826.81948458921</v>
      </c>
      <c r="S408">
        <v>15234.66367481317</v>
      </c>
      <c r="T408">
        <v>28859.245405069621</v>
      </c>
    </row>
    <row r="409" spans="13:20">
      <c r="M409">
        <v>402</v>
      </c>
      <c r="N409">
        <v>99932.269767784222</v>
      </c>
      <c r="O409">
        <v>11015.934628765623</v>
      </c>
      <c r="P409">
        <v>11244.959432767208</v>
      </c>
      <c r="Q409">
        <v>8394.3898436547206</v>
      </c>
      <c r="R409">
        <v>22340.501733207748</v>
      </c>
      <c r="S409">
        <v>15847.335775640178</v>
      </c>
      <c r="T409">
        <v>29989.960407273415</v>
      </c>
    </row>
    <row r="410" spans="13:20">
      <c r="M410">
        <v>403</v>
      </c>
      <c r="N410">
        <v>101322.80290618076</v>
      </c>
      <c r="O410">
        <v>11759.742597500826</v>
      </c>
      <c r="P410">
        <v>12562.339091680617</v>
      </c>
      <c r="Q410">
        <v>7831.8393399574752</v>
      </c>
      <c r="R410">
        <v>22636.085234631562</v>
      </c>
      <c r="S410">
        <v>15689.144331802059</v>
      </c>
      <c r="T410">
        <v>29653.407288863236</v>
      </c>
    </row>
    <row r="411" spans="13:20">
      <c r="M411">
        <v>404</v>
      </c>
      <c r="N411">
        <v>98288.07173607513</v>
      </c>
      <c r="O411">
        <v>11313.050935798494</v>
      </c>
      <c r="P411">
        <v>11679.654586831701</v>
      </c>
      <c r="Q411">
        <v>7007.0956794292106</v>
      </c>
      <c r="R411">
        <v>21842.075177284096</v>
      </c>
      <c r="S411">
        <v>15164.561514907127</v>
      </c>
      <c r="T411">
        <v>30455.276291637383</v>
      </c>
    </row>
    <row r="412" spans="13:20">
      <c r="M412">
        <v>405</v>
      </c>
      <c r="N412">
        <v>97967.505346637699</v>
      </c>
      <c r="O412">
        <v>11449.630646629113</v>
      </c>
      <c r="P412">
        <v>12173.173431708719</v>
      </c>
      <c r="Q412">
        <v>8075.2793304377401</v>
      </c>
      <c r="R412">
        <v>21272.887968959083</v>
      </c>
      <c r="S412">
        <v>15239.190663078418</v>
      </c>
      <c r="T412">
        <v>28867.452976427743</v>
      </c>
    </row>
    <row r="413" spans="13:20">
      <c r="M413">
        <v>406</v>
      </c>
      <c r="N413">
        <v>98735.572653174517</v>
      </c>
      <c r="O413">
        <v>10461.040275902007</v>
      </c>
      <c r="P413">
        <v>12676.390601297851</v>
      </c>
      <c r="Q413">
        <v>8729.0301712006985</v>
      </c>
      <c r="R413">
        <v>20591.069085367661</v>
      </c>
      <c r="S413">
        <v>16047.627379110618</v>
      </c>
      <c r="T413">
        <v>29298.072163898003</v>
      </c>
    </row>
    <row r="414" spans="13:20">
      <c r="M414">
        <v>407</v>
      </c>
      <c r="N414">
        <v>98424.547003637796</v>
      </c>
      <c r="O414">
        <v>11211.252244124553</v>
      </c>
      <c r="P414">
        <v>11915.265208711347</v>
      </c>
      <c r="Q414">
        <v>7359.2459967230989</v>
      </c>
      <c r="R414">
        <v>22214.039317819443</v>
      </c>
      <c r="S414">
        <v>16146.282725023219</v>
      </c>
      <c r="T414">
        <v>28803.918239721148</v>
      </c>
    </row>
    <row r="415" spans="13:20">
      <c r="M415">
        <v>408</v>
      </c>
      <c r="N415">
        <v>100261.6916804449</v>
      </c>
      <c r="O415">
        <v>10919.952008598984</v>
      </c>
      <c r="P415">
        <v>12197.392743970759</v>
      </c>
      <c r="Q415">
        <v>7796.0851823919475</v>
      </c>
      <c r="R415">
        <v>23078.194026849545</v>
      </c>
      <c r="S415">
        <v>15344.60987291894</v>
      </c>
      <c r="T415">
        <v>29968.832197163003</v>
      </c>
    </row>
    <row r="416" spans="13:20">
      <c r="M416">
        <v>409</v>
      </c>
      <c r="N416">
        <v>99555.309333824378</v>
      </c>
      <c r="O416">
        <v>10729.330955856158</v>
      </c>
      <c r="P416">
        <v>11756.493637288131</v>
      </c>
      <c r="Q416">
        <v>7955.3739329525506</v>
      </c>
      <c r="R416">
        <v>22654.759110092356</v>
      </c>
      <c r="S416">
        <v>15482.142254021011</v>
      </c>
      <c r="T416">
        <v>29964.029027412573</v>
      </c>
    </row>
    <row r="417" spans="13:20">
      <c r="M417">
        <v>410</v>
      </c>
      <c r="N417">
        <v>101179.20606227596</v>
      </c>
      <c r="O417">
        <v>10768.484534068153</v>
      </c>
      <c r="P417">
        <v>13362.56971337361</v>
      </c>
      <c r="Q417">
        <v>8252.1597178812244</v>
      </c>
      <c r="R417">
        <v>22642.096534238404</v>
      </c>
      <c r="S417">
        <v>15888.205216812736</v>
      </c>
      <c r="T417">
        <v>29444.679239965244</v>
      </c>
    </row>
    <row r="418" spans="13:20">
      <c r="M418">
        <v>411</v>
      </c>
      <c r="N418">
        <v>99074.139851895205</v>
      </c>
      <c r="O418">
        <v>11422.441685192465</v>
      </c>
      <c r="P418">
        <v>11744.09790035783</v>
      </c>
      <c r="Q418">
        <v>7577.2997076679203</v>
      </c>
      <c r="R418">
        <v>22304.650409410078</v>
      </c>
      <c r="S418">
        <v>15201.820357525283</v>
      </c>
      <c r="T418">
        <v>29735.50091706427</v>
      </c>
    </row>
    <row r="419" spans="13:20">
      <c r="M419">
        <v>412</v>
      </c>
      <c r="N419">
        <v>99232.99450455718</v>
      </c>
      <c r="O419">
        <v>10795.686694261212</v>
      </c>
      <c r="P419">
        <v>12648.122458924536</v>
      </c>
      <c r="Q419">
        <v>7492.6881918506497</v>
      </c>
      <c r="R419">
        <v>21340.189277253154</v>
      </c>
      <c r="S419">
        <v>16396.85066706625</v>
      </c>
      <c r="T419">
        <v>29511.361735281534</v>
      </c>
    </row>
    <row r="420" spans="13:20">
      <c r="M420">
        <v>413</v>
      </c>
      <c r="N420">
        <v>97382.308692383507</v>
      </c>
      <c r="O420">
        <v>11266.306531929815</v>
      </c>
      <c r="P420">
        <v>11474.680497584646</v>
      </c>
      <c r="Q420">
        <v>7214.1240434043411</v>
      </c>
      <c r="R420">
        <v>21130.829818440634</v>
      </c>
      <c r="S420">
        <v>15126.640530330611</v>
      </c>
      <c r="T420">
        <v>30143.441063472965</v>
      </c>
    </row>
    <row r="421" spans="13:20">
      <c r="M421">
        <v>414</v>
      </c>
      <c r="N421">
        <v>101710.52528076922</v>
      </c>
      <c r="O421">
        <v>10885.250121531844</v>
      </c>
      <c r="P421">
        <v>12801.091887843922</v>
      </c>
      <c r="Q421">
        <v>8013.6217413697996</v>
      </c>
      <c r="R421">
        <v>22098.371856044276</v>
      </c>
      <c r="S421">
        <v>16045.017468584769</v>
      </c>
      <c r="T421">
        <v>30831.846705898493</v>
      </c>
    </row>
    <row r="422" spans="13:20">
      <c r="M422">
        <v>415</v>
      </c>
      <c r="N422">
        <v>98277.411172748791</v>
      </c>
      <c r="O422">
        <v>11318.067303686159</v>
      </c>
      <c r="P422">
        <v>11671.315341670053</v>
      </c>
      <c r="Q422">
        <v>7579.0718783560242</v>
      </c>
      <c r="R422">
        <v>21346.964318565319</v>
      </c>
      <c r="S422">
        <v>16373.369937416188</v>
      </c>
      <c r="T422">
        <v>29106.690029705307</v>
      </c>
    </row>
    <row r="423" spans="13:20">
      <c r="M423">
        <v>416</v>
      </c>
      <c r="N423">
        <v>98294.262965496193</v>
      </c>
      <c r="O423">
        <v>11079.965982707286</v>
      </c>
      <c r="P423">
        <v>12093.68412456503</v>
      </c>
      <c r="Q423">
        <v>7301.7380658555567</v>
      </c>
      <c r="R423">
        <v>21339.296971585893</v>
      </c>
      <c r="S423">
        <v>15846.303884229308</v>
      </c>
      <c r="T423">
        <v>29690.455686003865</v>
      </c>
    </row>
    <row r="424" spans="13:20">
      <c r="M424">
        <v>417</v>
      </c>
      <c r="N424">
        <v>99692.420796827879</v>
      </c>
      <c r="O424">
        <v>11046.137394298759</v>
      </c>
      <c r="P424">
        <v>12989.913776511636</v>
      </c>
      <c r="Q424">
        <v>7181.2030942494821</v>
      </c>
      <c r="R424">
        <v>22051.184875695108</v>
      </c>
      <c r="S424">
        <v>16065.114273509666</v>
      </c>
      <c r="T424">
        <v>29441.258710691272</v>
      </c>
    </row>
    <row r="425" spans="13:20">
      <c r="M425">
        <v>418</v>
      </c>
      <c r="N425">
        <v>96729.230544747144</v>
      </c>
      <c r="O425">
        <v>10947.869571722404</v>
      </c>
      <c r="P425">
        <v>11611.067050578846</v>
      </c>
      <c r="Q425">
        <v>6954.5555532913877</v>
      </c>
      <c r="R425">
        <v>20951.441279821542</v>
      </c>
      <c r="S425">
        <v>15801.775292719143</v>
      </c>
      <c r="T425">
        <v>29369.819223580791</v>
      </c>
    </row>
    <row r="426" spans="13:20">
      <c r="M426">
        <v>419</v>
      </c>
      <c r="N426">
        <v>99023.349614099629</v>
      </c>
      <c r="O426">
        <v>11311.467123287783</v>
      </c>
      <c r="P426">
        <v>11578.672323402463</v>
      </c>
      <c r="Q426">
        <v>7881.952947284738</v>
      </c>
      <c r="R426">
        <v>21525.870297505899</v>
      </c>
      <c r="S426">
        <v>15480.601985059944</v>
      </c>
      <c r="T426">
        <v>30135.300059842004</v>
      </c>
    </row>
    <row r="427" spans="13:20">
      <c r="M427">
        <v>420</v>
      </c>
      <c r="N427">
        <v>100774.74669911622</v>
      </c>
      <c r="O427">
        <v>11048.26945956451</v>
      </c>
      <c r="P427">
        <v>13393.484255169478</v>
      </c>
      <c r="Q427">
        <v>7451.5323122458658</v>
      </c>
      <c r="R427">
        <v>22480.762594680869</v>
      </c>
      <c r="S427">
        <v>15839.977134441828</v>
      </c>
      <c r="T427">
        <v>29650.285456318321</v>
      </c>
    </row>
    <row r="428" spans="13:20">
      <c r="M428">
        <v>421</v>
      </c>
      <c r="N428">
        <v>99924.234000300654</v>
      </c>
      <c r="O428">
        <v>11024.226552624226</v>
      </c>
      <c r="P428">
        <v>13035.062035313169</v>
      </c>
      <c r="Q428">
        <v>7445.455697886634</v>
      </c>
      <c r="R428">
        <v>22259.974922411566</v>
      </c>
      <c r="S428">
        <v>15732.067998388991</v>
      </c>
      <c r="T428">
        <v>29533.960408942898</v>
      </c>
    </row>
    <row r="429" spans="13:20">
      <c r="M429">
        <v>422</v>
      </c>
      <c r="N429">
        <v>99849.428730684987</v>
      </c>
      <c r="O429">
        <v>11137.779977849812</v>
      </c>
      <c r="P429">
        <v>12430.566517723708</v>
      </c>
      <c r="Q429">
        <v>7871.4096884073688</v>
      </c>
      <c r="R429">
        <v>21100.565908880872</v>
      </c>
      <c r="S429">
        <v>16471.587291132659</v>
      </c>
      <c r="T429">
        <v>29916.97562961013</v>
      </c>
    </row>
    <row r="430" spans="13:20">
      <c r="M430">
        <v>423</v>
      </c>
      <c r="N430">
        <v>99027.826984492393</v>
      </c>
      <c r="O430">
        <v>11802.19670130548</v>
      </c>
      <c r="P430">
        <v>12511.007614854234</v>
      </c>
      <c r="Q430">
        <v>8185.3368622091721</v>
      </c>
      <c r="R430">
        <v>21221.573976536572</v>
      </c>
      <c r="S430">
        <v>15406.604163616059</v>
      </c>
      <c r="T430">
        <v>29029.689846550722</v>
      </c>
    </row>
    <row r="431" spans="13:20">
      <c r="M431">
        <v>424</v>
      </c>
      <c r="N431">
        <v>101999.98348478244</v>
      </c>
      <c r="O431">
        <v>11486.339833476064</v>
      </c>
      <c r="P431">
        <v>13245.674978965075</v>
      </c>
      <c r="Q431">
        <v>7342.6033479379985</v>
      </c>
      <c r="R431">
        <v>23477.600979082574</v>
      </c>
      <c r="S431">
        <v>15142.075413788603</v>
      </c>
      <c r="T431">
        <v>30381.845230701667</v>
      </c>
    </row>
    <row r="432" spans="13:20">
      <c r="M432">
        <v>425</v>
      </c>
      <c r="N432">
        <v>100095.26436504579</v>
      </c>
      <c r="O432">
        <v>11069.641055612668</v>
      </c>
      <c r="P432">
        <v>11916.232279549587</v>
      </c>
      <c r="Q432">
        <v>7193.0610905456397</v>
      </c>
      <c r="R432">
        <v>22666.023003947856</v>
      </c>
      <c r="S432">
        <v>16898.448660433307</v>
      </c>
      <c r="T432">
        <v>29342.347329877262</v>
      </c>
    </row>
    <row r="433" spans="13:20">
      <c r="M433">
        <v>426</v>
      </c>
      <c r="N433">
        <v>99522.007437050546</v>
      </c>
      <c r="O433">
        <v>11089.45025709829</v>
      </c>
      <c r="P433">
        <v>13025.513322248491</v>
      </c>
      <c r="Q433">
        <v>7466.6824247368704</v>
      </c>
      <c r="R433">
        <v>22349.950257081331</v>
      </c>
      <c r="S433">
        <v>15423.371582408774</v>
      </c>
      <c r="T433">
        <v>29194.895967120789</v>
      </c>
    </row>
    <row r="434" spans="13:20">
      <c r="M434">
        <v>427</v>
      </c>
      <c r="N434">
        <v>98659.384638517513</v>
      </c>
      <c r="O434">
        <v>11189.517930660717</v>
      </c>
      <c r="P434">
        <v>11562.50535981308</v>
      </c>
      <c r="Q434">
        <v>7282.1927177878697</v>
      </c>
      <c r="R434">
        <v>21901.922595955122</v>
      </c>
      <c r="S434">
        <v>15813.90750848192</v>
      </c>
      <c r="T434">
        <v>30055.027674002606</v>
      </c>
    </row>
    <row r="435" spans="13:20">
      <c r="M435">
        <v>428</v>
      </c>
      <c r="N435">
        <v>98829.950277209922</v>
      </c>
      <c r="O435">
        <v>11133.558171921997</v>
      </c>
      <c r="P435">
        <v>12131.474852440995</v>
      </c>
      <c r="Q435">
        <v>7813.5630272574144</v>
      </c>
      <c r="R435">
        <v>21810.922094353602</v>
      </c>
      <c r="S435">
        <v>15291.698681895114</v>
      </c>
      <c r="T435">
        <v>29620.550491427173</v>
      </c>
    </row>
    <row r="436" spans="13:20">
      <c r="M436">
        <v>429</v>
      </c>
      <c r="N436">
        <v>96026.990302543622</v>
      </c>
      <c r="O436">
        <v>11522.607907641916</v>
      </c>
      <c r="P436">
        <v>11819.094076589328</v>
      </c>
      <c r="Q436">
        <v>7280.5178468258773</v>
      </c>
      <c r="R436">
        <v>20747.470481155327</v>
      </c>
      <c r="S436">
        <v>15071.933627463855</v>
      </c>
      <c r="T436">
        <v>28634.291184380418</v>
      </c>
    </row>
    <row r="437" spans="13:20">
      <c r="M437">
        <v>430</v>
      </c>
      <c r="N437">
        <v>99354.192067584343</v>
      </c>
      <c r="O437">
        <v>11103.949714573682</v>
      </c>
      <c r="P437">
        <v>12263.17567200474</v>
      </c>
      <c r="Q437">
        <v>7687.3159877456073</v>
      </c>
      <c r="R437">
        <v>21450.337816555388</v>
      </c>
      <c r="S437">
        <v>16570.628252960581</v>
      </c>
      <c r="T437">
        <v>29506.811145826148</v>
      </c>
    </row>
    <row r="438" spans="13:20">
      <c r="M438">
        <v>431</v>
      </c>
      <c r="N438">
        <v>101552.46509455176</v>
      </c>
      <c r="O438">
        <v>11230.259542241429</v>
      </c>
      <c r="P438">
        <v>12248.824939797041</v>
      </c>
      <c r="Q438">
        <v>7446.2057023910866</v>
      </c>
      <c r="R438">
        <v>23497.510887903576</v>
      </c>
      <c r="S438">
        <v>16066.6436877622</v>
      </c>
      <c r="T438">
        <v>29870.622517171581</v>
      </c>
    </row>
    <row r="439" spans="13:20">
      <c r="M439">
        <v>432</v>
      </c>
      <c r="N439">
        <v>97718.542837743342</v>
      </c>
      <c r="O439">
        <v>10968.121404357429</v>
      </c>
      <c r="P439">
        <v>11584.590486129158</v>
      </c>
      <c r="Q439">
        <v>7322.6675287006656</v>
      </c>
      <c r="R439">
        <v>20828.055919052</v>
      </c>
      <c r="S439">
        <v>16227.859992135218</v>
      </c>
      <c r="T439">
        <v>29865.97527863802</v>
      </c>
    </row>
    <row r="440" spans="13:20">
      <c r="M440">
        <v>433</v>
      </c>
      <c r="N440">
        <v>99334.528504961345</v>
      </c>
      <c r="O440">
        <v>11503.607780717433</v>
      </c>
      <c r="P440">
        <v>12288.905501746414</v>
      </c>
      <c r="Q440">
        <v>7694.0167550764118</v>
      </c>
      <c r="R440">
        <v>20688.801726332767</v>
      </c>
      <c r="S440">
        <v>15914.847590398249</v>
      </c>
      <c r="T440">
        <v>30456.490251707044</v>
      </c>
    </row>
    <row r="441" spans="13:20">
      <c r="M441">
        <v>434</v>
      </c>
      <c r="N441">
        <v>100224.42094031294</v>
      </c>
      <c r="O441">
        <v>11106.912027769042</v>
      </c>
      <c r="P441">
        <v>13398.445690135737</v>
      </c>
      <c r="Q441">
        <v>8240.6923201601767</v>
      </c>
      <c r="R441">
        <v>21292.846846420693</v>
      </c>
      <c r="S441">
        <v>15691.827712876398</v>
      </c>
      <c r="T441">
        <v>29505.610180609081</v>
      </c>
    </row>
    <row r="442" spans="13:20">
      <c r="M442">
        <v>435</v>
      </c>
      <c r="N442">
        <v>104321.4994582646</v>
      </c>
      <c r="O442">
        <v>11224.181454410436</v>
      </c>
      <c r="P442">
        <v>14764.691128441398</v>
      </c>
      <c r="Q442">
        <v>8236.0310284024072</v>
      </c>
      <c r="R442">
        <v>24010.159737261671</v>
      </c>
      <c r="S442">
        <v>15414.813070005561</v>
      </c>
      <c r="T442">
        <v>29659.925267450588</v>
      </c>
    </row>
    <row r="443" spans="13:20">
      <c r="M443">
        <v>436</v>
      </c>
      <c r="N443">
        <v>98770.145466403701</v>
      </c>
      <c r="O443">
        <v>11175.546208971733</v>
      </c>
      <c r="P443">
        <v>13723.375228822853</v>
      </c>
      <c r="Q443">
        <v>7607.0635747615233</v>
      </c>
      <c r="R443">
        <v>20932.195769389869</v>
      </c>
      <c r="S443">
        <v>14853.005968514604</v>
      </c>
      <c r="T443">
        <v>29399.622879549774</v>
      </c>
    </row>
    <row r="444" spans="13:20">
      <c r="M444">
        <v>437</v>
      </c>
      <c r="N444">
        <v>99546.185137019929</v>
      </c>
      <c r="O444">
        <v>10755.561520835836</v>
      </c>
      <c r="P444">
        <v>12084.20343449073</v>
      </c>
      <c r="Q444">
        <v>7408.7702387483159</v>
      </c>
      <c r="R444">
        <v>22232.033275302394</v>
      </c>
      <c r="S444">
        <v>15862.11840282975</v>
      </c>
      <c r="T444">
        <v>30110.169325441726</v>
      </c>
    </row>
    <row r="445" spans="13:20">
      <c r="M445">
        <v>438</v>
      </c>
      <c r="N445">
        <v>99848.912436923696</v>
      </c>
      <c r="O445">
        <v>11262.360423914948</v>
      </c>
      <c r="P445">
        <v>11616.893253534752</v>
      </c>
      <c r="Q445">
        <v>7706.5027179029621</v>
      </c>
      <c r="R445">
        <v>22501.633463428687</v>
      </c>
      <c r="S445">
        <v>16432.618982392472</v>
      </c>
      <c r="T445">
        <v>29506.70656136129</v>
      </c>
    </row>
    <row r="446" spans="13:20">
      <c r="M446">
        <v>439</v>
      </c>
      <c r="N446">
        <v>98427.707096916172</v>
      </c>
      <c r="O446">
        <v>10839.062916645336</v>
      </c>
      <c r="P446">
        <v>13459.729323568898</v>
      </c>
      <c r="Q446">
        <v>7805.6156126754313</v>
      </c>
      <c r="R446">
        <v>21330.250685345054</v>
      </c>
      <c r="S446">
        <v>14882.13199903679</v>
      </c>
      <c r="T446">
        <v>28992.066248220806</v>
      </c>
    </row>
    <row r="447" spans="13:20">
      <c r="M447">
        <v>440</v>
      </c>
      <c r="N447">
        <v>98572.352170803817</v>
      </c>
      <c r="O447">
        <v>11398.231848979311</v>
      </c>
      <c r="P447">
        <v>11908.141515101352</v>
      </c>
      <c r="Q447">
        <v>7717.84409946704</v>
      </c>
      <c r="R447">
        <v>21484.618948399857</v>
      </c>
      <c r="S447">
        <v>15634.600359909811</v>
      </c>
      <c r="T447">
        <v>29238.513864217952</v>
      </c>
    </row>
    <row r="448" spans="13:20">
      <c r="M448">
        <v>441</v>
      </c>
      <c r="N448">
        <v>100322.79161913607</v>
      </c>
      <c r="O448">
        <v>11013.540557199418</v>
      </c>
      <c r="P448">
        <v>12374.28502128726</v>
      </c>
      <c r="Q448">
        <v>7567.905713319602</v>
      </c>
      <c r="R448">
        <v>23135.932567677773</v>
      </c>
      <c r="S448">
        <v>15656.608482062084</v>
      </c>
      <c r="T448">
        <v>29556.17081324858</v>
      </c>
    </row>
    <row r="449" spans="13:20">
      <c r="M449">
        <v>442</v>
      </c>
      <c r="N449">
        <v>101145.9527097289</v>
      </c>
      <c r="O449">
        <v>11326.152462655918</v>
      </c>
      <c r="P449">
        <v>13840.259296844037</v>
      </c>
      <c r="Q449">
        <v>7530.5539999219482</v>
      </c>
      <c r="R449">
        <v>21842.477391461085</v>
      </c>
      <c r="S449">
        <v>15679.318045680977</v>
      </c>
      <c r="T449">
        <v>29747.529918792839</v>
      </c>
    </row>
    <row r="450" spans="13:20">
      <c r="M450">
        <v>443</v>
      </c>
      <c r="N450">
        <v>97157.094796545032</v>
      </c>
      <c r="O450">
        <v>11031.823343822558</v>
      </c>
      <c r="P450">
        <v>12152.469711319394</v>
      </c>
      <c r="Q450">
        <v>7194.3399945157516</v>
      </c>
      <c r="R450">
        <v>20546.363694038602</v>
      </c>
      <c r="S450">
        <v>16694.444471346007</v>
      </c>
      <c r="T450">
        <v>28615.239403482221</v>
      </c>
    </row>
    <row r="451" spans="13:20">
      <c r="M451">
        <v>444</v>
      </c>
      <c r="N451">
        <v>99755.305216584573</v>
      </c>
      <c r="O451">
        <v>11232.936803596167</v>
      </c>
      <c r="P451">
        <v>12297.855404101218</v>
      </c>
      <c r="Q451">
        <v>8493.1227528276013</v>
      </c>
      <c r="R451">
        <v>20589.714436235965</v>
      </c>
      <c r="S451">
        <v>15974.61878326302</v>
      </c>
      <c r="T451">
        <v>30290.303280086755</v>
      </c>
    </row>
    <row r="452" spans="13:20">
      <c r="M452">
        <v>445</v>
      </c>
      <c r="N452">
        <v>101680.08678500661</v>
      </c>
      <c r="O452">
        <v>11350.912277279585</v>
      </c>
      <c r="P452">
        <v>12068.775167964286</v>
      </c>
      <c r="Q452">
        <v>7968.2155515694985</v>
      </c>
      <c r="R452">
        <v>24452.157270513922</v>
      </c>
      <c r="S452">
        <v>16192.135507346877</v>
      </c>
      <c r="T452">
        <v>28569.399099890656</v>
      </c>
    </row>
    <row r="453" spans="13:20">
      <c r="M453">
        <v>446</v>
      </c>
      <c r="N453">
        <v>99405.99663808335</v>
      </c>
      <c r="O453">
        <v>11041.794012427643</v>
      </c>
      <c r="P453">
        <v>11611.468493384447</v>
      </c>
      <c r="Q453">
        <v>8578.2412312287379</v>
      </c>
      <c r="R453">
        <v>22090.670053532111</v>
      </c>
      <c r="S453">
        <v>15752.856241769587</v>
      </c>
      <c r="T453">
        <v>29334.156412730648</v>
      </c>
    </row>
    <row r="454" spans="13:20">
      <c r="M454">
        <v>447</v>
      </c>
      <c r="N454">
        <v>99121.281244579353</v>
      </c>
      <c r="O454">
        <v>11443.357271433733</v>
      </c>
      <c r="P454">
        <v>12622.023195230777</v>
      </c>
      <c r="Q454">
        <v>7366.999475315497</v>
      </c>
      <c r="R454">
        <v>22090.229495541684</v>
      </c>
      <c r="S454">
        <v>15599.954910389413</v>
      </c>
      <c r="T454">
        <v>29018.81889148775</v>
      </c>
    </row>
    <row r="455" spans="13:20">
      <c r="M455">
        <v>448</v>
      </c>
      <c r="N455">
        <v>100017.57931410777</v>
      </c>
      <c r="O455">
        <v>10994.981457010857</v>
      </c>
      <c r="P455">
        <v>12763.718206356134</v>
      </c>
      <c r="Q455">
        <v>7615.156354882718</v>
      </c>
      <c r="R455">
        <v>21621.22306151368</v>
      </c>
      <c r="S455">
        <v>15588.564446146927</v>
      </c>
      <c r="T455">
        <v>30337.736299176846</v>
      </c>
    </row>
    <row r="456" spans="13:20">
      <c r="M456">
        <v>449</v>
      </c>
      <c r="N456">
        <v>98125.617508084775</v>
      </c>
      <c r="O456">
        <v>11031.821080133297</v>
      </c>
      <c r="P456">
        <v>12488.567508617351</v>
      </c>
      <c r="Q456">
        <v>8353.547650127166</v>
      </c>
      <c r="R456">
        <v>20725.331664762492</v>
      </c>
      <c r="S456">
        <v>14959.497899075363</v>
      </c>
      <c r="T456">
        <v>29440.873589767736</v>
      </c>
    </row>
    <row r="457" spans="13:20">
      <c r="M457">
        <v>450</v>
      </c>
      <c r="N457">
        <v>99616.887705101646</v>
      </c>
      <c r="O457">
        <v>11575.880802008362</v>
      </c>
      <c r="P457">
        <v>11746.265320243145</v>
      </c>
      <c r="Q457">
        <v>7757.9965869160687</v>
      </c>
      <c r="R457">
        <v>22786.786479537284</v>
      </c>
      <c r="S457">
        <v>15230.580896396454</v>
      </c>
      <c r="T457">
        <v>29416.43526208619</v>
      </c>
    </row>
    <row r="458" spans="13:20">
      <c r="M458">
        <v>451</v>
      </c>
      <c r="N458">
        <v>97513.540039651954</v>
      </c>
      <c r="O458">
        <v>11408.439035093495</v>
      </c>
      <c r="P458">
        <v>12093.24982835532</v>
      </c>
      <c r="Q458">
        <v>8605.1646473236578</v>
      </c>
      <c r="R458">
        <v>20072.290231417741</v>
      </c>
      <c r="S458">
        <v>15458.300009739512</v>
      </c>
      <c r="T458">
        <v>29001.079381897533</v>
      </c>
    </row>
    <row r="459" spans="13:20">
      <c r="M459">
        <v>452</v>
      </c>
      <c r="N459">
        <v>98397.491932973178</v>
      </c>
      <c r="O459">
        <v>11031.599314452333</v>
      </c>
      <c r="P459">
        <v>11453.546005581014</v>
      </c>
      <c r="Q459">
        <v>7444.2131181325203</v>
      </c>
      <c r="R459">
        <v>21936.598947305974</v>
      </c>
      <c r="S459">
        <v>15561.73406874291</v>
      </c>
      <c r="T459">
        <v>29901.385480502311</v>
      </c>
    </row>
    <row r="460" spans="13:20">
      <c r="M460">
        <v>453</v>
      </c>
      <c r="N460">
        <v>99615.749924558535</v>
      </c>
      <c r="O460">
        <v>11110.443948663555</v>
      </c>
      <c r="P460">
        <v>11267.962597167829</v>
      </c>
      <c r="Q460">
        <v>7146.975471333878</v>
      </c>
      <c r="R460">
        <v>24127.19520877397</v>
      </c>
      <c r="S460">
        <v>15276.054639827382</v>
      </c>
      <c r="T460">
        <v>29576.86212371412</v>
      </c>
    </row>
    <row r="461" spans="13:20">
      <c r="M461">
        <v>454</v>
      </c>
      <c r="N461">
        <v>99241.632587081855</v>
      </c>
      <c r="O461">
        <v>11122.45965671643</v>
      </c>
      <c r="P461">
        <v>11917.967299040858</v>
      </c>
      <c r="Q461">
        <v>7434.9333916815667</v>
      </c>
      <c r="R461">
        <v>21893.954599773537</v>
      </c>
      <c r="S461">
        <v>16710.48341325518</v>
      </c>
      <c r="T461">
        <v>29194.421146528392</v>
      </c>
    </row>
    <row r="462" spans="13:20">
      <c r="M462">
        <v>455</v>
      </c>
      <c r="N462">
        <v>100240.85900467589</v>
      </c>
      <c r="O462">
        <v>11249.830566422841</v>
      </c>
      <c r="P462">
        <v>12245.835617964027</v>
      </c>
      <c r="Q462">
        <v>7714.1556895074082</v>
      </c>
      <c r="R462">
        <v>22724.258399210514</v>
      </c>
      <c r="S462">
        <v>15713.268980886649</v>
      </c>
      <c r="T462">
        <v>29661.810658348175</v>
      </c>
    </row>
    <row r="463" spans="13:20">
      <c r="M463">
        <v>456</v>
      </c>
      <c r="N463">
        <v>100550.29439917886</v>
      </c>
      <c r="O463">
        <v>11336.869587166751</v>
      </c>
      <c r="P463">
        <v>11906.108813749459</v>
      </c>
      <c r="Q463">
        <v>8072.4629468057619</v>
      </c>
      <c r="R463">
        <v>22070.039498415543</v>
      </c>
      <c r="S463">
        <v>15745.573895984853</v>
      </c>
      <c r="T463">
        <v>30237.402414274919</v>
      </c>
    </row>
    <row r="464" spans="13:20">
      <c r="M464">
        <v>457</v>
      </c>
      <c r="N464">
        <v>100785.30962580939</v>
      </c>
      <c r="O464">
        <v>11291.621088159858</v>
      </c>
      <c r="P464">
        <v>12757.737006502468</v>
      </c>
      <c r="Q464">
        <v>8716.393756827516</v>
      </c>
      <c r="R464">
        <v>21998.078098619211</v>
      </c>
      <c r="S464">
        <v>15364.443703520765</v>
      </c>
      <c r="T464">
        <v>29498.221179930457</v>
      </c>
    </row>
    <row r="465" spans="13:20">
      <c r="M465">
        <v>458</v>
      </c>
      <c r="N465">
        <v>100876.3449130615</v>
      </c>
      <c r="O465">
        <v>10923.690903443119</v>
      </c>
      <c r="P465">
        <v>12978.15015326757</v>
      </c>
      <c r="Q465">
        <v>7158.0163819717563</v>
      </c>
      <c r="R465">
        <v>23187.157080368197</v>
      </c>
      <c r="S465">
        <v>16014.257025263325</v>
      </c>
      <c r="T465">
        <v>29592.37782301438</v>
      </c>
    </row>
    <row r="466" spans="13:20">
      <c r="M466">
        <v>459</v>
      </c>
      <c r="N466">
        <v>97255.575062800257</v>
      </c>
      <c r="O466">
        <v>10900.141880113813</v>
      </c>
      <c r="P466">
        <v>11600.384048970614</v>
      </c>
      <c r="Q466">
        <v>7631.3758762933885</v>
      </c>
      <c r="R466">
        <v>21279.578887763149</v>
      </c>
      <c r="S466">
        <v>15515.00763930215</v>
      </c>
      <c r="T466">
        <v>29331.202557403703</v>
      </c>
    </row>
    <row r="467" spans="13:20">
      <c r="M467">
        <v>460</v>
      </c>
      <c r="N467">
        <v>100780.15719747277</v>
      </c>
      <c r="O467">
        <v>11293.450615751397</v>
      </c>
      <c r="P467">
        <v>13221.107773440594</v>
      </c>
      <c r="Q467">
        <v>7665.7237683719422</v>
      </c>
      <c r="R467">
        <v>21147.123771422488</v>
      </c>
      <c r="S467">
        <v>16434.313920620731</v>
      </c>
      <c r="T467">
        <v>29934.087361756494</v>
      </c>
    </row>
    <row r="468" spans="13:20">
      <c r="M468">
        <v>461</v>
      </c>
      <c r="N468">
        <v>97805.624705120907</v>
      </c>
      <c r="O468">
        <v>11141.975721456565</v>
      </c>
      <c r="P468">
        <v>11644.211949188384</v>
      </c>
      <c r="Q468">
        <v>7492.3561977550398</v>
      </c>
      <c r="R468">
        <v>20784.763663383899</v>
      </c>
      <c r="S468">
        <v>16043.236528823239</v>
      </c>
      <c r="T468">
        <v>29497.497128507228</v>
      </c>
    </row>
    <row r="469" spans="13:20">
      <c r="M469">
        <v>462</v>
      </c>
      <c r="N469">
        <v>100215.30714207912</v>
      </c>
      <c r="O469">
        <v>10955.049619819127</v>
      </c>
      <c r="P469">
        <v>12042.502040704783</v>
      </c>
      <c r="Q469">
        <v>7140.3506981506971</v>
      </c>
      <c r="R469">
        <v>23842.910734168679</v>
      </c>
      <c r="S469">
        <v>15774.282030642204</v>
      </c>
      <c r="T469">
        <v>29575.302835458777</v>
      </c>
    </row>
    <row r="470" spans="13:20">
      <c r="M470">
        <v>463</v>
      </c>
      <c r="N470">
        <v>98717.679817123397</v>
      </c>
      <c r="O470">
        <v>11509.113863420082</v>
      </c>
      <c r="P470">
        <v>11477.95711440282</v>
      </c>
      <c r="Q470">
        <v>7757.7929799151116</v>
      </c>
      <c r="R470">
        <v>21536.821002879133</v>
      </c>
      <c r="S470">
        <v>15355.136622402491</v>
      </c>
      <c r="T470">
        <v>30058.482154625646</v>
      </c>
    </row>
    <row r="471" spans="13:20">
      <c r="M471">
        <v>464</v>
      </c>
      <c r="N471">
        <v>101147.93284841526</v>
      </c>
      <c r="O471">
        <v>10942.974264011109</v>
      </c>
      <c r="P471">
        <v>12680.571938145744</v>
      </c>
      <c r="Q471">
        <v>8366.9418049983069</v>
      </c>
      <c r="R471">
        <v>21297.944577793362</v>
      </c>
      <c r="S471">
        <v>16706.39276815256</v>
      </c>
      <c r="T471">
        <v>30171.979414149551</v>
      </c>
    </row>
    <row r="472" spans="13:20">
      <c r="M472">
        <v>465</v>
      </c>
      <c r="N472">
        <v>99367.852240231761</v>
      </c>
      <c r="O472">
        <v>10925.133193292551</v>
      </c>
      <c r="P472">
        <v>12116.290582811092</v>
      </c>
      <c r="Q472">
        <v>8268.1190417285161</v>
      </c>
      <c r="R472">
        <v>21682.652823876357</v>
      </c>
      <c r="S472">
        <v>16031.958832892</v>
      </c>
      <c r="T472">
        <v>29143.273179797263</v>
      </c>
    </row>
    <row r="473" spans="13:20">
      <c r="M473">
        <v>466</v>
      </c>
      <c r="N473">
        <v>99911.464259782093</v>
      </c>
      <c r="O473">
        <v>11323.111658550755</v>
      </c>
      <c r="P473">
        <v>12622.899418160738</v>
      </c>
      <c r="Q473">
        <v>8442.0625085451538</v>
      </c>
      <c r="R473">
        <v>20813.540594766986</v>
      </c>
      <c r="S473">
        <v>16319.330907953416</v>
      </c>
      <c r="T473">
        <v>29356.918416992157</v>
      </c>
    </row>
    <row r="474" spans="13:20">
      <c r="M474">
        <v>467</v>
      </c>
      <c r="N474">
        <v>100641.62982549005</v>
      </c>
      <c r="O474">
        <v>10953.270334922348</v>
      </c>
      <c r="P474">
        <v>12763.273936383803</v>
      </c>
      <c r="Q474">
        <v>7363.693542354712</v>
      </c>
      <c r="R474">
        <v>23100.723138513982</v>
      </c>
      <c r="S474">
        <v>15649.747801492058</v>
      </c>
      <c r="T474">
        <v>29738.929796257758</v>
      </c>
    </row>
    <row r="475" spans="13:20">
      <c r="M475">
        <v>468</v>
      </c>
      <c r="N475">
        <v>97544.276638748124</v>
      </c>
      <c r="O475">
        <v>10908.350590821754</v>
      </c>
      <c r="P475">
        <v>12409.068131783155</v>
      </c>
      <c r="Q475">
        <v>6910.0846740645284</v>
      </c>
      <c r="R475">
        <v>20596.377311360877</v>
      </c>
      <c r="S475">
        <v>15940.871614410124</v>
      </c>
      <c r="T475">
        <v>29756.998285226684</v>
      </c>
    </row>
    <row r="476" spans="13:20">
      <c r="M476">
        <v>469</v>
      </c>
      <c r="N476">
        <v>100238.24914208644</v>
      </c>
      <c r="O476">
        <v>11389.822957418495</v>
      </c>
      <c r="P476">
        <v>13477.833613009885</v>
      </c>
      <c r="Q476">
        <v>7739.4263609996724</v>
      </c>
      <c r="R476">
        <v>20862.591479626797</v>
      </c>
      <c r="S476">
        <v>15556.228039334452</v>
      </c>
      <c r="T476">
        <v>30241.468178610565</v>
      </c>
    </row>
    <row r="477" spans="13:20">
      <c r="M477">
        <v>470</v>
      </c>
      <c r="N477">
        <v>99602.164076683315</v>
      </c>
      <c r="O477">
        <v>10949.121880660403</v>
      </c>
      <c r="P477">
        <v>12669.10260950611</v>
      </c>
      <c r="Q477">
        <v>7766.6092786865383</v>
      </c>
      <c r="R477">
        <v>22796.846896752391</v>
      </c>
      <c r="S477">
        <v>15592.671187486441</v>
      </c>
      <c r="T477">
        <v>28985.376161653712</v>
      </c>
    </row>
    <row r="478" spans="13:20">
      <c r="M478">
        <v>471</v>
      </c>
      <c r="N478">
        <v>100455.07455003266</v>
      </c>
      <c r="O478">
        <v>11712.446358998894</v>
      </c>
      <c r="P478">
        <v>13889.934703688534</v>
      </c>
      <c r="Q478">
        <v>7562.6888867946354</v>
      </c>
      <c r="R478">
        <v>20959.895425178198</v>
      </c>
      <c r="S478">
        <v>15748.809732537402</v>
      </c>
      <c r="T478">
        <v>29580.962465888788</v>
      </c>
    </row>
    <row r="479" spans="13:20">
      <c r="M479">
        <v>472</v>
      </c>
      <c r="N479">
        <v>98031.334139528612</v>
      </c>
      <c r="O479">
        <v>10999.296276794357</v>
      </c>
      <c r="P479">
        <v>11316.88507837249</v>
      </c>
      <c r="Q479">
        <v>7413.8968568055698</v>
      </c>
      <c r="R479">
        <v>22578.066289082333</v>
      </c>
      <c r="S479">
        <v>15180.941777178288</v>
      </c>
      <c r="T479">
        <v>29636.07430178198</v>
      </c>
    </row>
    <row r="480" spans="13:20">
      <c r="M480">
        <v>473</v>
      </c>
      <c r="N480">
        <v>96839.941300800725</v>
      </c>
      <c r="O480">
        <v>11097.373731792233</v>
      </c>
      <c r="P480">
        <v>11063.889846393255</v>
      </c>
      <c r="Q480">
        <v>7864.7933785249206</v>
      </c>
      <c r="R480">
        <v>21348.425040090995</v>
      </c>
      <c r="S480">
        <v>15631.193813320748</v>
      </c>
      <c r="T480">
        <v>28633.458634857019</v>
      </c>
    </row>
    <row r="481" spans="13:20">
      <c r="M481">
        <v>474</v>
      </c>
      <c r="N481">
        <v>96592.295707155543</v>
      </c>
      <c r="O481">
        <v>11079.506581073503</v>
      </c>
      <c r="P481">
        <v>11757.536385585932</v>
      </c>
      <c r="Q481">
        <v>7355.277527459567</v>
      </c>
      <c r="R481">
        <v>21365.565483415434</v>
      </c>
      <c r="S481">
        <v>15424.121137290815</v>
      </c>
      <c r="T481">
        <v>28587.353762438554</v>
      </c>
    </row>
    <row r="482" spans="13:20">
      <c r="M482">
        <v>475</v>
      </c>
      <c r="N482">
        <v>101186.32305598212</v>
      </c>
      <c r="O482">
        <v>11184.160174001361</v>
      </c>
      <c r="P482">
        <v>13028.162883339743</v>
      </c>
      <c r="Q482">
        <v>6920.7313784870657</v>
      </c>
      <c r="R482">
        <v>23054.982349115679</v>
      </c>
      <c r="S482">
        <v>16533.844002001719</v>
      </c>
      <c r="T482">
        <v>29243.954968231807</v>
      </c>
    </row>
    <row r="483" spans="13:20">
      <c r="M483">
        <v>476</v>
      </c>
      <c r="N483">
        <v>96831.871927286105</v>
      </c>
      <c r="O483">
        <v>10697.919521824211</v>
      </c>
      <c r="P483">
        <v>12486.939156701119</v>
      </c>
      <c r="Q483">
        <v>7706.6773064373356</v>
      </c>
      <c r="R483">
        <v>20673.717578683394</v>
      </c>
      <c r="S483">
        <v>14722.879595388651</v>
      </c>
      <c r="T483">
        <v>29520.271757256309</v>
      </c>
    </row>
    <row r="484" spans="13:20">
      <c r="M484">
        <v>477</v>
      </c>
      <c r="N484">
        <v>99228.512447142522</v>
      </c>
      <c r="O484">
        <v>11105.212156736838</v>
      </c>
      <c r="P484">
        <v>12670.611652183601</v>
      </c>
      <c r="Q484">
        <v>7009.5939650831751</v>
      </c>
      <c r="R484">
        <v>22245.857987326301</v>
      </c>
      <c r="S484">
        <v>15571.932661428644</v>
      </c>
      <c r="T484">
        <v>29505.532362365302</v>
      </c>
    </row>
    <row r="485" spans="13:20">
      <c r="M485">
        <v>478</v>
      </c>
      <c r="N485">
        <v>102297.34702443174</v>
      </c>
      <c r="O485">
        <v>11243.845459292395</v>
      </c>
      <c r="P485">
        <v>13755.158538158252</v>
      </c>
      <c r="Q485">
        <v>8417.1855774620381</v>
      </c>
      <c r="R485">
        <v>21618.581892915015</v>
      </c>
      <c r="S485">
        <v>15822.81915248921</v>
      </c>
      <c r="T485">
        <v>30502.970312480269</v>
      </c>
    </row>
    <row r="486" spans="13:20">
      <c r="M486">
        <v>479</v>
      </c>
      <c r="N486">
        <v>98229.387464543252</v>
      </c>
      <c r="O486">
        <v>11990.155716814188</v>
      </c>
      <c r="P486">
        <v>11838.642753209297</v>
      </c>
      <c r="Q486">
        <v>6961.9892572298895</v>
      </c>
      <c r="R486">
        <v>21064.987417332457</v>
      </c>
      <c r="S486">
        <v>15211.830980827854</v>
      </c>
      <c r="T486">
        <v>30307.135169815327</v>
      </c>
    </row>
    <row r="487" spans="13:20">
      <c r="M487">
        <v>480</v>
      </c>
      <c r="N487">
        <v>98266.859369463054</v>
      </c>
      <c r="O487">
        <v>11160.853063304312</v>
      </c>
      <c r="P487">
        <v>13049.066959254455</v>
      </c>
      <c r="Q487">
        <v>7800.5138033818002</v>
      </c>
      <c r="R487">
        <v>21915.444509787696</v>
      </c>
      <c r="S487">
        <v>14912.976672854118</v>
      </c>
      <c r="T487">
        <v>28508.539333352212</v>
      </c>
    </row>
    <row r="488" spans="13:20">
      <c r="M488">
        <v>481</v>
      </c>
      <c r="N488">
        <v>101119.17676038979</v>
      </c>
      <c r="O488">
        <v>10904.814327618556</v>
      </c>
      <c r="P488">
        <v>13135.359119200348</v>
      </c>
      <c r="Q488">
        <v>7638.0370082610389</v>
      </c>
      <c r="R488">
        <v>23085.835238317322</v>
      </c>
      <c r="S488">
        <v>15559.455761493662</v>
      </c>
      <c r="T488">
        <v>29567.67342520292</v>
      </c>
    </row>
    <row r="489" spans="13:20">
      <c r="M489">
        <v>482</v>
      </c>
      <c r="N489">
        <v>100079.29522367996</v>
      </c>
      <c r="O489">
        <v>11315.036756793357</v>
      </c>
      <c r="P489">
        <v>11625.329300892681</v>
      </c>
      <c r="Q489">
        <v>8040.9382812578151</v>
      </c>
      <c r="R489">
        <v>21739.516290642932</v>
      </c>
      <c r="S489">
        <v>16383.335973540346</v>
      </c>
      <c r="T489">
        <v>30059.848926762352</v>
      </c>
    </row>
    <row r="490" spans="13:20">
      <c r="M490">
        <v>483</v>
      </c>
      <c r="N490">
        <v>100470.87875792121</v>
      </c>
      <c r="O490">
        <v>10578.745149333901</v>
      </c>
      <c r="P490">
        <v>11892.351823801031</v>
      </c>
      <c r="Q490">
        <v>8356.5996464494365</v>
      </c>
      <c r="R490">
        <v>22852.878182315642</v>
      </c>
      <c r="S490">
        <v>16342.013879881721</v>
      </c>
      <c r="T490">
        <v>29530.952146626205</v>
      </c>
    </row>
    <row r="491" spans="13:20">
      <c r="M491">
        <v>484</v>
      </c>
      <c r="N491">
        <v>99649.244498285683</v>
      </c>
      <c r="O491">
        <v>11462.69218306021</v>
      </c>
      <c r="P491">
        <v>13486.707661708133</v>
      </c>
      <c r="Q491">
        <v>7834.9427947022768</v>
      </c>
      <c r="R491">
        <v>22109.297491782399</v>
      </c>
      <c r="S491">
        <v>14906.778463798495</v>
      </c>
      <c r="T491">
        <v>29070.579435600768</v>
      </c>
    </row>
    <row r="492" spans="13:20">
      <c r="M492">
        <v>485</v>
      </c>
      <c r="N492">
        <v>100052.74480676523</v>
      </c>
      <c r="O492">
        <v>11336.787357199304</v>
      </c>
      <c r="P492">
        <v>12840.860817966779</v>
      </c>
      <c r="Q492">
        <v>7704.8959274198742</v>
      </c>
      <c r="R492">
        <v>21049.819307597525</v>
      </c>
      <c r="S492">
        <v>16104.369793576301</v>
      </c>
      <c r="T492">
        <v>30107.359267569867</v>
      </c>
    </row>
    <row r="493" spans="13:20">
      <c r="M493">
        <v>486</v>
      </c>
      <c r="N493">
        <v>98591.850791728764</v>
      </c>
      <c r="O493">
        <v>12071.731671823323</v>
      </c>
      <c r="P493">
        <v>11845.144907972946</v>
      </c>
      <c r="Q493">
        <v>7244.6060519857019</v>
      </c>
      <c r="R493">
        <v>20560.762354741069</v>
      </c>
      <c r="S493">
        <v>15458.339513840579</v>
      </c>
      <c r="T493">
        <v>30622.214581604134</v>
      </c>
    </row>
    <row r="494" spans="13:20">
      <c r="M494">
        <v>487</v>
      </c>
      <c r="N494">
        <v>98230.735261803216</v>
      </c>
      <c r="O494">
        <v>11010.128729278607</v>
      </c>
      <c r="P494">
        <v>11696.071337232926</v>
      </c>
      <c r="Q494">
        <v>7532.1414019508829</v>
      </c>
      <c r="R494">
        <v>21750.933730428365</v>
      </c>
      <c r="S494">
        <v>15565.78865736596</v>
      </c>
      <c r="T494">
        <v>29737.354314059146</v>
      </c>
    </row>
    <row r="495" spans="13:20">
      <c r="M495">
        <v>488</v>
      </c>
      <c r="N495">
        <v>100128.65065774971</v>
      </c>
      <c r="O495">
        <v>11494.922748853549</v>
      </c>
      <c r="P495">
        <v>12261.731297014159</v>
      </c>
      <c r="Q495">
        <v>8066.4767537370135</v>
      </c>
      <c r="R495">
        <v>21516.741221080541</v>
      </c>
      <c r="S495">
        <v>16367.245513311622</v>
      </c>
      <c r="T495">
        <v>29560.599277339657</v>
      </c>
    </row>
    <row r="496" spans="13:20">
      <c r="M496">
        <v>489</v>
      </c>
      <c r="N496">
        <v>100091.56600017387</v>
      </c>
      <c r="O496">
        <v>11756.736823114879</v>
      </c>
      <c r="P496">
        <v>13198.925036480357</v>
      </c>
      <c r="Q496">
        <v>7067.198577360422</v>
      </c>
      <c r="R496">
        <v>21392.324500337134</v>
      </c>
      <c r="S496">
        <v>15576.507619815879</v>
      </c>
      <c r="T496">
        <v>30109.836966270446</v>
      </c>
    </row>
    <row r="497" spans="13:20">
      <c r="M497">
        <v>490</v>
      </c>
      <c r="N497">
        <v>98193.847261458533</v>
      </c>
      <c r="O497">
        <v>11373.305568774393</v>
      </c>
      <c r="P497">
        <v>11443.344219662862</v>
      </c>
      <c r="Q497">
        <v>7588.5826919287165</v>
      </c>
      <c r="R497">
        <v>20712.180169337051</v>
      </c>
      <c r="S497">
        <v>16163.603526338202</v>
      </c>
      <c r="T497">
        <v>29887.816054856863</v>
      </c>
    </row>
    <row r="498" spans="13:20">
      <c r="M498">
        <v>491</v>
      </c>
      <c r="N498">
        <v>97379.833073498827</v>
      </c>
      <c r="O498">
        <v>11790.304446855715</v>
      </c>
      <c r="P498">
        <v>12496.412884423942</v>
      </c>
      <c r="Q498">
        <v>7248.0946724385403</v>
      </c>
      <c r="R498">
        <v>20349.268225323423</v>
      </c>
      <c r="S498">
        <v>15335.107191351903</v>
      </c>
      <c r="T498">
        <v>29266.189132788448</v>
      </c>
    </row>
    <row r="499" spans="13:20">
      <c r="M499">
        <v>492</v>
      </c>
      <c r="N499">
        <v>103413.5235342957</v>
      </c>
      <c r="O499">
        <v>11085.181167789982</v>
      </c>
      <c r="P499">
        <v>13924.614660946419</v>
      </c>
      <c r="Q499">
        <v>7109.6208946466604</v>
      </c>
      <c r="R499">
        <v>25623.368518911142</v>
      </c>
      <c r="S499">
        <v>14793.073877531253</v>
      </c>
      <c r="T499">
        <v>29940.573872352146</v>
      </c>
    </row>
    <row r="500" spans="13:20">
      <c r="M500">
        <v>493</v>
      </c>
      <c r="N500">
        <v>99756.145429384327</v>
      </c>
      <c r="O500">
        <v>11153.916420109961</v>
      </c>
      <c r="P500">
        <v>11697.358700088462</v>
      </c>
      <c r="Q500">
        <v>7936.6284022250475</v>
      </c>
      <c r="R500">
        <v>22213.454320117777</v>
      </c>
      <c r="S500">
        <v>15178.978276785016</v>
      </c>
      <c r="T500">
        <v>30623.735369575639</v>
      </c>
    </row>
    <row r="501" spans="13:20">
      <c r="M501">
        <v>494</v>
      </c>
      <c r="N501">
        <v>99212.42149776427</v>
      </c>
      <c r="O501">
        <v>11150.49571932007</v>
      </c>
      <c r="P501">
        <v>12117.601034804577</v>
      </c>
      <c r="Q501">
        <v>7435.5809833025787</v>
      </c>
      <c r="R501">
        <v>21405.54067233103</v>
      </c>
      <c r="S501">
        <v>16093.580279944053</v>
      </c>
      <c r="T501">
        <v>29775.465395628689</v>
      </c>
    </row>
    <row r="502" spans="13:20">
      <c r="M502">
        <v>495</v>
      </c>
      <c r="N502">
        <v>99286.699288832722</v>
      </c>
      <c r="O502">
        <v>11660.203878863969</v>
      </c>
      <c r="P502">
        <v>12538.919859700345</v>
      </c>
      <c r="Q502">
        <v>7259.9934123110052</v>
      </c>
      <c r="R502">
        <v>21596.59132775115</v>
      </c>
      <c r="S502">
        <v>15530.792925107206</v>
      </c>
      <c r="T502">
        <v>29610.779417166999</v>
      </c>
    </row>
    <row r="503" spans="13:20">
      <c r="M503">
        <v>496</v>
      </c>
      <c r="N503">
        <v>99764.329021829559</v>
      </c>
      <c r="O503">
        <v>11309.731033358203</v>
      </c>
      <c r="P503">
        <v>12460.269510648495</v>
      </c>
      <c r="Q503">
        <v>8453.4440743176347</v>
      </c>
      <c r="R503">
        <v>20731.027972071344</v>
      </c>
      <c r="S503">
        <v>16146.780390884678</v>
      </c>
      <c r="T503">
        <v>29607.77139923233</v>
      </c>
    </row>
    <row r="504" spans="13:20">
      <c r="M504">
        <v>497</v>
      </c>
      <c r="N504">
        <v>96813.790189832405</v>
      </c>
      <c r="O504">
        <v>11247.870797773661</v>
      </c>
      <c r="P504">
        <v>11276.305672266601</v>
      </c>
      <c r="Q504">
        <v>7398.1467353892212</v>
      </c>
      <c r="R504">
        <v>21000.875191877112</v>
      </c>
      <c r="S504">
        <v>15430.073773558339</v>
      </c>
      <c r="T504">
        <v>29446.62696903992</v>
      </c>
    </row>
    <row r="505" spans="13:20">
      <c r="M505">
        <v>498</v>
      </c>
      <c r="N505">
        <v>99510.950488552917</v>
      </c>
      <c r="O505">
        <v>11265.811562572786</v>
      </c>
      <c r="P505">
        <v>12064.996722199128</v>
      </c>
      <c r="Q505">
        <v>7647.1560873513363</v>
      </c>
      <c r="R505">
        <v>22041.030542742723</v>
      </c>
      <c r="S505">
        <v>15827.569997560502</v>
      </c>
      <c r="T505">
        <v>29790.235645271539</v>
      </c>
    </row>
    <row r="506" spans="13:20">
      <c r="M506">
        <v>499</v>
      </c>
      <c r="N506">
        <v>101378.86610533674</v>
      </c>
      <c r="O506">
        <v>11317.274721170737</v>
      </c>
      <c r="P506">
        <v>11889.003304615228</v>
      </c>
      <c r="Q506">
        <v>8119.0199068937955</v>
      </c>
      <c r="R506">
        <v>24461.643291552366</v>
      </c>
      <c r="S506">
        <v>15038.377543469916</v>
      </c>
      <c r="T506">
        <v>29593.247556246268</v>
      </c>
    </row>
    <row r="507" spans="13:20">
      <c r="M507">
        <v>500</v>
      </c>
      <c r="N507">
        <v>99794.734958143643</v>
      </c>
      <c r="O507">
        <v>10802.12116142704</v>
      </c>
      <c r="P507">
        <v>12687.770548338225</v>
      </c>
      <c r="Q507">
        <v>7718.8708811420202</v>
      </c>
      <c r="R507">
        <v>22146.847067413408</v>
      </c>
      <c r="S507">
        <v>15647.131490448739</v>
      </c>
      <c r="T507">
        <v>29799.532980594009</v>
      </c>
    </row>
    <row r="508" spans="13:20">
      <c r="M508">
        <v>501</v>
      </c>
      <c r="N508">
        <v>98473.261120439201</v>
      </c>
      <c r="O508">
        <v>10883.501002015226</v>
      </c>
      <c r="P508">
        <v>12016.144283349484</v>
      </c>
      <c r="Q508">
        <v>7853.8558707865905</v>
      </c>
      <c r="R508">
        <v>21653.530453506472</v>
      </c>
      <c r="S508">
        <v>15338.452935417259</v>
      </c>
      <c r="T508">
        <v>29754.207335839445</v>
      </c>
    </row>
    <row r="509" spans="13:20">
      <c r="M509">
        <v>502</v>
      </c>
      <c r="N509">
        <v>102529.77742255616</v>
      </c>
      <c r="O509">
        <v>11385.824254755044</v>
      </c>
      <c r="P509">
        <v>13394.131901007266</v>
      </c>
      <c r="Q509">
        <v>8178.0864819426642</v>
      </c>
      <c r="R509">
        <v>22729.765002295044</v>
      </c>
      <c r="S509">
        <v>15983.819597401951</v>
      </c>
      <c r="T509">
        <v>29674.343318748699</v>
      </c>
    </row>
    <row r="510" spans="13:20">
      <c r="M510">
        <v>503</v>
      </c>
      <c r="N510">
        <v>101619.81911544851</v>
      </c>
      <c r="O510">
        <v>10975.051757212646</v>
      </c>
      <c r="P510">
        <v>13218.180190014198</v>
      </c>
      <c r="Q510">
        <v>8628.8793097410471</v>
      </c>
      <c r="R510">
        <v>22452.444694819951</v>
      </c>
      <c r="S510">
        <v>15508.101296313145</v>
      </c>
      <c r="T510">
        <v>29814.796681084026</v>
      </c>
    </row>
    <row r="511" spans="13:20">
      <c r="M511">
        <v>504</v>
      </c>
      <c r="N511">
        <v>99619.397061603711</v>
      </c>
      <c r="O511">
        <v>10909.984696147547</v>
      </c>
      <c r="P511">
        <v>13227.556190537171</v>
      </c>
      <c r="Q511">
        <v>8255.4216356832312</v>
      </c>
      <c r="R511">
        <v>21408.521319766718</v>
      </c>
      <c r="S511">
        <v>15397.854072228234</v>
      </c>
      <c r="T511">
        <v>29625.671266368179</v>
      </c>
    </row>
    <row r="512" spans="13:20">
      <c r="M512">
        <v>505</v>
      </c>
      <c r="N512">
        <v>99842.748492961764</v>
      </c>
      <c r="O512">
        <v>11289.236429006443</v>
      </c>
      <c r="P512">
        <v>13159.311448463732</v>
      </c>
      <c r="Q512">
        <v>7885.2029595429458</v>
      </c>
      <c r="R512">
        <v>21205.195315236731</v>
      </c>
      <c r="S512">
        <v>15495.074113779758</v>
      </c>
      <c r="T512">
        <v>29607.645285402243</v>
      </c>
    </row>
    <row r="513" spans="13:20">
      <c r="M513">
        <v>506</v>
      </c>
      <c r="N513">
        <v>102663.92680360387</v>
      </c>
      <c r="O513">
        <v>11326.062890019912</v>
      </c>
      <c r="P513">
        <v>13907.06678533191</v>
      </c>
      <c r="Q513">
        <v>7439.760705951001</v>
      </c>
      <c r="R513">
        <v>23531.027105096382</v>
      </c>
      <c r="S513">
        <v>15682.774722572754</v>
      </c>
      <c r="T513">
        <v>29859.452032208465</v>
      </c>
    </row>
    <row r="514" spans="13:20">
      <c r="M514">
        <v>507</v>
      </c>
      <c r="N514">
        <v>101808.1521675905</v>
      </c>
      <c r="O514">
        <v>11561.724030922331</v>
      </c>
      <c r="P514">
        <v>11661.521939239905</v>
      </c>
      <c r="Q514">
        <v>7505.7650017669221</v>
      </c>
      <c r="R514">
        <v>24985.876167068967</v>
      </c>
      <c r="S514">
        <v>15268.812888576889</v>
      </c>
      <c r="T514">
        <v>29688.389833368594</v>
      </c>
    </row>
    <row r="515" spans="13:20">
      <c r="M515">
        <v>508</v>
      </c>
      <c r="N515">
        <v>100280.06820207783</v>
      </c>
      <c r="O515">
        <v>10903.524792186257</v>
      </c>
      <c r="P515">
        <v>12767.956326035626</v>
      </c>
      <c r="Q515">
        <v>8155.4455337020854</v>
      </c>
      <c r="R515">
        <v>21378.296052676124</v>
      </c>
      <c r="S515">
        <v>15858.18808389044</v>
      </c>
      <c r="T515">
        <v>30338.975688296239</v>
      </c>
    </row>
    <row r="516" spans="13:20">
      <c r="M516">
        <v>509</v>
      </c>
      <c r="N516">
        <v>99655.298058854576</v>
      </c>
      <c r="O516">
        <v>11449.364330447663</v>
      </c>
      <c r="P516">
        <v>12178.503956659226</v>
      </c>
      <c r="Q516">
        <v>8217.9980702158464</v>
      </c>
      <c r="R516">
        <v>22092.725013272138</v>
      </c>
      <c r="S516">
        <v>15596.855855476766</v>
      </c>
      <c r="T516">
        <v>29126.149018815253</v>
      </c>
    </row>
    <row r="517" spans="13:20">
      <c r="M517">
        <v>510</v>
      </c>
      <c r="N517">
        <v>98735.881245953686</v>
      </c>
      <c r="O517">
        <v>11493.979945001665</v>
      </c>
      <c r="P517">
        <v>13096.846930207268</v>
      </c>
      <c r="Q517">
        <v>7500.2924019254933</v>
      </c>
      <c r="R517">
        <v>20806.963922028925</v>
      </c>
      <c r="S517">
        <v>15441.903534550182</v>
      </c>
      <c r="T517">
        <v>29306.194250321172</v>
      </c>
    </row>
    <row r="518" spans="13:20">
      <c r="M518">
        <v>511</v>
      </c>
      <c r="N518">
        <v>100695.379696608</v>
      </c>
      <c r="O518">
        <v>11221.096549980557</v>
      </c>
      <c r="P518">
        <v>13226.160207333087</v>
      </c>
      <c r="Q518">
        <v>7939.912994819857</v>
      </c>
      <c r="R518">
        <v>21592.916453386115</v>
      </c>
      <c r="S518">
        <v>16396.327024084905</v>
      </c>
      <c r="T518">
        <v>29326.559835225489</v>
      </c>
    </row>
    <row r="519" spans="13:20">
      <c r="M519">
        <v>512</v>
      </c>
      <c r="N519">
        <v>99139.409534026883</v>
      </c>
      <c r="O519">
        <v>11213.784843623815</v>
      </c>
      <c r="P519">
        <v>13017.066350385916</v>
      </c>
      <c r="Q519">
        <v>7229.7680547766058</v>
      </c>
      <c r="R519">
        <v>20858.058259751688</v>
      </c>
      <c r="S519">
        <v>16234.126540111323</v>
      </c>
      <c r="T519">
        <v>29686.807671724884</v>
      </c>
    </row>
    <row r="520" spans="13:20">
      <c r="M520">
        <v>513</v>
      </c>
      <c r="N520">
        <v>98538.399162754198</v>
      </c>
      <c r="O520">
        <v>10843.88698713725</v>
      </c>
      <c r="P520">
        <v>13668.300854685232</v>
      </c>
      <c r="Q520">
        <v>6985.2767455981193</v>
      </c>
      <c r="R520">
        <v>21456.094331819218</v>
      </c>
      <c r="S520">
        <v>15048.16053279856</v>
      </c>
      <c r="T520">
        <v>29472.724928597527</v>
      </c>
    </row>
    <row r="521" spans="13:20">
      <c r="M521">
        <v>514</v>
      </c>
      <c r="N521">
        <v>101861.41901761692</v>
      </c>
      <c r="O521">
        <v>11311.537969960196</v>
      </c>
      <c r="P521">
        <v>13070.703843466277</v>
      </c>
      <c r="Q521">
        <v>7314.854664806091</v>
      </c>
      <c r="R521">
        <v>24082.527380912459</v>
      </c>
      <c r="S521">
        <v>15497.598480765088</v>
      </c>
      <c r="T521">
        <v>29655.85211924951</v>
      </c>
    </row>
    <row r="522" spans="13:20">
      <c r="M522">
        <v>515</v>
      </c>
      <c r="N522">
        <v>99821.082937833111</v>
      </c>
      <c r="O522">
        <v>11068.884759025232</v>
      </c>
      <c r="P522">
        <v>11693.574919650846</v>
      </c>
      <c r="Q522">
        <v>8095.7710901809969</v>
      </c>
      <c r="R522">
        <v>21283.479272198027</v>
      </c>
      <c r="S522">
        <v>15749.018457939286</v>
      </c>
      <c r="T522">
        <v>31017.669991604635</v>
      </c>
    </row>
    <row r="523" spans="13:20">
      <c r="M523">
        <v>516</v>
      </c>
      <c r="N523">
        <v>98336.429307948754</v>
      </c>
      <c r="O523">
        <v>11298.671481503538</v>
      </c>
      <c r="P523">
        <v>11693.769506319433</v>
      </c>
      <c r="Q523">
        <v>7734.3161753385821</v>
      </c>
      <c r="R523">
        <v>21280.584789892346</v>
      </c>
      <c r="S523">
        <v>15167.695906631538</v>
      </c>
      <c r="T523">
        <v>30123.080398244645</v>
      </c>
    </row>
    <row r="524" spans="13:20">
      <c r="M524">
        <v>517</v>
      </c>
      <c r="N524">
        <v>99344.876610668201</v>
      </c>
      <c r="O524">
        <v>11369.778266257315</v>
      </c>
      <c r="P524">
        <v>12905.486589614626</v>
      </c>
      <c r="Q524">
        <v>8080.7564892066175</v>
      </c>
      <c r="R524">
        <v>20594.520037278129</v>
      </c>
      <c r="S524">
        <v>15328.786921885343</v>
      </c>
      <c r="T524">
        <v>29960.07279990429</v>
      </c>
    </row>
    <row r="525" spans="13:20">
      <c r="M525">
        <v>518</v>
      </c>
      <c r="N525">
        <v>101046.83663618713</v>
      </c>
      <c r="O525">
        <v>11088.028280356566</v>
      </c>
      <c r="P525">
        <v>12457.027105332329</v>
      </c>
      <c r="Q525">
        <v>7613.8332579679645</v>
      </c>
      <c r="R525">
        <v>22334.378920955449</v>
      </c>
      <c r="S525">
        <v>15476.186797013215</v>
      </c>
      <c r="T525">
        <v>31110.219702776019</v>
      </c>
    </row>
    <row r="526" spans="13:20">
      <c r="M526">
        <v>519</v>
      </c>
      <c r="N526">
        <v>99191.735396519318</v>
      </c>
      <c r="O526">
        <v>10981.499383104827</v>
      </c>
      <c r="P526">
        <v>11976.632052660916</v>
      </c>
      <c r="Q526">
        <v>7960.0495843938752</v>
      </c>
      <c r="R526">
        <v>21517.132271292583</v>
      </c>
      <c r="S526">
        <v>15901.937401708488</v>
      </c>
      <c r="T526">
        <v>29965.84580628058</v>
      </c>
    </row>
    <row r="527" spans="13:20">
      <c r="M527">
        <v>520</v>
      </c>
      <c r="N527">
        <v>99905.225945666854</v>
      </c>
      <c r="O527">
        <v>11269.245940145456</v>
      </c>
      <c r="P527">
        <v>12898.408858583727</v>
      </c>
      <c r="Q527">
        <v>7288.7032754417296</v>
      </c>
      <c r="R527">
        <v>22854.287156152539</v>
      </c>
      <c r="S527">
        <v>15585.102575988711</v>
      </c>
      <c r="T527">
        <v>28976.214171577645</v>
      </c>
    </row>
    <row r="528" spans="13:20">
      <c r="M528">
        <v>521</v>
      </c>
      <c r="N528">
        <v>98384.166792380202</v>
      </c>
      <c r="O528">
        <v>11339.191705983736</v>
      </c>
      <c r="P528">
        <v>12138.656337566126</v>
      </c>
      <c r="Q528">
        <v>7036.4173054233297</v>
      </c>
      <c r="R528">
        <v>21707.246514294235</v>
      </c>
      <c r="S528">
        <v>15126.92191819775</v>
      </c>
      <c r="T528">
        <v>29978.122172502881</v>
      </c>
    </row>
    <row r="529" spans="13:20">
      <c r="M529">
        <v>522</v>
      </c>
      <c r="N529">
        <v>102163.6925166126</v>
      </c>
      <c r="O529">
        <v>11282.772590081715</v>
      </c>
      <c r="P529">
        <v>13596.017416184004</v>
      </c>
      <c r="Q529">
        <v>8317.5316091062032</v>
      </c>
      <c r="R529">
        <v>21843.267103401242</v>
      </c>
      <c r="S529">
        <v>15855.302640219872</v>
      </c>
      <c r="T529">
        <v>30184.740985926335</v>
      </c>
    </row>
    <row r="530" spans="13:20">
      <c r="M530">
        <v>523</v>
      </c>
      <c r="N530">
        <v>96911.198474763281</v>
      </c>
      <c r="O530">
        <v>11666.997166209781</v>
      </c>
      <c r="P530">
        <v>11114.624811808586</v>
      </c>
      <c r="Q530">
        <v>6997.8556070514542</v>
      </c>
      <c r="R530">
        <v>21316.685331823934</v>
      </c>
      <c r="S530">
        <v>15093.833738639134</v>
      </c>
      <c r="T530">
        <v>29540.935341248034</v>
      </c>
    </row>
    <row r="531" spans="13:20">
      <c r="M531">
        <v>524</v>
      </c>
      <c r="N531">
        <v>99747.647572685804</v>
      </c>
      <c r="O531">
        <v>11219.623475536646</v>
      </c>
      <c r="P531">
        <v>12573.405227867421</v>
      </c>
      <c r="Q531">
        <v>8513.2680281184203</v>
      </c>
      <c r="R531">
        <v>22284.849474200211</v>
      </c>
      <c r="S531">
        <v>15100.226556746793</v>
      </c>
      <c r="T531">
        <v>29122.65483391672</v>
      </c>
    </row>
    <row r="532" spans="13:20">
      <c r="M532">
        <v>525</v>
      </c>
      <c r="N532">
        <v>101823.43667715009</v>
      </c>
      <c r="O532">
        <v>11359.649549610978</v>
      </c>
      <c r="P532">
        <v>13214.335525926635</v>
      </c>
      <c r="Q532">
        <v>7181.3790071069179</v>
      </c>
      <c r="R532">
        <v>24883.354597967878</v>
      </c>
      <c r="S532">
        <v>15407.346704287826</v>
      </c>
      <c r="T532">
        <v>28995.694503034025</v>
      </c>
    </row>
    <row r="533" spans="13:20">
      <c r="M533">
        <v>526</v>
      </c>
      <c r="N533">
        <v>98539.782912022449</v>
      </c>
      <c r="O533">
        <v>10755.27348679309</v>
      </c>
      <c r="P533">
        <v>13281.381835045315</v>
      </c>
      <c r="Q533">
        <v>7334.9710119184883</v>
      </c>
      <c r="R533">
        <v>21526.318396113293</v>
      </c>
      <c r="S533">
        <v>15562.964163111717</v>
      </c>
      <c r="T533">
        <v>29268.681034065459</v>
      </c>
    </row>
    <row r="534" spans="13:20">
      <c r="M534">
        <v>527</v>
      </c>
      <c r="N534">
        <v>96064.196125870003</v>
      </c>
      <c r="O534">
        <v>11239.461837097635</v>
      </c>
      <c r="P534">
        <v>11383.438426229386</v>
      </c>
      <c r="Q534">
        <v>7167.5241138886595</v>
      </c>
      <c r="R534">
        <v>20590.185419126476</v>
      </c>
      <c r="S534">
        <v>15741.69561804257</v>
      </c>
      <c r="T534">
        <v>28858.6334656953</v>
      </c>
    </row>
    <row r="535" spans="13:20">
      <c r="M535">
        <v>528</v>
      </c>
      <c r="N535">
        <v>100432.96400069409</v>
      </c>
      <c r="O535">
        <v>10681.06816480596</v>
      </c>
      <c r="P535">
        <v>12849.931722069308</v>
      </c>
      <c r="Q535">
        <v>8020.6621338673958</v>
      </c>
      <c r="R535">
        <v>22485.029165818556</v>
      </c>
      <c r="S535">
        <v>15812.340667331608</v>
      </c>
      <c r="T535">
        <v>29475.519804660795</v>
      </c>
    </row>
    <row r="536" spans="13:20">
      <c r="M536">
        <v>529</v>
      </c>
      <c r="N536">
        <v>100461.13508874846</v>
      </c>
      <c r="O536">
        <v>11191.857144180827</v>
      </c>
      <c r="P536">
        <v>12206.569075045416</v>
      </c>
      <c r="Q536">
        <v>7919.3957897900618</v>
      </c>
      <c r="R536">
        <v>22909.368754669405</v>
      </c>
      <c r="S536">
        <v>15813.325181177979</v>
      </c>
      <c r="T536">
        <v>29459.554504360942</v>
      </c>
    </row>
    <row r="537" spans="13:20">
      <c r="M537">
        <v>530</v>
      </c>
      <c r="N537">
        <v>100531.13581343785</v>
      </c>
      <c r="O537">
        <v>11178.461967376097</v>
      </c>
      <c r="P537">
        <v>12294.122086338011</v>
      </c>
      <c r="Q537">
        <v>7788.114743184301</v>
      </c>
      <c r="R537">
        <v>21735.08315428099</v>
      </c>
      <c r="S537">
        <v>16232.734665416898</v>
      </c>
      <c r="T537">
        <v>30143.355251061894</v>
      </c>
    </row>
    <row r="538" spans="13:20">
      <c r="M538">
        <v>531</v>
      </c>
      <c r="N538">
        <v>104157.16600004774</v>
      </c>
      <c r="O538">
        <v>10771.410710528999</v>
      </c>
      <c r="P538">
        <v>13998.385338617933</v>
      </c>
      <c r="Q538">
        <v>8078.1759360859069</v>
      </c>
      <c r="R538">
        <v>24638.043857080309</v>
      </c>
      <c r="S538">
        <v>16140.992796052709</v>
      </c>
      <c r="T538">
        <v>29435.011714997749</v>
      </c>
    </row>
    <row r="539" spans="13:20">
      <c r="M539">
        <v>532</v>
      </c>
      <c r="N539">
        <v>99888.986861933576</v>
      </c>
      <c r="O539">
        <v>11559.814687139584</v>
      </c>
      <c r="P539">
        <v>12847.3063908202</v>
      </c>
      <c r="Q539">
        <v>7887.1754726137433</v>
      </c>
      <c r="R539">
        <v>22321.061979171678</v>
      </c>
      <c r="S539">
        <v>15192.705717496479</v>
      </c>
      <c r="T539">
        <v>29189.446557054165</v>
      </c>
    </row>
    <row r="540" spans="13:20">
      <c r="M540">
        <v>533</v>
      </c>
      <c r="N540">
        <v>100281.41900597021</v>
      </c>
      <c r="O540">
        <v>11035.742407639354</v>
      </c>
      <c r="P540">
        <v>14031.402021229298</v>
      </c>
      <c r="Q540">
        <v>8675.1421499698881</v>
      </c>
      <c r="R540">
        <v>20287.628698965709</v>
      </c>
      <c r="S540">
        <v>15168.92580450334</v>
      </c>
      <c r="T540">
        <v>29892.112799202347</v>
      </c>
    </row>
    <row r="541" spans="13:20">
      <c r="M541">
        <v>534</v>
      </c>
      <c r="N541">
        <v>99013.070123617232</v>
      </c>
      <c r="O541">
        <v>10967.027729509278</v>
      </c>
      <c r="P541">
        <v>11991.355062629855</v>
      </c>
      <c r="Q541">
        <v>7797.8052415856964</v>
      </c>
      <c r="R541">
        <v>21150.850448272864</v>
      </c>
      <c r="S541">
        <v>15921.664298551166</v>
      </c>
      <c r="T541">
        <v>30223.645687703509</v>
      </c>
    </row>
    <row r="542" spans="13:20">
      <c r="M542">
        <v>535</v>
      </c>
      <c r="N542">
        <v>97663.96342975978</v>
      </c>
      <c r="O542">
        <v>11197.891630764118</v>
      </c>
      <c r="P542">
        <v>11900.815550638414</v>
      </c>
      <c r="Q542">
        <v>7066.1082867232062</v>
      </c>
      <c r="R542">
        <v>21239.927216929456</v>
      </c>
      <c r="S542">
        <v>15409.579669467688</v>
      </c>
      <c r="T542">
        <v>29736.939289817055</v>
      </c>
    </row>
    <row r="543" spans="13:20">
      <c r="M543">
        <v>536</v>
      </c>
      <c r="N543">
        <v>100777.35204608388</v>
      </c>
      <c r="O543">
        <v>11175.089738610364</v>
      </c>
      <c r="P543">
        <v>12808.871960962972</v>
      </c>
      <c r="Q543">
        <v>6890.478863652711</v>
      </c>
      <c r="R543">
        <v>22679.712410948563</v>
      </c>
      <c r="S543">
        <v>16271.748205112306</v>
      </c>
      <c r="T543">
        <v>30073.413810747694</v>
      </c>
    </row>
    <row r="544" spans="13:20">
      <c r="M544">
        <v>537</v>
      </c>
      <c r="N544">
        <v>101232.21084910077</v>
      </c>
      <c r="O544">
        <v>11205.171040689864</v>
      </c>
      <c r="P544">
        <v>12686.517160446574</v>
      </c>
      <c r="Q544">
        <v>7724.9695564742888</v>
      </c>
      <c r="R544">
        <v>24160.91120217702</v>
      </c>
      <c r="S544">
        <v>15298.037971357298</v>
      </c>
      <c r="T544">
        <v>29240.569087125554</v>
      </c>
    </row>
    <row r="545" spans="13:20">
      <c r="M545">
        <v>538</v>
      </c>
      <c r="N545">
        <v>99130.679601369018</v>
      </c>
      <c r="O545">
        <v>11033.111647926737</v>
      </c>
      <c r="P545">
        <v>12940.653069625947</v>
      </c>
      <c r="Q545">
        <v>7865.6740424305335</v>
      </c>
      <c r="R545">
        <v>20508.150032174544</v>
      </c>
      <c r="S545">
        <v>16498.19482244135</v>
      </c>
      <c r="T545">
        <v>29296.485301476376</v>
      </c>
    </row>
    <row r="546" spans="13:20">
      <c r="M546">
        <v>539</v>
      </c>
      <c r="N546">
        <v>98219.659933591596</v>
      </c>
      <c r="O546">
        <v>11218.865383357221</v>
      </c>
      <c r="P546">
        <v>12671.312535872576</v>
      </c>
      <c r="Q546">
        <v>7745.4975425810289</v>
      </c>
      <c r="R546">
        <v>21093.738588896311</v>
      </c>
      <c r="S546">
        <v>15310.969421286773</v>
      </c>
      <c r="T546">
        <v>29242.083965399674</v>
      </c>
    </row>
    <row r="547" spans="13:20">
      <c r="M547">
        <v>540</v>
      </c>
      <c r="N547">
        <v>102290.90533311998</v>
      </c>
      <c r="O547">
        <v>10961.636764940242</v>
      </c>
      <c r="P547">
        <v>14090.754461965891</v>
      </c>
      <c r="Q547">
        <v>7872.950961547489</v>
      </c>
      <c r="R547">
        <v>23146.164034625028</v>
      </c>
      <c r="S547">
        <v>15768.989752672765</v>
      </c>
      <c r="T547">
        <v>29277.071376659031</v>
      </c>
    </row>
    <row r="548" spans="13:20">
      <c r="M548">
        <v>541</v>
      </c>
      <c r="N548">
        <v>99469.045679057497</v>
      </c>
      <c r="O548">
        <v>11207.203353240327</v>
      </c>
      <c r="P548">
        <v>11759.334447487747</v>
      </c>
      <c r="Q548">
        <v>7325.7251899709327</v>
      </c>
      <c r="R548">
        <v>23493.585597599125</v>
      </c>
      <c r="S548">
        <v>15774.463531886931</v>
      </c>
      <c r="T548">
        <v>28897.296731803617</v>
      </c>
    </row>
    <row r="549" spans="13:20">
      <c r="M549">
        <v>542</v>
      </c>
      <c r="N549">
        <v>100620.67324754846</v>
      </c>
      <c r="O549">
        <v>11340.173204056427</v>
      </c>
      <c r="P549">
        <v>12531.661029352756</v>
      </c>
      <c r="Q549">
        <v>7087.3161337005122</v>
      </c>
      <c r="R549">
        <v>23082.001859345837</v>
      </c>
      <c r="S549">
        <v>15755.601318432018</v>
      </c>
      <c r="T549">
        <v>29797.332164330252</v>
      </c>
    </row>
    <row r="550" spans="13:20">
      <c r="M550">
        <v>543</v>
      </c>
      <c r="N550">
        <v>97161.510650609125</v>
      </c>
      <c r="O550">
        <v>10977.772143431694</v>
      </c>
      <c r="P550">
        <v>12434.685818546595</v>
      </c>
      <c r="Q550">
        <v>7252.4152131306182</v>
      </c>
      <c r="R550">
        <v>20590.332149211696</v>
      </c>
      <c r="S550">
        <v>15712.854245356992</v>
      </c>
      <c r="T550">
        <v>29249.591185910376</v>
      </c>
    </row>
    <row r="551" spans="13:20">
      <c r="M551">
        <v>544</v>
      </c>
      <c r="N551">
        <v>99030.116479592994</v>
      </c>
      <c r="O551">
        <v>11648.711542812458</v>
      </c>
      <c r="P551">
        <v>13240.577118473073</v>
      </c>
      <c r="Q551">
        <v>7378.8623931055981</v>
      </c>
      <c r="R551">
        <v>20399.362073543896</v>
      </c>
      <c r="S551">
        <v>15752.249346727283</v>
      </c>
      <c r="T551">
        <v>29616.169071435081</v>
      </c>
    </row>
    <row r="552" spans="13:20">
      <c r="M552">
        <v>545</v>
      </c>
      <c r="N552">
        <v>100813.25142425405</v>
      </c>
      <c r="O552">
        <v>11065.708240775686</v>
      </c>
      <c r="P552">
        <v>12202.560116264704</v>
      </c>
      <c r="Q552">
        <v>7346.7383213802023</v>
      </c>
      <c r="R552">
        <v>24147.298514178408</v>
      </c>
      <c r="S552">
        <v>15712.348186338331</v>
      </c>
      <c r="T552">
        <v>29393.046761070313</v>
      </c>
    </row>
    <row r="553" spans="13:20">
      <c r="M553">
        <v>546</v>
      </c>
      <c r="N553">
        <v>99753.695992976194</v>
      </c>
      <c r="O553">
        <v>11245.945416338373</v>
      </c>
      <c r="P553">
        <v>12667.192076140567</v>
      </c>
      <c r="Q553">
        <v>8153.0331855589993</v>
      </c>
      <c r="R553">
        <v>20886.637553546105</v>
      </c>
      <c r="S553">
        <v>15924.146146546236</v>
      </c>
      <c r="T553">
        <v>30101.530200870457</v>
      </c>
    </row>
    <row r="554" spans="13:20">
      <c r="M554">
        <v>547</v>
      </c>
      <c r="N554">
        <v>98791.950800280611</v>
      </c>
      <c r="O554">
        <v>11495.425436595937</v>
      </c>
      <c r="P554">
        <v>12140.75710432113</v>
      </c>
      <c r="Q554">
        <v>7349.5516357295764</v>
      </c>
      <c r="R554">
        <v>20284.111858710843</v>
      </c>
      <c r="S554">
        <v>15791.264327926514</v>
      </c>
      <c r="T554">
        <v>30681.04758151307</v>
      </c>
    </row>
    <row r="555" spans="13:20">
      <c r="M555">
        <v>548</v>
      </c>
      <c r="N555">
        <v>100220.77200382414</v>
      </c>
      <c r="O555">
        <v>11192.728519134856</v>
      </c>
      <c r="P555">
        <v>12178.919795278198</v>
      </c>
      <c r="Q555">
        <v>7216.6135633648619</v>
      </c>
      <c r="R555">
        <v>21718.296509814805</v>
      </c>
      <c r="S555">
        <v>16351.017467877198</v>
      </c>
      <c r="T555">
        <v>30381.022055642523</v>
      </c>
    </row>
    <row r="556" spans="13:20">
      <c r="M556">
        <v>549</v>
      </c>
      <c r="N556">
        <v>98006.360718602897</v>
      </c>
      <c r="O556">
        <v>11009.102102863328</v>
      </c>
      <c r="P556">
        <v>11906.028442582798</v>
      </c>
      <c r="Q556">
        <v>7460.7486570659457</v>
      </c>
      <c r="R556">
        <v>21824.164781529471</v>
      </c>
      <c r="S556">
        <v>15456.870803448805</v>
      </c>
      <c r="T556">
        <v>29346.236740028828</v>
      </c>
    </row>
    <row r="557" spans="13:20">
      <c r="M557">
        <v>550</v>
      </c>
      <c r="N557">
        <v>95594.042709404559</v>
      </c>
      <c r="O557">
        <v>11229.173937170603</v>
      </c>
      <c r="P557">
        <v>11310.204869198271</v>
      </c>
      <c r="Q557">
        <v>7013.6941563581786</v>
      </c>
      <c r="R557">
        <v>20961.483524945615</v>
      </c>
      <c r="S557">
        <v>15307.281090450879</v>
      </c>
      <c r="T557">
        <v>28894.065288618654</v>
      </c>
    </row>
    <row r="558" spans="13:20">
      <c r="M558">
        <v>551</v>
      </c>
      <c r="N558">
        <v>96782.894241403294</v>
      </c>
      <c r="O558">
        <v>11125.014052558892</v>
      </c>
      <c r="P558">
        <v>11266.307510658877</v>
      </c>
      <c r="Q558">
        <v>6777.1707690852591</v>
      </c>
      <c r="R558">
        <v>21757.997718019007</v>
      </c>
      <c r="S558">
        <v>15843.555828170309</v>
      </c>
      <c r="T558">
        <v>29119.784148188442</v>
      </c>
    </row>
    <row r="559" spans="13:20">
      <c r="M559">
        <v>552</v>
      </c>
      <c r="N559">
        <v>99425.098188131626</v>
      </c>
      <c r="O559">
        <v>11702.432786068966</v>
      </c>
      <c r="P559">
        <v>13385.039286814907</v>
      </c>
      <c r="Q559">
        <v>7336.4341044627472</v>
      </c>
      <c r="R559">
        <v>20898.9501875688</v>
      </c>
      <c r="S559">
        <v>15612.613824054912</v>
      </c>
      <c r="T559">
        <v>29669.579114614786</v>
      </c>
    </row>
    <row r="560" spans="13:20">
      <c r="M560">
        <v>553</v>
      </c>
      <c r="N560">
        <v>98809.440004758872</v>
      </c>
      <c r="O560">
        <v>11432.210468429143</v>
      </c>
      <c r="P560">
        <v>12838.247529054694</v>
      </c>
      <c r="Q560">
        <v>7002.4099642057563</v>
      </c>
      <c r="R560">
        <v>20990.189585557175</v>
      </c>
      <c r="S560">
        <v>16145.291530157952</v>
      </c>
      <c r="T560">
        <v>29434.188189483946</v>
      </c>
    </row>
    <row r="561" spans="13:20">
      <c r="M561">
        <v>554</v>
      </c>
      <c r="N561">
        <v>99988.462415181348</v>
      </c>
      <c r="O561">
        <v>10944.273706178035</v>
      </c>
      <c r="P561">
        <v>12144.907974731912</v>
      </c>
      <c r="Q561">
        <v>7712.5677869606598</v>
      </c>
      <c r="R561">
        <v>22349.560164259965</v>
      </c>
      <c r="S561">
        <v>15781.149871319052</v>
      </c>
      <c r="T561">
        <v>30044.028966041878</v>
      </c>
    </row>
    <row r="562" spans="13:20">
      <c r="M562">
        <v>555</v>
      </c>
      <c r="N562">
        <v>97187.013739730304</v>
      </c>
      <c r="O562">
        <v>10677.059046411974</v>
      </c>
      <c r="P562">
        <v>11124.916834691274</v>
      </c>
      <c r="Q562">
        <v>7710.432334389584</v>
      </c>
      <c r="R562">
        <v>22068.917810415744</v>
      </c>
      <c r="S562">
        <v>16277.912024964762</v>
      </c>
      <c r="T562">
        <v>28592.143205129094</v>
      </c>
    </row>
    <row r="563" spans="13:20">
      <c r="M563">
        <v>556</v>
      </c>
      <c r="N563">
        <v>98329.486234771495</v>
      </c>
      <c r="O563">
        <v>11460.758543673501</v>
      </c>
      <c r="P563">
        <v>12087.116606108846</v>
      </c>
      <c r="Q563">
        <v>7146.1593184613057</v>
      </c>
      <c r="R563">
        <v>20864.239860494592</v>
      </c>
      <c r="S563">
        <v>15422.270424378519</v>
      </c>
      <c r="T563">
        <v>30465.193318458078</v>
      </c>
    </row>
    <row r="564" spans="13:20">
      <c r="M564">
        <v>557</v>
      </c>
      <c r="N564">
        <v>101868.82184335269</v>
      </c>
      <c r="O564">
        <v>11908.16961136562</v>
      </c>
      <c r="P564">
        <v>13512.750813524393</v>
      </c>
      <c r="Q564">
        <v>7281.3967366806964</v>
      </c>
      <c r="R564">
        <v>22459.466809667094</v>
      </c>
      <c r="S564">
        <v>16048.819402945566</v>
      </c>
      <c r="T564">
        <v>29741.337244552073</v>
      </c>
    </row>
    <row r="565" spans="13:20">
      <c r="M565">
        <v>558</v>
      </c>
      <c r="N565">
        <v>101992.16931262973</v>
      </c>
      <c r="O565">
        <v>10975.071727550272</v>
      </c>
      <c r="P565">
        <v>12292.030120323227</v>
      </c>
      <c r="Q565">
        <v>7810.6191128158243</v>
      </c>
      <c r="R565">
        <v>24013.46148064714</v>
      </c>
      <c r="S565">
        <v>16302.477523190315</v>
      </c>
      <c r="T565">
        <v>29455.522381021336</v>
      </c>
    </row>
    <row r="566" spans="13:20">
      <c r="M566">
        <v>559</v>
      </c>
      <c r="N566">
        <v>100616.85802691043</v>
      </c>
      <c r="O566">
        <v>11092.746429228117</v>
      </c>
      <c r="P566">
        <v>11535.449716141389</v>
      </c>
      <c r="Q566">
        <v>8113.6177288049721</v>
      </c>
      <c r="R566">
        <v>23446.693064583447</v>
      </c>
      <c r="S566">
        <v>16250.474470331361</v>
      </c>
      <c r="T566">
        <v>29143.554435899139</v>
      </c>
    </row>
    <row r="567" spans="13:20">
      <c r="M567">
        <v>560</v>
      </c>
      <c r="N567">
        <v>101417.47577208826</v>
      </c>
      <c r="O567">
        <v>10942.936752586342</v>
      </c>
      <c r="P567">
        <v>12712.603360250809</v>
      </c>
      <c r="Q567">
        <v>8003.0115956090613</v>
      </c>
      <c r="R567">
        <v>22557.461117152154</v>
      </c>
      <c r="S567">
        <v>16182.468134697701</v>
      </c>
      <c r="T567">
        <v>29923.867573567484</v>
      </c>
    </row>
    <row r="568" spans="13:20">
      <c r="M568">
        <v>561</v>
      </c>
      <c r="N568">
        <v>99655.379851717269</v>
      </c>
      <c r="O568">
        <v>10958.867724810316</v>
      </c>
      <c r="P568">
        <v>11645.395878961255</v>
      </c>
      <c r="Q568">
        <v>7930.8639973554882</v>
      </c>
      <c r="R568">
        <v>21997.25048915116</v>
      </c>
      <c r="S568">
        <v>16224.832505070604</v>
      </c>
      <c r="T568">
        <v>29751.978212330232</v>
      </c>
    </row>
    <row r="569" spans="13:20">
      <c r="M569">
        <v>562</v>
      </c>
      <c r="N569">
        <v>98621.761013306983</v>
      </c>
      <c r="O569">
        <v>10813.767502174727</v>
      </c>
      <c r="P569">
        <v>11749.182246116368</v>
      </c>
      <c r="Q569">
        <v>7480.1328559419781</v>
      </c>
      <c r="R569">
        <v>21520.96747799361</v>
      </c>
      <c r="S569">
        <v>15978.301894043037</v>
      </c>
      <c r="T569">
        <v>30054.529112882785</v>
      </c>
    </row>
    <row r="570" spans="13:20">
      <c r="M570">
        <v>563</v>
      </c>
      <c r="N570">
        <v>103070.93287366614</v>
      </c>
      <c r="O570">
        <v>12077.824282568483</v>
      </c>
      <c r="P570">
        <v>12707.56755968108</v>
      </c>
      <c r="Q570">
        <v>7872.827248760138</v>
      </c>
      <c r="R570">
        <v>22948.611834225441</v>
      </c>
      <c r="S570">
        <v>15915.314587617035</v>
      </c>
      <c r="T570">
        <v>30279.090734116944</v>
      </c>
    </row>
    <row r="571" spans="13:20">
      <c r="M571">
        <v>564</v>
      </c>
      <c r="N571">
        <v>97494.306484128479</v>
      </c>
      <c r="O571">
        <v>10758.819491152313</v>
      </c>
      <c r="P571">
        <v>11645.377791526753</v>
      </c>
      <c r="Q571">
        <v>7562.3868633228567</v>
      </c>
      <c r="R571">
        <v>21458.843418670862</v>
      </c>
      <c r="S571">
        <v>15584.135518974648</v>
      </c>
      <c r="T571">
        <v>29339.184180608314</v>
      </c>
    </row>
    <row r="572" spans="13:20">
      <c r="M572">
        <v>565</v>
      </c>
      <c r="N572">
        <v>98918.036256339838</v>
      </c>
      <c r="O572">
        <v>10872.023347128754</v>
      </c>
      <c r="P572">
        <v>12230.752500215014</v>
      </c>
      <c r="Q572">
        <v>7840.1555047062266</v>
      </c>
      <c r="R572">
        <v>21481.090511178259</v>
      </c>
      <c r="S572">
        <v>15791.432060359233</v>
      </c>
      <c r="T572">
        <v>29780.052976321567</v>
      </c>
    </row>
    <row r="573" spans="13:20">
      <c r="M573">
        <v>566</v>
      </c>
      <c r="N573">
        <v>98815.307509008446</v>
      </c>
      <c r="O573">
        <v>10932.453127251192</v>
      </c>
      <c r="P573">
        <v>12288.543333264548</v>
      </c>
      <c r="Q573">
        <v>8149.3608842666372</v>
      </c>
      <c r="R573">
        <v>21063.398461462366</v>
      </c>
      <c r="S573">
        <v>16042.735849042951</v>
      </c>
      <c r="T573">
        <v>29274.145710536941</v>
      </c>
    </row>
    <row r="574" spans="13:20">
      <c r="M574">
        <v>567</v>
      </c>
      <c r="N574">
        <v>100652.74258191907</v>
      </c>
      <c r="O574">
        <v>11458.850860205177</v>
      </c>
      <c r="P574">
        <v>12146.436810031371</v>
      </c>
      <c r="Q574">
        <v>7042.5656284153547</v>
      </c>
      <c r="R574">
        <v>24251.591505906588</v>
      </c>
      <c r="S574">
        <v>16058.566981782644</v>
      </c>
      <c r="T574">
        <v>28778.860587979951</v>
      </c>
    </row>
    <row r="575" spans="13:20">
      <c r="M575">
        <v>568</v>
      </c>
      <c r="N575">
        <v>99953.780418616589</v>
      </c>
      <c r="O575">
        <v>11378.56103490749</v>
      </c>
      <c r="P575">
        <v>11699.778835345785</v>
      </c>
      <c r="Q575">
        <v>7352.8826732599327</v>
      </c>
      <c r="R575">
        <v>21724.117848865051</v>
      </c>
      <c r="S575">
        <v>16513.943063600913</v>
      </c>
      <c r="T575">
        <v>30364.641053869756</v>
      </c>
    </row>
    <row r="576" spans="13:20">
      <c r="M576">
        <v>569</v>
      </c>
      <c r="N576">
        <v>98005.991612656449</v>
      </c>
      <c r="O576">
        <v>11271.746922115777</v>
      </c>
      <c r="P576">
        <v>11495.654405319576</v>
      </c>
      <c r="Q576">
        <v>8398.5922233356687</v>
      </c>
      <c r="R576">
        <v>20743.53498871288</v>
      </c>
      <c r="S576">
        <v>15877.273251031578</v>
      </c>
      <c r="T576">
        <v>29107.026036361916</v>
      </c>
    </row>
    <row r="577" spans="13:20">
      <c r="M577">
        <v>570</v>
      </c>
      <c r="N577">
        <v>98324.022545794971</v>
      </c>
      <c r="O577">
        <v>11198.846076923734</v>
      </c>
      <c r="P577">
        <v>11567.289844171542</v>
      </c>
      <c r="Q577">
        <v>7051.0845575585736</v>
      </c>
      <c r="R577">
        <v>22470.807759289091</v>
      </c>
      <c r="S577">
        <v>15015.175416881759</v>
      </c>
      <c r="T577">
        <v>30172.477376474133</v>
      </c>
    </row>
    <row r="578" spans="13:20">
      <c r="M578">
        <v>571</v>
      </c>
      <c r="N578">
        <v>98978.481305762805</v>
      </c>
      <c r="O578">
        <v>11056.801669441627</v>
      </c>
      <c r="P578">
        <v>11938.237101355389</v>
      </c>
      <c r="Q578">
        <v>7121.6794931492195</v>
      </c>
      <c r="R578">
        <v>22232.520424520451</v>
      </c>
      <c r="S578">
        <v>15820.056975159214</v>
      </c>
      <c r="T578">
        <v>29810.94622239843</v>
      </c>
    </row>
    <row r="579" spans="13:20">
      <c r="M579">
        <v>572</v>
      </c>
      <c r="N579">
        <v>99219.051521151676</v>
      </c>
      <c r="O579">
        <v>11163.503338503288</v>
      </c>
      <c r="P579">
        <v>11280.441110085885</v>
      </c>
      <c r="Q579">
        <v>7931.6632162938795</v>
      </c>
      <c r="R579">
        <v>22299.823183629393</v>
      </c>
      <c r="S579">
        <v>16115.8824730633</v>
      </c>
      <c r="T579">
        <v>29528.299887777273</v>
      </c>
    </row>
    <row r="580" spans="13:20">
      <c r="M580">
        <v>573</v>
      </c>
      <c r="N580">
        <v>98912.128506231864</v>
      </c>
      <c r="O580">
        <v>10956.856360190159</v>
      </c>
      <c r="P580">
        <v>11673.221759145614</v>
      </c>
      <c r="Q580">
        <v>7484.5576530685112</v>
      </c>
      <c r="R580">
        <v>22998.98382367842</v>
      </c>
      <c r="S580">
        <v>15823.916789250066</v>
      </c>
      <c r="T580">
        <v>29094.334827044171</v>
      </c>
    </row>
    <row r="581" spans="13:20">
      <c r="M581">
        <v>574</v>
      </c>
      <c r="N581">
        <v>97105.347719568337</v>
      </c>
      <c r="O581">
        <v>11318.300639686629</v>
      </c>
      <c r="P581">
        <v>12281.085781836726</v>
      </c>
      <c r="Q581">
        <v>7213.042853960399</v>
      </c>
      <c r="R581">
        <v>20893.38432524044</v>
      </c>
      <c r="S581">
        <v>15112.000589528005</v>
      </c>
      <c r="T581">
        <v>29279.640656152977</v>
      </c>
    </row>
    <row r="582" spans="13:20">
      <c r="M582">
        <v>575</v>
      </c>
      <c r="N582">
        <v>99942.215993379621</v>
      </c>
      <c r="O582">
        <v>11311.031303212812</v>
      </c>
      <c r="P582">
        <v>10886.740563969321</v>
      </c>
      <c r="Q582">
        <v>7137.5147169073107</v>
      </c>
      <c r="R582">
        <v>24325.006336050254</v>
      </c>
      <c r="S582">
        <v>16198.130250719443</v>
      </c>
      <c r="T582">
        <v>29021.898399419504</v>
      </c>
    </row>
    <row r="583" spans="13:20">
      <c r="M583">
        <v>576</v>
      </c>
      <c r="N583">
        <v>100684.25377637474</v>
      </c>
      <c r="O583">
        <v>11064.612721865135</v>
      </c>
      <c r="P583">
        <v>12358.536706148807</v>
      </c>
      <c r="Q583">
        <v>7703.0577911353557</v>
      </c>
      <c r="R583">
        <v>24006.510531140571</v>
      </c>
      <c r="S583">
        <v>14874.992092105169</v>
      </c>
      <c r="T583">
        <v>29676.166571835231</v>
      </c>
    </row>
    <row r="584" spans="13:20">
      <c r="M584">
        <v>577</v>
      </c>
      <c r="N584">
        <v>103308.94184468999</v>
      </c>
      <c r="O584">
        <v>11322.609061484522</v>
      </c>
      <c r="P584">
        <v>12638.957240076812</v>
      </c>
      <c r="Q584">
        <v>7787.9190310052372</v>
      </c>
      <c r="R584">
        <v>24385.808366171626</v>
      </c>
      <c r="S584">
        <v>15552.990105293355</v>
      </c>
      <c r="T584">
        <v>30548.951092790143</v>
      </c>
    </row>
    <row r="585" spans="13:20">
      <c r="M585">
        <v>578</v>
      </c>
      <c r="N585">
        <v>100181.50241034315</v>
      </c>
      <c r="O585">
        <v>11065.734690696525</v>
      </c>
      <c r="P585">
        <v>11970.979477306961</v>
      </c>
      <c r="Q585">
        <v>8154.6469711931404</v>
      </c>
      <c r="R585">
        <v>22261.935207628925</v>
      </c>
      <c r="S585">
        <v>15965.494601825996</v>
      </c>
      <c r="T585">
        <v>29631.160742322514</v>
      </c>
    </row>
    <row r="586" spans="13:20">
      <c r="M586">
        <v>579</v>
      </c>
      <c r="N586">
        <v>101182.90737276079</v>
      </c>
      <c r="O586">
        <v>11482.74431203781</v>
      </c>
      <c r="P586">
        <v>11462.927949335432</v>
      </c>
      <c r="Q586">
        <v>7961.8396040400539</v>
      </c>
      <c r="R586">
        <v>24032.138354273866</v>
      </c>
      <c r="S586">
        <v>15432.764889871842</v>
      </c>
      <c r="T586">
        <v>29878.855068645109</v>
      </c>
    </row>
    <row r="587" spans="13:20">
      <c r="M587">
        <v>580</v>
      </c>
      <c r="N587">
        <v>102402.27016668764</v>
      </c>
      <c r="O587">
        <v>11019.124509666861</v>
      </c>
      <c r="P587">
        <v>12126.13492424069</v>
      </c>
      <c r="Q587">
        <v>8216.4258839267768</v>
      </c>
      <c r="R587">
        <v>23705.58298453423</v>
      </c>
      <c r="S587">
        <v>15849.127876065832</v>
      </c>
      <c r="T587">
        <v>30485.498950801099</v>
      </c>
    </row>
    <row r="588" spans="13:20">
      <c r="M588">
        <v>581</v>
      </c>
      <c r="N588">
        <v>100573.39732317168</v>
      </c>
      <c r="O588">
        <v>10668.549722272957</v>
      </c>
      <c r="P588">
        <v>12297.200523789556</v>
      </c>
      <c r="Q588">
        <v>8008.2440615802461</v>
      </c>
      <c r="R588">
        <v>23551.694315657027</v>
      </c>
      <c r="S588">
        <v>15459.043778765215</v>
      </c>
      <c r="T588">
        <v>29539.611682930368</v>
      </c>
    </row>
    <row r="589" spans="13:20">
      <c r="M589">
        <v>582</v>
      </c>
      <c r="N589">
        <v>99590.612590711811</v>
      </c>
      <c r="O589">
        <v>10871.275508558871</v>
      </c>
      <c r="P589">
        <v>11830.60670728418</v>
      </c>
      <c r="Q589">
        <v>7903.3699763128998</v>
      </c>
      <c r="R589">
        <v>22127.292448916025</v>
      </c>
      <c r="S589">
        <v>15925.832271269328</v>
      </c>
      <c r="T589">
        <v>30085.369664381873</v>
      </c>
    </row>
    <row r="590" spans="13:20">
      <c r="M590">
        <v>583</v>
      </c>
      <c r="N590">
        <v>99802.007269943977</v>
      </c>
      <c r="O590">
        <v>11184.457085959591</v>
      </c>
      <c r="P590">
        <v>12542.610460879147</v>
      </c>
      <c r="Q590">
        <v>7399.4834553729161</v>
      </c>
      <c r="R590">
        <v>23077.080022218201</v>
      </c>
      <c r="S590">
        <v>15977.11650761382</v>
      </c>
      <c r="T590">
        <v>28622.53677953051</v>
      </c>
    </row>
    <row r="591" spans="13:20">
      <c r="M591">
        <v>584</v>
      </c>
      <c r="N591">
        <v>99150.681214893266</v>
      </c>
      <c r="O591">
        <v>11435.143897038368</v>
      </c>
      <c r="P591">
        <v>11794.152355572847</v>
      </c>
      <c r="Q591">
        <v>7866.6074604179548</v>
      </c>
      <c r="R591">
        <v>22016.239461657868</v>
      </c>
      <c r="S591">
        <v>15418.687290146816</v>
      </c>
      <c r="T591">
        <v>29554.789096759716</v>
      </c>
    </row>
    <row r="592" spans="13:20">
      <c r="M592">
        <v>585</v>
      </c>
      <c r="N592">
        <v>97271.356791681363</v>
      </c>
      <c r="O592">
        <v>11086.35813452239</v>
      </c>
      <c r="P592">
        <v>11824.149250222912</v>
      </c>
      <c r="Q592">
        <v>7431.0281347033388</v>
      </c>
      <c r="R592">
        <v>22311.353269193947</v>
      </c>
      <c r="S592">
        <v>15155.430638269256</v>
      </c>
      <c r="T592">
        <v>28595.752606075366</v>
      </c>
    </row>
    <row r="593" spans="13:20">
      <c r="M593">
        <v>586</v>
      </c>
      <c r="N593">
        <v>100557.63232911174</v>
      </c>
      <c r="O593">
        <v>11144.032165555695</v>
      </c>
      <c r="P593">
        <v>12100.608956058579</v>
      </c>
      <c r="Q593">
        <v>7872.9160205460412</v>
      </c>
      <c r="R593">
        <v>22923.566326479606</v>
      </c>
      <c r="S593">
        <v>15582.074774076007</v>
      </c>
      <c r="T593">
        <v>29894.078230384424</v>
      </c>
    </row>
    <row r="594" spans="13:20">
      <c r="M594">
        <v>587</v>
      </c>
      <c r="N594">
        <v>98024.380359194562</v>
      </c>
      <c r="O594">
        <v>11070.041654126915</v>
      </c>
      <c r="P594">
        <v>12745.217972521823</v>
      </c>
      <c r="Q594">
        <v>7639.0016418326786</v>
      </c>
      <c r="R594">
        <v>20477.770002211055</v>
      </c>
      <c r="S594">
        <v>14958.743265504347</v>
      </c>
      <c r="T594">
        <v>30043.202329314987</v>
      </c>
    </row>
    <row r="595" spans="13:20">
      <c r="M595">
        <v>588</v>
      </c>
      <c r="N595">
        <v>97414.747794674768</v>
      </c>
      <c r="O595">
        <v>11066.243909893556</v>
      </c>
      <c r="P595">
        <v>12135.133429026919</v>
      </c>
      <c r="Q595">
        <v>7287.4119335501109</v>
      </c>
      <c r="R595">
        <v>21353.547331921527</v>
      </c>
      <c r="S595">
        <v>15545.993183246199</v>
      </c>
      <c r="T595">
        <v>29166.080979676499</v>
      </c>
    </row>
    <row r="596" spans="13:20">
      <c r="M596">
        <v>589</v>
      </c>
      <c r="N596">
        <v>100553.5777652057</v>
      </c>
      <c r="O596">
        <v>11057.298734977945</v>
      </c>
      <c r="P596">
        <v>12285.322998626798</v>
      </c>
      <c r="Q596">
        <v>7547.9266072342589</v>
      </c>
      <c r="R596">
        <v>22664.332344644918</v>
      </c>
      <c r="S596">
        <v>15867.710034829362</v>
      </c>
      <c r="T596">
        <v>30329.680874409252</v>
      </c>
    </row>
    <row r="597" spans="13:20">
      <c r="M597">
        <v>590</v>
      </c>
      <c r="N597">
        <v>98000.065210517365</v>
      </c>
      <c r="O597">
        <v>10841.864808383418</v>
      </c>
      <c r="P597">
        <v>11978.213824573173</v>
      </c>
      <c r="Q597">
        <v>7016.8767537242857</v>
      </c>
      <c r="R597">
        <v>22295.349482712914</v>
      </c>
      <c r="S597">
        <v>15461.404016239856</v>
      </c>
      <c r="T597">
        <v>29362.825618709401</v>
      </c>
    </row>
    <row r="598" spans="13:20">
      <c r="M598">
        <v>591</v>
      </c>
      <c r="N598">
        <v>99146.215654072148</v>
      </c>
      <c r="O598">
        <v>11092.306154207334</v>
      </c>
      <c r="P598">
        <v>11682.37308701935</v>
      </c>
      <c r="Q598">
        <v>7710.8332532810327</v>
      </c>
      <c r="R598">
        <v>22272.225236420287</v>
      </c>
      <c r="S598">
        <v>16106.420614002396</v>
      </c>
      <c r="T598">
        <v>29300.54531698225</v>
      </c>
    </row>
    <row r="599" spans="13:20">
      <c r="M599">
        <v>592</v>
      </c>
      <c r="N599">
        <v>100089.41939209335</v>
      </c>
      <c r="O599">
        <v>11302.15015136588</v>
      </c>
      <c r="P599">
        <v>11381.132536666701</v>
      </c>
      <c r="Q599">
        <v>8338.2451700974416</v>
      </c>
      <c r="R599">
        <v>21438.399820059003</v>
      </c>
      <c r="S599">
        <v>16100.140476920547</v>
      </c>
      <c r="T599">
        <v>30749.981637228102</v>
      </c>
    </row>
    <row r="600" spans="13:20">
      <c r="M600">
        <v>593</v>
      </c>
      <c r="N600">
        <v>100068.72550811672</v>
      </c>
      <c r="O600">
        <v>11148.081141187209</v>
      </c>
      <c r="P600">
        <v>12368.358221027676</v>
      </c>
      <c r="Q600">
        <v>7837.7395068065107</v>
      </c>
      <c r="R600">
        <v>22474.653840693722</v>
      </c>
      <c r="S600">
        <v>15474.920872000177</v>
      </c>
      <c r="T600">
        <v>29835.445818560474</v>
      </c>
    </row>
    <row r="601" spans="13:20">
      <c r="M601">
        <v>594</v>
      </c>
      <c r="N601">
        <v>98886.338747447793</v>
      </c>
      <c r="O601">
        <v>10835.218183859752</v>
      </c>
      <c r="P601">
        <v>11706.78912402923</v>
      </c>
      <c r="Q601">
        <v>7383.4641514106834</v>
      </c>
      <c r="R601">
        <v>22923.430846090563</v>
      </c>
      <c r="S601">
        <v>15753.085475999789</v>
      </c>
      <c r="T601">
        <v>29226.292639001051</v>
      </c>
    </row>
    <row r="602" spans="13:20">
      <c r="M602">
        <v>595</v>
      </c>
      <c r="N602">
        <v>101027.80369112767</v>
      </c>
      <c r="O602">
        <v>10883.988491301288</v>
      </c>
      <c r="P602">
        <v>13085.732121042265</v>
      </c>
      <c r="Q602">
        <v>7948.185883050518</v>
      </c>
      <c r="R602">
        <v>21564.560491853001</v>
      </c>
      <c r="S602">
        <v>15472.685006666212</v>
      </c>
      <c r="T602">
        <v>30991.16190757291</v>
      </c>
    </row>
    <row r="603" spans="13:20">
      <c r="M603">
        <v>596</v>
      </c>
      <c r="N603">
        <v>97578.97840422437</v>
      </c>
      <c r="O603">
        <v>11109.857455910382</v>
      </c>
      <c r="P603">
        <v>11555.888418843097</v>
      </c>
      <c r="Q603">
        <v>7129.2017409292748</v>
      </c>
      <c r="R603">
        <v>22454.444162483356</v>
      </c>
      <c r="S603">
        <v>14982.510068550024</v>
      </c>
      <c r="T603">
        <v>29486.220513767435</v>
      </c>
    </row>
    <row r="604" spans="13:20">
      <c r="M604">
        <v>597</v>
      </c>
      <c r="N604">
        <v>99075.764437314312</v>
      </c>
      <c r="O604">
        <v>11272.227853212129</v>
      </c>
      <c r="P604">
        <v>13307.347966968409</v>
      </c>
      <c r="Q604">
        <v>7866.7145185474019</v>
      </c>
      <c r="R604">
        <v>20930.375001892462</v>
      </c>
      <c r="S604">
        <v>15819.325079200293</v>
      </c>
      <c r="T604">
        <v>28805.779331263409</v>
      </c>
    </row>
    <row r="605" spans="13:20">
      <c r="M605">
        <v>598</v>
      </c>
      <c r="N605">
        <v>99766.210720843766</v>
      </c>
      <c r="O605">
        <v>11450.335782129539</v>
      </c>
      <c r="P605">
        <v>13296.200096126258</v>
      </c>
      <c r="Q605">
        <v>8201.1036036907426</v>
      </c>
      <c r="R605">
        <v>21268.030493450759</v>
      </c>
      <c r="S605">
        <v>15992.154616591846</v>
      </c>
      <c r="T605">
        <v>28816.947577325995</v>
      </c>
    </row>
    <row r="606" spans="13:20">
      <c r="M606">
        <v>599</v>
      </c>
      <c r="N606">
        <v>99374.43293997462</v>
      </c>
      <c r="O606">
        <v>11096.487978377327</v>
      </c>
      <c r="P606">
        <v>13409.866789677755</v>
      </c>
      <c r="Q606">
        <v>7119.8562070576818</v>
      </c>
      <c r="R606">
        <v>21783.273443567527</v>
      </c>
      <c r="S606">
        <v>15086.960091693341</v>
      </c>
      <c r="T606">
        <v>29874.447513260278</v>
      </c>
    </row>
    <row r="607" spans="13:20">
      <c r="M607">
        <v>600</v>
      </c>
      <c r="N607">
        <v>99466.142131856963</v>
      </c>
      <c r="O607">
        <v>11330.014156173514</v>
      </c>
      <c r="P607">
        <v>13488.66101023822</v>
      </c>
      <c r="Q607">
        <v>7288.1450077654436</v>
      </c>
      <c r="R607">
        <v>21885.054023115641</v>
      </c>
      <c r="S607">
        <v>15520.313673071634</v>
      </c>
      <c r="T607">
        <v>28842.83452739819</v>
      </c>
    </row>
    <row r="608" spans="13:20">
      <c r="M608">
        <v>601</v>
      </c>
      <c r="N608">
        <v>102358.30169963153</v>
      </c>
      <c r="O608">
        <v>11511.56196116588</v>
      </c>
      <c r="P608">
        <v>12731.803404566384</v>
      </c>
      <c r="Q608">
        <v>7875.1193108222114</v>
      </c>
      <c r="R608">
        <v>23536.149930386498</v>
      </c>
      <c r="S608">
        <v>15845.461393831087</v>
      </c>
      <c r="T608">
        <v>29675.18007801284</v>
      </c>
    </row>
    <row r="609" spans="13:20">
      <c r="M609">
        <v>602</v>
      </c>
      <c r="N609">
        <v>99256.11800821287</v>
      </c>
      <c r="O609">
        <v>10960.961928333156</v>
      </c>
      <c r="P609">
        <v>12221.516807471411</v>
      </c>
      <c r="Q609">
        <v>7814.3500555990358</v>
      </c>
      <c r="R609">
        <v>22413.886162505518</v>
      </c>
      <c r="S609">
        <v>15571.165568206561</v>
      </c>
      <c r="T609">
        <v>29377.759044499551</v>
      </c>
    </row>
    <row r="610" spans="13:20">
      <c r="M610">
        <v>603</v>
      </c>
      <c r="N610">
        <v>98753.65654520641</v>
      </c>
      <c r="O610">
        <v>11392.190220868844</v>
      </c>
      <c r="P610">
        <v>12272.888868385304</v>
      </c>
      <c r="Q610">
        <v>7892.9492916647978</v>
      </c>
      <c r="R610">
        <v>20883.341932196301</v>
      </c>
      <c r="S610">
        <v>15841.959202539561</v>
      </c>
      <c r="T610">
        <v>29387.565236620379</v>
      </c>
    </row>
    <row r="611" spans="13:20">
      <c r="M611">
        <v>604</v>
      </c>
      <c r="N611">
        <v>98915.462993299298</v>
      </c>
      <c r="O611">
        <v>11457.554197996296</v>
      </c>
      <c r="P611">
        <v>11271.643762377775</v>
      </c>
      <c r="Q611">
        <v>7665.5259760033096</v>
      </c>
      <c r="R611">
        <v>22265.216568670643</v>
      </c>
      <c r="S611">
        <v>16002.481290489766</v>
      </c>
      <c r="T611">
        <v>29332.803007576396</v>
      </c>
    </row>
    <row r="612" spans="13:20">
      <c r="M612">
        <v>605</v>
      </c>
      <c r="N612">
        <v>99312.432746536331</v>
      </c>
      <c r="O612">
        <v>10771.18356616689</v>
      </c>
      <c r="P612">
        <v>12746.000230881684</v>
      </c>
      <c r="Q612">
        <v>8036.0131979824282</v>
      </c>
      <c r="R612">
        <v>21208.011111321182</v>
      </c>
      <c r="S612">
        <v>16083.608400701902</v>
      </c>
      <c r="T612">
        <v>29561.792014592691</v>
      </c>
    </row>
    <row r="613" spans="13:20">
      <c r="M613">
        <v>606</v>
      </c>
      <c r="N613">
        <v>98848.750108486929</v>
      </c>
      <c r="O613">
        <v>10929.165467651845</v>
      </c>
      <c r="P613">
        <v>13684.827998157085</v>
      </c>
      <c r="Q613">
        <v>7540.2175837357781</v>
      </c>
      <c r="R613">
        <v>20864.252037984115</v>
      </c>
      <c r="S613">
        <v>15102.957154218599</v>
      </c>
      <c r="T613">
        <v>29647.047943569334</v>
      </c>
    </row>
    <row r="614" spans="13:20">
      <c r="M614">
        <v>607</v>
      </c>
      <c r="N614">
        <v>100396.11389924724</v>
      </c>
      <c r="O614">
        <v>11037.187317592108</v>
      </c>
      <c r="P614">
        <v>12395.697564334563</v>
      </c>
      <c r="Q614">
        <v>7357.202125083747</v>
      </c>
      <c r="R614">
        <v>24233.436890347235</v>
      </c>
      <c r="S614">
        <v>15348.074359585049</v>
      </c>
      <c r="T614">
        <v>29057.163468044375</v>
      </c>
    </row>
    <row r="615" spans="13:20">
      <c r="M615">
        <v>608</v>
      </c>
      <c r="N615">
        <v>97837.426927515102</v>
      </c>
      <c r="O615">
        <v>11381.233136924957</v>
      </c>
      <c r="P615">
        <v>11615.011824090678</v>
      </c>
      <c r="Q615">
        <v>7061.9507646728016</v>
      </c>
      <c r="R615">
        <v>22393.886209174671</v>
      </c>
      <c r="S615">
        <v>15475.262401846589</v>
      </c>
      <c r="T615">
        <v>28847.029576358993</v>
      </c>
    </row>
    <row r="616" spans="13:20">
      <c r="M616">
        <v>609</v>
      </c>
      <c r="N616">
        <v>99702.643132615194</v>
      </c>
      <c r="O616">
        <v>11713.149428655515</v>
      </c>
      <c r="P616">
        <v>11980.265643227171</v>
      </c>
      <c r="Q616">
        <v>7589.2229377145841</v>
      </c>
      <c r="R616">
        <v>21375.537197164533</v>
      </c>
      <c r="S616">
        <v>15527.695161400556</v>
      </c>
      <c r="T616">
        <v>30610.363328604319</v>
      </c>
    </row>
    <row r="617" spans="13:20">
      <c r="M617">
        <v>610</v>
      </c>
      <c r="N617">
        <v>98945.560764448033</v>
      </c>
      <c r="O617">
        <v>11057.640831104603</v>
      </c>
      <c r="P617">
        <v>11598.646194017179</v>
      </c>
      <c r="Q617">
        <v>7415.4410687571453</v>
      </c>
      <c r="R617">
        <v>22673.636907649252</v>
      </c>
      <c r="S617">
        <v>15158.109810023516</v>
      </c>
      <c r="T617">
        <v>29797.265765748285</v>
      </c>
    </row>
    <row r="618" spans="13:20">
      <c r="M618">
        <v>611</v>
      </c>
      <c r="N618">
        <v>101367.57918286644</v>
      </c>
      <c r="O618">
        <v>10832.95582911055</v>
      </c>
      <c r="P618">
        <v>13403.850626773255</v>
      </c>
      <c r="Q618">
        <v>7704.1844963016201</v>
      </c>
      <c r="R618">
        <v>23587.572011266562</v>
      </c>
      <c r="S618">
        <v>15833.196043288784</v>
      </c>
      <c r="T618">
        <v>29265.674669116761</v>
      </c>
    </row>
    <row r="619" spans="13:20">
      <c r="M619">
        <v>612</v>
      </c>
      <c r="N619">
        <v>102760.09824787547</v>
      </c>
      <c r="O619">
        <v>11092.026330218341</v>
      </c>
      <c r="P619">
        <v>12755.483330467316</v>
      </c>
      <c r="Q619">
        <v>7925.8468287020669</v>
      </c>
      <c r="R619">
        <v>24103.782824114991</v>
      </c>
      <c r="S619">
        <v>16390.646813084164</v>
      </c>
      <c r="T619">
        <v>29661.350341481957</v>
      </c>
    </row>
    <row r="620" spans="13:20">
      <c r="M620">
        <v>613</v>
      </c>
      <c r="N620">
        <v>100137.00918507202</v>
      </c>
      <c r="O620">
        <v>10912.787611281607</v>
      </c>
      <c r="P620">
        <v>12258.246764933298</v>
      </c>
      <c r="Q620">
        <v>7271.6369834350871</v>
      </c>
      <c r="R620">
        <v>22930.942820989716</v>
      </c>
      <c r="S620">
        <v>15192.671931158493</v>
      </c>
      <c r="T620">
        <v>30583.490472321235</v>
      </c>
    </row>
    <row r="621" spans="13:20">
      <c r="M621">
        <v>614</v>
      </c>
      <c r="N621">
        <v>101134.05878157316</v>
      </c>
      <c r="O621">
        <v>11281.283700859825</v>
      </c>
      <c r="P621">
        <v>12634.237773566574</v>
      </c>
      <c r="Q621">
        <v>7465.9642143995006</v>
      </c>
      <c r="R621">
        <v>21988.117088526113</v>
      </c>
      <c r="S621">
        <v>15963.741941103164</v>
      </c>
      <c r="T621">
        <v>30805.675176034718</v>
      </c>
    </row>
    <row r="622" spans="13:20">
      <c r="M622">
        <v>615</v>
      </c>
      <c r="N622">
        <v>100001.4745220514</v>
      </c>
      <c r="O622">
        <v>10866.771870460316</v>
      </c>
      <c r="P622">
        <v>13639.941657735775</v>
      </c>
      <c r="Q622">
        <v>6853.7620819887015</v>
      </c>
      <c r="R622">
        <v>22006.609326082358</v>
      </c>
      <c r="S622">
        <v>15824.783625084805</v>
      </c>
      <c r="T622">
        <v>29649.483931830007</v>
      </c>
    </row>
    <row r="623" spans="13:20">
      <c r="M623">
        <v>616</v>
      </c>
      <c r="N623">
        <v>99045.733550821547</v>
      </c>
      <c r="O623">
        <v>11046.952807435606</v>
      </c>
      <c r="P623">
        <v>12102.047512659123</v>
      </c>
      <c r="Q623">
        <v>7352.9738702051754</v>
      </c>
      <c r="R623">
        <v>22227.856256233434</v>
      </c>
      <c r="S623">
        <v>16015.23841457836</v>
      </c>
      <c r="T623">
        <v>29263.932952470823</v>
      </c>
    </row>
    <row r="624" spans="13:20">
      <c r="M624">
        <v>617</v>
      </c>
      <c r="N624">
        <v>97666.712465855395</v>
      </c>
      <c r="O624">
        <v>10930.41305561731</v>
      </c>
      <c r="P624">
        <v>13110.164294885557</v>
      </c>
      <c r="Q624">
        <v>7416.9653178565704</v>
      </c>
      <c r="R624">
        <v>20615.416723915198</v>
      </c>
      <c r="S624">
        <v>15412.252937804329</v>
      </c>
      <c r="T624">
        <v>29313.04563305269</v>
      </c>
    </row>
    <row r="625" spans="13:20">
      <c r="M625">
        <v>618</v>
      </c>
      <c r="N625">
        <v>99630.122856732603</v>
      </c>
      <c r="O625">
        <v>11428.610827755467</v>
      </c>
      <c r="P625">
        <v>11322.461704835103</v>
      </c>
      <c r="Q625">
        <v>8096.154369554356</v>
      </c>
      <c r="R625">
        <v>24313.54527202091</v>
      </c>
      <c r="S625">
        <v>14915.586689595246</v>
      </c>
      <c r="T625">
        <v>28672.868482161804</v>
      </c>
    </row>
    <row r="626" spans="13:20">
      <c r="M626">
        <v>619</v>
      </c>
      <c r="N626">
        <v>101223.37005680946</v>
      </c>
      <c r="O626">
        <v>11549.035309638439</v>
      </c>
      <c r="P626">
        <v>13131.600870377475</v>
      </c>
      <c r="Q626">
        <v>7956.2962682353309</v>
      </c>
      <c r="R626">
        <v>22446.023996732612</v>
      </c>
      <c r="S626">
        <v>15152.28287040802</v>
      </c>
      <c r="T626">
        <v>29966.682293088532</v>
      </c>
    </row>
    <row r="627" spans="13:20">
      <c r="M627">
        <v>620</v>
      </c>
      <c r="N627">
        <v>99032.017841771667</v>
      </c>
      <c r="O627">
        <v>11086.707789246499</v>
      </c>
      <c r="P627">
        <v>13142.467649346141</v>
      </c>
      <c r="Q627">
        <v>7586.1395061146295</v>
      </c>
      <c r="R627">
        <v>21902.562420190141</v>
      </c>
      <c r="S627">
        <v>15592.140751424382</v>
      </c>
      <c r="T627">
        <v>28841.756986212655</v>
      </c>
    </row>
    <row r="628" spans="13:20">
      <c r="M628">
        <v>621</v>
      </c>
      <c r="N628">
        <v>100338.92790646845</v>
      </c>
      <c r="O628">
        <v>11180.554063173015</v>
      </c>
      <c r="P628">
        <v>12462.141013081911</v>
      </c>
      <c r="Q628">
        <v>7757.198903400189</v>
      </c>
      <c r="R628">
        <v>22008.621804259656</v>
      </c>
      <c r="S628">
        <v>16001.783639068566</v>
      </c>
      <c r="T628">
        <v>29855.015614997286</v>
      </c>
    </row>
    <row r="629" spans="13:20">
      <c r="M629">
        <v>622</v>
      </c>
      <c r="N629">
        <v>100089.40164075668</v>
      </c>
      <c r="O629">
        <v>11214.101727595686</v>
      </c>
      <c r="P629">
        <v>12737.747341105704</v>
      </c>
      <c r="Q629">
        <v>8232.2005576505289</v>
      </c>
      <c r="R629">
        <v>21226.939325008647</v>
      </c>
      <c r="S629">
        <v>15998.783495226051</v>
      </c>
      <c r="T629">
        <v>29735.660907468213</v>
      </c>
    </row>
    <row r="630" spans="13:20">
      <c r="M630">
        <v>623</v>
      </c>
      <c r="N630">
        <v>100916.50906646179</v>
      </c>
      <c r="O630">
        <v>11155.264642273381</v>
      </c>
      <c r="P630">
        <v>14135.486190604819</v>
      </c>
      <c r="Q630">
        <v>7657.9250882921515</v>
      </c>
      <c r="R630">
        <v>21415.276618519267</v>
      </c>
      <c r="S630">
        <v>16216.940800754759</v>
      </c>
      <c r="T630">
        <v>29325.17032005221</v>
      </c>
    </row>
    <row r="631" spans="13:20">
      <c r="M631">
        <v>624</v>
      </c>
      <c r="N631">
        <v>101496.599943843</v>
      </c>
      <c r="O631">
        <v>11043.182155877188</v>
      </c>
      <c r="P631">
        <v>12191.458536853776</v>
      </c>
      <c r="Q631">
        <v>8271.6924460350983</v>
      </c>
      <c r="R631">
        <v>23184.073021106138</v>
      </c>
      <c r="S631">
        <v>16533.625922413426</v>
      </c>
      <c r="T631">
        <v>29131.211905138814</v>
      </c>
    </row>
    <row r="632" spans="13:20">
      <c r="M632">
        <v>625</v>
      </c>
      <c r="N632">
        <v>99975.088048015183</v>
      </c>
      <c r="O632">
        <v>11103.745238876696</v>
      </c>
      <c r="P632">
        <v>12340.801742927715</v>
      </c>
      <c r="Q632">
        <v>7353.4154262001684</v>
      </c>
      <c r="R632">
        <v>22473.026499725929</v>
      </c>
      <c r="S632">
        <v>14814.130066202797</v>
      </c>
      <c r="T632">
        <v>30739.049621764858</v>
      </c>
    </row>
    <row r="633" spans="13:20">
      <c r="M633">
        <v>626</v>
      </c>
      <c r="N633">
        <v>96789.600249364899</v>
      </c>
      <c r="O633">
        <v>10931.94600669146</v>
      </c>
      <c r="P633">
        <v>11551.902027331636</v>
      </c>
      <c r="Q633">
        <v>7544.3768737048094</v>
      </c>
      <c r="R633">
        <v>20841.328590521462</v>
      </c>
      <c r="S633">
        <v>16144.933028527066</v>
      </c>
      <c r="T633">
        <v>28791.771143682643</v>
      </c>
    </row>
    <row r="634" spans="13:20">
      <c r="M634">
        <v>627</v>
      </c>
      <c r="N634">
        <v>100488.2281066758</v>
      </c>
      <c r="O634">
        <v>11442.361020058423</v>
      </c>
      <c r="P634">
        <v>12857.616762638834</v>
      </c>
      <c r="Q634">
        <v>7547.5256231262483</v>
      </c>
      <c r="R634">
        <v>22701.446077611025</v>
      </c>
      <c r="S634">
        <v>15903.970883016431</v>
      </c>
      <c r="T634">
        <v>29206.28262814445</v>
      </c>
    </row>
    <row r="635" spans="13:20">
      <c r="M635">
        <v>628</v>
      </c>
      <c r="N635">
        <v>96969.169309896752</v>
      </c>
      <c r="O635">
        <v>11117.750314573763</v>
      </c>
      <c r="P635">
        <v>12314.140753854881</v>
      </c>
      <c r="Q635">
        <v>7886.7097870969401</v>
      </c>
      <c r="R635">
        <v>20682.093795981167</v>
      </c>
      <c r="S635">
        <v>14827.994016556717</v>
      </c>
      <c r="T635">
        <v>29021.704112570693</v>
      </c>
    </row>
    <row r="636" spans="13:20">
      <c r="M636">
        <v>629</v>
      </c>
      <c r="N636">
        <v>99052.728897466935</v>
      </c>
      <c r="O636">
        <v>11694.013996779471</v>
      </c>
      <c r="P636">
        <v>12689.095558710906</v>
      </c>
      <c r="Q636">
        <v>7613.5251108419616</v>
      </c>
      <c r="R636">
        <v>20945.783748218451</v>
      </c>
      <c r="S636">
        <v>16019.134092543794</v>
      </c>
      <c r="T636">
        <v>29274.838523577997</v>
      </c>
    </row>
    <row r="637" spans="13:20">
      <c r="M637">
        <v>630</v>
      </c>
      <c r="N637">
        <v>98342.818764025986</v>
      </c>
      <c r="O637">
        <v>11154.630089591403</v>
      </c>
      <c r="P637">
        <v>11704.903492539073</v>
      </c>
      <c r="Q637">
        <v>7311.8390544035865</v>
      </c>
      <c r="R637">
        <v>22534.257746790827</v>
      </c>
      <c r="S637">
        <v>15353.272865471317</v>
      </c>
      <c r="T637">
        <v>29219.676010669056</v>
      </c>
    </row>
    <row r="638" spans="13:20">
      <c r="M638">
        <v>631</v>
      </c>
      <c r="N638">
        <v>96142.404677833052</v>
      </c>
      <c r="O638">
        <v>11010.462919057987</v>
      </c>
      <c r="P638">
        <v>11566.573970779466</v>
      </c>
      <c r="Q638">
        <v>7958.276757778136</v>
      </c>
      <c r="R638">
        <v>19912.552164712062</v>
      </c>
      <c r="S638">
        <v>15575.442122872537</v>
      </c>
      <c r="T638">
        <v>29178.670765244191</v>
      </c>
    </row>
    <row r="639" spans="13:20">
      <c r="M639">
        <v>632</v>
      </c>
      <c r="N639">
        <v>97230.211358476328</v>
      </c>
      <c r="O639">
        <v>10679.550545854754</v>
      </c>
      <c r="P639">
        <v>12485.737050300435</v>
      </c>
      <c r="Q639">
        <v>7471.4302108166621</v>
      </c>
      <c r="R639">
        <v>21241.709773981805</v>
      </c>
      <c r="S639">
        <v>15413.087002010625</v>
      </c>
      <c r="T639">
        <v>29132.324042438948</v>
      </c>
    </row>
    <row r="640" spans="13:20">
      <c r="M640">
        <v>633</v>
      </c>
      <c r="N640">
        <v>99655.287908372993</v>
      </c>
      <c r="O640">
        <v>11478.595742978749</v>
      </c>
      <c r="P640">
        <v>12262.381543923217</v>
      </c>
      <c r="Q640">
        <v>8027.0296343134596</v>
      </c>
      <c r="R640">
        <v>20632.663495388344</v>
      </c>
      <c r="S640">
        <v>16422.784949820787</v>
      </c>
      <c r="T640">
        <v>29929.899581916652</v>
      </c>
    </row>
    <row r="641" spans="13:20">
      <c r="M641">
        <v>634</v>
      </c>
      <c r="N641">
        <v>98834.936291926511</v>
      </c>
      <c r="O641">
        <v>10916.721862858716</v>
      </c>
      <c r="P641">
        <v>12774.887345790748</v>
      </c>
      <c r="Q641">
        <v>6836.9571156131624</v>
      </c>
      <c r="R641">
        <v>21873.724405917335</v>
      </c>
      <c r="S641">
        <v>15541.570298662205</v>
      </c>
      <c r="T641">
        <v>29799.393405369228</v>
      </c>
    </row>
    <row r="642" spans="13:20">
      <c r="M642">
        <v>635</v>
      </c>
      <c r="N642">
        <v>97187.136483693175</v>
      </c>
      <c r="O642">
        <v>11277.924511167776</v>
      </c>
      <c r="P642">
        <v>12373.202916062601</v>
      </c>
      <c r="Q642">
        <v>7414.1977328362054</v>
      </c>
      <c r="R642">
        <v>20933.399220781255</v>
      </c>
      <c r="S642">
        <v>15665.390767353154</v>
      </c>
      <c r="T642">
        <v>28745.904686112324</v>
      </c>
    </row>
    <row r="643" spans="13:20">
      <c r="M643">
        <v>636</v>
      </c>
      <c r="N643">
        <v>99100.795005083011</v>
      </c>
      <c r="O643">
        <v>10732.174810381761</v>
      </c>
      <c r="P643">
        <v>11933.919859626822</v>
      </c>
      <c r="Q643">
        <v>7070.7950366097075</v>
      </c>
      <c r="R643">
        <v>22038.724506287781</v>
      </c>
      <c r="S643">
        <v>15824.807597345998</v>
      </c>
      <c r="T643">
        <v>30332.060241792671</v>
      </c>
    </row>
    <row r="644" spans="13:20">
      <c r="M644">
        <v>637</v>
      </c>
      <c r="N644">
        <v>98971.738694014915</v>
      </c>
      <c r="O644">
        <v>11155.103921441056</v>
      </c>
      <c r="P644">
        <v>12298.252041091424</v>
      </c>
      <c r="Q644">
        <v>7803.379739448701</v>
      </c>
      <c r="R644">
        <v>21108.195367452456</v>
      </c>
      <c r="S644">
        <v>15391.079346893121</v>
      </c>
      <c r="T644">
        <v>30204.566155963501</v>
      </c>
    </row>
    <row r="645" spans="13:20">
      <c r="M645">
        <v>638</v>
      </c>
      <c r="N645">
        <v>99393.42976976544</v>
      </c>
      <c r="O645">
        <v>11030.164352408696</v>
      </c>
      <c r="P645">
        <v>11556.440761493921</v>
      </c>
      <c r="Q645">
        <v>7271.1765672249003</v>
      </c>
      <c r="R645">
        <v>21729.563303959731</v>
      </c>
      <c r="S645">
        <v>16619.234356840807</v>
      </c>
      <c r="T645">
        <v>30341.328616034731</v>
      </c>
    </row>
    <row r="646" spans="13:20">
      <c r="M646">
        <v>639</v>
      </c>
      <c r="N646">
        <v>98872.693478163797</v>
      </c>
      <c r="O646">
        <v>11042.935187899297</v>
      </c>
      <c r="P646">
        <v>12026.031635138041</v>
      </c>
      <c r="Q646">
        <v>7609.7720103566699</v>
      </c>
      <c r="R646">
        <v>21630.484323616525</v>
      </c>
      <c r="S646">
        <v>15618.842022072946</v>
      </c>
      <c r="T646">
        <v>30029.960980538028</v>
      </c>
    </row>
    <row r="647" spans="13:20">
      <c r="M647">
        <v>640</v>
      </c>
      <c r="N647">
        <v>100624.05935713489</v>
      </c>
      <c r="O647">
        <v>11963.041655640276</v>
      </c>
      <c r="P647">
        <v>12663.474548248636</v>
      </c>
      <c r="Q647">
        <v>7187.5685477598681</v>
      </c>
      <c r="R647">
        <v>23083.85493108592</v>
      </c>
      <c r="S647">
        <v>14908.013676241806</v>
      </c>
      <c r="T647">
        <v>29874.581616847121</v>
      </c>
    </row>
    <row r="648" spans="13:20">
      <c r="M648">
        <v>641</v>
      </c>
      <c r="N648">
        <v>99220.982245115447</v>
      </c>
      <c r="O648">
        <v>11038.879393172814</v>
      </c>
      <c r="P648">
        <v>11861.989791238298</v>
      </c>
      <c r="Q648">
        <v>7298.9413553498971</v>
      </c>
      <c r="R648">
        <v>22194.330780889577</v>
      </c>
      <c r="S648">
        <v>16337.839998600748</v>
      </c>
      <c r="T648">
        <v>29640.430992051766</v>
      </c>
    </row>
    <row r="649" spans="13:20">
      <c r="M649">
        <v>642</v>
      </c>
      <c r="N649">
        <v>97888.483389267465</v>
      </c>
      <c r="O649">
        <v>11159.059922511224</v>
      </c>
      <c r="P649">
        <v>11442.257686054012</v>
      </c>
      <c r="Q649">
        <v>7427.6613312304526</v>
      </c>
      <c r="R649">
        <v>21402.965765427998</v>
      </c>
      <c r="S649">
        <v>15948.408847692681</v>
      </c>
      <c r="T649">
        <v>29574.259556909725</v>
      </c>
    </row>
    <row r="650" spans="13:20">
      <c r="M650">
        <v>643</v>
      </c>
      <c r="N650">
        <v>100191.49768542802</v>
      </c>
      <c r="O650">
        <v>11049.431147757734</v>
      </c>
      <c r="P650">
        <v>12524.937816607104</v>
      </c>
      <c r="Q650">
        <v>8037.6851922144442</v>
      </c>
      <c r="R650">
        <v>22085.414939181843</v>
      </c>
      <c r="S650">
        <v>15637.346620411414</v>
      </c>
      <c r="T650">
        <v>29856.932945386798</v>
      </c>
    </row>
    <row r="651" spans="13:20">
      <c r="M651">
        <v>644</v>
      </c>
      <c r="N651">
        <v>101808.99329426463</v>
      </c>
      <c r="O651">
        <v>10851.970261974817</v>
      </c>
      <c r="P651">
        <v>12827.303050095859</v>
      </c>
      <c r="Q651">
        <v>7345.6045160257891</v>
      </c>
      <c r="R651">
        <v>23017.373898936537</v>
      </c>
      <c r="S651">
        <v>16552.427685175877</v>
      </c>
      <c r="T651">
        <v>30049.623415607773</v>
      </c>
    </row>
    <row r="652" spans="13:20">
      <c r="M652">
        <v>645</v>
      </c>
      <c r="N652">
        <v>98580.032671611305</v>
      </c>
      <c r="O652">
        <v>11081.933160514367</v>
      </c>
      <c r="P652">
        <v>11884.135783507772</v>
      </c>
      <c r="Q652">
        <v>7268.3298319788992</v>
      </c>
      <c r="R652">
        <v>21659.119995649242</v>
      </c>
      <c r="S652">
        <v>15603.052256474375</v>
      </c>
      <c r="T652">
        <v>29985.62682949963</v>
      </c>
    </row>
    <row r="653" spans="13:20">
      <c r="M653">
        <v>646</v>
      </c>
      <c r="N653">
        <v>97190.519518134883</v>
      </c>
      <c r="O653">
        <v>11000.418193580676</v>
      </c>
      <c r="P653">
        <v>11890.239527663227</v>
      </c>
      <c r="Q653">
        <v>7744.4547043448201</v>
      </c>
      <c r="R653">
        <v>20150.921040622394</v>
      </c>
      <c r="S653">
        <v>15677.001648622609</v>
      </c>
      <c r="T653">
        <v>29668.963346734759</v>
      </c>
    </row>
    <row r="654" spans="13:20">
      <c r="M654">
        <v>647</v>
      </c>
      <c r="N654">
        <v>98495.77418800212</v>
      </c>
      <c r="O654">
        <v>11159.82936035802</v>
      </c>
      <c r="P654">
        <v>12185.471135349109</v>
      </c>
      <c r="Q654">
        <v>7427.7285792658913</v>
      </c>
      <c r="R654">
        <v>21262.419797708539</v>
      </c>
      <c r="S654">
        <v>15715.958120336341</v>
      </c>
      <c r="T654">
        <v>29824.200340890991</v>
      </c>
    </row>
    <row r="655" spans="13:20">
      <c r="M655">
        <v>648</v>
      </c>
      <c r="N655">
        <v>97301.190955569036</v>
      </c>
      <c r="O655">
        <v>11467.01817849809</v>
      </c>
      <c r="P655">
        <v>11152.539849236306</v>
      </c>
      <c r="Q655">
        <v>7870.3929044001097</v>
      </c>
      <c r="R655">
        <v>20553.628630430729</v>
      </c>
      <c r="S655">
        <v>15419.525884307561</v>
      </c>
      <c r="T655">
        <v>29936.067434760069</v>
      </c>
    </row>
    <row r="656" spans="13:20">
      <c r="M656">
        <v>649</v>
      </c>
      <c r="N656">
        <v>96937.525101717067</v>
      </c>
      <c r="O656">
        <v>10828.394936347593</v>
      </c>
      <c r="P656">
        <v>11796.620862062442</v>
      </c>
      <c r="Q656">
        <v>8007.6862680256863</v>
      </c>
      <c r="R656">
        <v>20377.068507682841</v>
      </c>
      <c r="S656">
        <v>15564.645649552265</v>
      </c>
      <c r="T656">
        <v>29311.990277834026</v>
      </c>
    </row>
    <row r="657" spans="13:20">
      <c r="M657">
        <v>650</v>
      </c>
      <c r="N657">
        <v>100117.56643548147</v>
      </c>
      <c r="O657">
        <v>10836.884926659999</v>
      </c>
      <c r="P657">
        <v>12572.12197937404</v>
      </c>
      <c r="Q657">
        <v>7579.4060792096743</v>
      </c>
      <c r="R657">
        <v>22882.315868405876</v>
      </c>
      <c r="S657">
        <v>15416.804840819021</v>
      </c>
      <c r="T657">
        <v>29786.833828668128</v>
      </c>
    </row>
    <row r="658" spans="13:20">
      <c r="M658">
        <v>651</v>
      </c>
      <c r="N658">
        <v>99008.341103175844</v>
      </c>
      <c r="O658">
        <v>10636.076508174221</v>
      </c>
      <c r="P658">
        <v>12246.268697517666</v>
      </c>
      <c r="Q658">
        <v>7637.6576972202356</v>
      </c>
      <c r="R658">
        <v>22166.839286421367</v>
      </c>
      <c r="S658">
        <v>15862.928466030402</v>
      </c>
      <c r="T658">
        <v>29525.583440683335</v>
      </c>
    </row>
    <row r="659" spans="13:20">
      <c r="M659">
        <v>652</v>
      </c>
      <c r="N659">
        <v>98729.343598671068</v>
      </c>
      <c r="O659">
        <v>11129.341324423718</v>
      </c>
      <c r="P659">
        <v>12967.934476114951</v>
      </c>
      <c r="Q659">
        <v>7148.3021533661322</v>
      </c>
      <c r="R659">
        <v>21837.161723643134</v>
      </c>
      <c r="S659">
        <v>15140.740687804555</v>
      </c>
      <c r="T659">
        <v>29628.279276167123</v>
      </c>
    </row>
    <row r="660" spans="13:20">
      <c r="M660">
        <v>653</v>
      </c>
      <c r="N660">
        <v>100899.87046156323</v>
      </c>
      <c r="O660">
        <v>11562.159779984389</v>
      </c>
      <c r="P660">
        <v>12213.962627649189</v>
      </c>
      <c r="Q660">
        <v>6901.9220351902268</v>
      </c>
      <c r="R660">
        <v>24173.302478283098</v>
      </c>
      <c r="S660">
        <v>14988.186692554882</v>
      </c>
      <c r="T660">
        <v>30130.656462332001</v>
      </c>
    </row>
    <row r="661" spans="13:20">
      <c r="M661">
        <v>654</v>
      </c>
      <c r="N661">
        <v>97101.606943476596</v>
      </c>
      <c r="O661">
        <v>11155.16589371322</v>
      </c>
      <c r="P661">
        <v>11524.750469398217</v>
      </c>
      <c r="Q661">
        <v>7490.7705885943215</v>
      </c>
      <c r="R661">
        <v>20671.90469173402</v>
      </c>
      <c r="S661">
        <v>15457.833873782489</v>
      </c>
      <c r="T661">
        <v>29972.36831631769</v>
      </c>
    </row>
    <row r="662" spans="13:20">
      <c r="M662">
        <v>655</v>
      </c>
      <c r="N662">
        <v>99112.722807996499</v>
      </c>
      <c r="O662">
        <v>11344.044595554837</v>
      </c>
      <c r="P662">
        <v>11375.721919391659</v>
      </c>
      <c r="Q662">
        <v>7942.9912591785796</v>
      </c>
      <c r="R662">
        <v>23146.599863803549</v>
      </c>
      <c r="S662">
        <v>15224.618951790466</v>
      </c>
      <c r="T662">
        <v>28956.459658366282</v>
      </c>
    </row>
    <row r="663" spans="13:20">
      <c r="M663">
        <v>656</v>
      </c>
      <c r="N663">
        <v>97787.638913773117</v>
      </c>
      <c r="O663">
        <v>11354.456643123192</v>
      </c>
      <c r="P663">
        <v>13190.496789434457</v>
      </c>
      <c r="Q663">
        <v>6913.2220364301211</v>
      </c>
      <c r="R663">
        <v>20812.531419016643</v>
      </c>
      <c r="S663">
        <v>15231.791735990313</v>
      </c>
      <c r="T663">
        <v>29362.65527764153</v>
      </c>
    </row>
    <row r="664" spans="13:20">
      <c r="M664">
        <v>657</v>
      </c>
      <c r="N664">
        <v>103044.28873559876</v>
      </c>
      <c r="O664">
        <v>10784.336144863397</v>
      </c>
      <c r="P664">
        <v>15357.435139047382</v>
      </c>
      <c r="Q664">
        <v>8071.2643471168758</v>
      </c>
      <c r="R664">
        <v>21931.081659211166</v>
      </c>
      <c r="S664">
        <v>15900.116612739159</v>
      </c>
      <c r="T664">
        <v>29887.084651978072</v>
      </c>
    </row>
    <row r="665" spans="13:20">
      <c r="M665">
        <v>658</v>
      </c>
      <c r="N665">
        <v>100150.78272482296</v>
      </c>
      <c r="O665">
        <v>11209.181256866534</v>
      </c>
      <c r="P665">
        <v>11886.32226001918</v>
      </c>
      <c r="Q665">
        <v>8323.4892329352897</v>
      </c>
      <c r="R665">
        <v>23379.126021496446</v>
      </c>
      <c r="S665">
        <v>15426.48853708571</v>
      </c>
      <c r="T665">
        <v>29080.35453713996</v>
      </c>
    </row>
    <row r="666" spans="13:20">
      <c r="M666">
        <v>659</v>
      </c>
      <c r="N666">
        <v>98232.141122211295</v>
      </c>
      <c r="O666">
        <v>11172.986328076311</v>
      </c>
      <c r="P666">
        <v>12386.832564291588</v>
      </c>
      <c r="Q666">
        <v>7883.4927632595</v>
      </c>
      <c r="R666">
        <v>20594.346117865101</v>
      </c>
      <c r="S666">
        <v>15606.636800605056</v>
      </c>
      <c r="T666">
        <v>29508.050959123968</v>
      </c>
    </row>
    <row r="667" spans="13:20">
      <c r="M667">
        <v>660</v>
      </c>
      <c r="N667">
        <v>99990.70919493644</v>
      </c>
      <c r="O667">
        <v>11505.413804866335</v>
      </c>
      <c r="P667">
        <v>12050.762204813189</v>
      </c>
      <c r="Q667">
        <v>7789.708522678553</v>
      </c>
      <c r="R667">
        <v>22134.598053041456</v>
      </c>
      <c r="S667">
        <v>15416.377868744179</v>
      </c>
      <c r="T667">
        <v>30012.107332822554</v>
      </c>
    </row>
    <row r="668" spans="13:20">
      <c r="M668">
        <v>661</v>
      </c>
      <c r="N668">
        <v>99186.345550417202</v>
      </c>
      <c r="O668">
        <v>11143.603245061051</v>
      </c>
      <c r="P668">
        <v>13131.73650933617</v>
      </c>
      <c r="Q668">
        <v>7647.6762908001801</v>
      </c>
      <c r="R668">
        <v>21616.159828042313</v>
      </c>
      <c r="S668">
        <v>15679.595716619722</v>
      </c>
      <c r="T668">
        <v>28967.809228673668</v>
      </c>
    </row>
    <row r="669" spans="13:20">
      <c r="M669">
        <v>662</v>
      </c>
      <c r="N669">
        <v>99338.253128270459</v>
      </c>
      <c r="O669">
        <v>11233.88318539156</v>
      </c>
      <c r="P669">
        <v>12161.733115294655</v>
      </c>
      <c r="Q669">
        <v>8768.2331013770272</v>
      </c>
      <c r="R669">
        <v>21439.020784920369</v>
      </c>
      <c r="S669">
        <v>15295.723009176247</v>
      </c>
      <c r="T669">
        <v>29578.42982210618</v>
      </c>
    </row>
    <row r="670" spans="13:20">
      <c r="M670">
        <v>663</v>
      </c>
      <c r="N670">
        <v>97514.923928604199</v>
      </c>
      <c r="O670">
        <v>10914.94857896812</v>
      </c>
      <c r="P670">
        <v>11366.283488882184</v>
      </c>
      <c r="Q670">
        <v>7554.2970158266271</v>
      </c>
      <c r="R670">
        <v>21477.830618236534</v>
      </c>
      <c r="S670">
        <v>15351.14348878599</v>
      </c>
      <c r="T670">
        <v>29644.154741455077</v>
      </c>
    </row>
    <row r="671" spans="13:20">
      <c r="M671">
        <v>664</v>
      </c>
      <c r="N671">
        <v>100393.8329783778</v>
      </c>
      <c r="O671">
        <v>11202.980136530385</v>
      </c>
      <c r="P671">
        <v>12834.835490163921</v>
      </c>
      <c r="Q671">
        <v>8364.9708361039557</v>
      </c>
      <c r="R671">
        <v>21843.586819358145</v>
      </c>
      <c r="S671">
        <v>15903.415806522426</v>
      </c>
      <c r="T671">
        <v>29452.936827730166</v>
      </c>
    </row>
    <row r="672" spans="13:20">
      <c r="M672">
        <v>665</v>
      </c>
      <c r="N672">
        <v>101811.18186380828</v>
      </c>
      <c r="O672">
        <v>11409.919236845868</v>
      </c>
      <c r="P672">
        <v>12055.857880065678</v>
      </c>
      <c r="Q672">
        <v>7969.7331453179195</v>
      </c>
      <c r="R672">
        <v>25160.297520686905</v>
      </c>
      <c r="S672">
        <v>15614.709395364647</v>
      </c>
      <c r="T672">
        <v>28592.996988526738</v>
      </c>
    </row>
    <row r="673" spans="13:20">
      <c r="M673">
        <v>666</v>
      </c>
      <c r="N673">
        <v>96687.395724161208</v>
      </c>
      <c r="O673">
        <v>10753.687449214354</v>
      </c>
      <c r="P673">
        <v>11203.476456753595</v>
      </c>
      <c r="Q673">
        <v>6962.7543733412604</v>
      </c>
      <c r="R673">
        <v>22835.233221177372</v>
      </c>
      <c r="S673">
        <v>15520.582516924089</v>
      </c>
      <c r="T673">
        <v>28270.361957915222</v>
      </c>
    </row>
    <row r="674" spans="13:20">
      <c r="M674">
        <v>667</v>
      </c>
      <c r="N674">
        <v>100539.89724891615</v>
      </c>
      <c r="O674">
        <v>11742.556662247125</v>
      </c>
      <c r="P674">
        <v>11541.542823390986</v>
      </c>
      <c r="Q674">
        <v>8288.0233738290444</v>
      </c>
      <c r="R674">
        <v>23158.878170403092</v>
      </c>
      <c r="S674">
        <v>15097.342951640647</v>
      </c>
      <c r="T674">
        <v>29821.77712338214</v>
      </c>
    </row>
    <row r="675" spans="13:20">
      <c r="M675">
        <v>668</v>
      </c>
      <c r="N675">
        <v>99523.073133477272</v>
      </c>
      <c r="O675">
        <v>10851.321710444105</v>
      </c>
      <c r="P675">
        <v>14302.21795893988</v>
      </c>
      <c r="Q675">
        <v>7709.7978806457149</v>
      </c>
      <c r="R675">
        <v>20535.986766623901</v>
      </c>
      <c r="S675">
        <v>15367.270529188634</v>
      </c>
      <c r="T675">
        <v>29727.919131475999</v>
      </c>
    </row>
    <row r="676" spans="13:20">
      <c r="M676">
        <v>669</v>
      </c>
      <c r="N676">
        <v>99393.460200533358</v>
      </c>
      <c r="O676">
        <v>11347.687975996105</v>
      </c>
      <c r="P676">
        <v>12878.85770844286</v>
      </c>
      <c r="Q676">
        <v>7995.703595305511</v>
      </c>
      <c r="R676">
        <v>21302.219134290259</v>
      </c>
      <c r="S676">
        <v>14983.14227447908</v>
      </c>
      <c r="T676">
        <v>29877.044858812144</v>
      </c>
    </row>
    <row r="677" spans="13:20">
      <c r="M677">
        <v>670</v>
      </c>
      <c r="N677">
        <v>100391.30681241844</v>
      </c>
      <c r="O677">
        <v>11181.277662289474</v>
      </c>
      <c r="P677">
        <v>12424.734860507109</v>
      </c>
      <c r="Q677">
        <v>7220.9934647750651</v>
      </c>
      <c r="R677">
        <v>23131.459510821231</v>
      </c>
      <c r="S677">
        <v>15186.175090934372</v>
      </c>
      <c r="T677">
        <v>30228.509872116847</v>
      </c>
    </row>
    <row r="678" spans="13:20">
      <c r="M678">
        <v>671</v>
      </c>
      <c r="N678">
        <v>99443.822192938445</v>
      </c>
      <c r="O678">
        <v>11181.578411100993</v>
      </c>
      <c r="P678">
        <v>13795.455949147752</v>
      </c>
      <c r="Q678">
        <v>7140.5008825176155</v>
      </c>
      <c r="R678">
        <v>20771.948676478081</v>
      </c>
      <c r="S678">
        <v>16169.800426371747</v>
      </c>
      <c r="T678">
        <v>29315.499673082548</v>
      </c>
    </row>
    <row r="679" spans="13:20">
      <c r="M679">
        <v>672</v>
      </c>
      <c r="N679">
        <v>98562.152391058757</v>
      </c>
      <c r="O679">
        <v>11407.776206318351</v>
      </c>
      <c r="P679">
        <v>11760.49915576348</v>
      </c>
      <c r="Q679">
        <v>7598.8636658668975</v>
      </c>
      <c r="R679">
        <v>21545.978201052971</v>
      </c>
      <c r="S679">
        <v>15357.656679906755</v>
      </c>
      <c r="T679">
        <v>30009.624819453893</v>
      </c>
    </row>
    <row r="680" spans="13:20">
      <c r="M680">
        <v>673</v>
      </c>
      <c r="N680">
        <v>99669.743885793636</v>
      </c>
      <c r="O680">
        <v>11199.456421242003</v>
      </c>
      <c r="P680">
        <v>11138.621766143406</v>
      </c>
      <c r="Q680">
        <v>7699.4489915361073</v>
      </c>
      <c r="R680">
        <v>23692.276333324542</v>
      </c>
      <c r="S680">
        <v>15389.407324863862</v>
      </c>
      <c r="T680">
        <v>29602.277822686978</v>
      </c>
    </row>
    <row r="681" spans="13:20">
      <c r="M681">
        <v>674</v>
      </c>
      <c r="N681">
        <v>100909.3958780691</v>
      </c>
      <c r="O681">
        <v>11003.583083034964</v>
      </c>
      <c r="P681">
        <v>14022.229569897394</v>
      </c>
      <c r="Q681">
        <v>7675.9358753114884</v>
      </c>
      <c r="R681">
        <v>22001.35166633486</v>
      </c>
      <c r="S681">
        <v>15759.715741197371</v>
      </c>
      <c r="T681">
        <v>29303.105918805606</v>
      </c>
    </row>
    <row r="682" spans="13:20">
      <c r="M682">
        <v>675</v>
      </c>
      <c r="N682">
        <v>98732.962153048473</v>
      </c>
      <c r="O682">
        <v>11415.833371729832</v>
      </c>
      <c r="P682">
        <v>11508.504071439047</v>
      </c>
      <c r="Q682">
        <v>7980.8092596855331</v>
      </c>
      <c r="R682">
        <v>21350.988387451478</v>
      </c>
      <c r="S682">
        <v>16379.209073699703</v>
      </c>
      <c r="T682">
        <v>29162.209070577384</v>
      </c>
    </row>
    <row r="683" spans="13:20">
      <c r="M683">
        <v>676</v>
      </c>
      <c r="N683">
        <v>99435.411560756547</v>
      </c>
      <c r="O683">
        <v>11146.656243721833</v>
      </c>
      <c r="P683">
        <v>11745.301280125319</v>
      </c>
      <c r="Q683">
        <v>7876.24671376894</v>
      </c>
      <c r="R683">
        <v>23406.86698794055</v>
      </c>
      <c r="S683">
        <v>15438.153689150839</v>
      </c>
      <c r="T683">
        <v>28783.525214605943</v>
      </c>
    </row>
    <row r="684" spans="13:20">
      <c r="M684">
        <v>677</v>
      </c>
      <c r="N684">
        <v>100247.63938835372</v>
      </c>
      <c r="O684">
        <v>11096.318144586208</v>
      </c>
      <c r="P684">
        <v>11528.238136766067</v>
      </c>
      <c r="Q684">
        <v>7633.4058593662185</v>
      </c>
      <c r="R684">
        <v>23110.292180388547</v>
      </c>
      <c r="S684">
        <v>16058.562613019778</v>
      </c>
      <c r="T684">
        <v>29914.551375141247</v>
      </c>
    </row>
    <row r="685" spans="13:20">
      <c r="M685">
        <v>678</v>
      </c>
      <c r="N685">
        <v>99226.472658634942</v>
      </c>
      <c r="O685">
        <v>11513.716534111627</v>
      </c>
      <c r="P685">
        <v>12241.302972523494</v>
      </c>
      <c r="Q685">
        <v>7858.8054224268126</v>
      </c>
      <c r="R685">
        <v>20960.474318143901</v>
      </c>
      <c r="S685">
        <v>15860.701872859117</v>
      </c>
      <c r="T685">
        <v>29950.087174387209</v>
      </c>
    </row>
    <row r="686" spans="13:20">
      <c r="M686">
        <v>679</v>
      </c>
      <c r="N686">
        <v>100896.1528027679</v>
      </c>
      <c r="O686">
        <v>11047.370446630146</v>
      </c>
      <c r="P686">
        <v>13382.762347391286</v>
      </c>
      <c r="Q686">
        <v>6985.1286052037476</v>
      </c>
      <c r="R686">
        <v>24103.403627032829</v>
      </c>
      <c r="S686">
        <v>15306.42411076202</v>
      </c>
      <c r="T686">
        <v>29092.13669261718</v>
      </c>
    </row>
    <row r="687" spans="13:20">
      <c r="M687">
        <v>680</v>
      </c>
      <c r="N687">
        <v>99268.589257875952</v>
      </c>
      <c r="O687">
        <v>11406.535328888702</v>
      </c>
      <c r="P687">
        <v>11514.561572129487</v>
      </c>
      <c r="Q687">
        <v>7602.1305501006836</v>
      </c>
      <c r="R687">
        <v>22828.552839554239</v>
      </c>
      <c r="S687">
        <v>15467.515052695629</v>
      </c>
      <c r="T687">
        <v>29400.437903894494</v>
      </c>
    </row>
    <row r="688" spans="13:20">
      <c r="M688">
        <v>681</v>
      </c>
      <c r="N688">
        <v>98998.310761682878</v>
      </c>
      <c r="O688">
        <v>10961.128114235182</v>
      </c>
      <c r="P688">
        <v>11889.032082047284</v>
      </c>
      <c r="Q688">
        <v>8078.7323645017204</v>
      </c>
      <c r="R688">
        <v>22391.69723838447</v>
      </c>
      <c r="S688">
        <v>15122.090941957584</v>
      </c>
      <c r="T688">
        <v>29631.717293254114</v>
      </c>
    </row>
    <row r="689" spans="13:20">
      <c r="M689">
        <v>682</v>
      </c>
      <c r="N689">
        <v>96661.608049083385</v>
      </c>
      <c r="O689">
        <v>11369.13625937789</v>
      </c>
      <c r="P689">
        <v>11295.948825969501</v>
      </c>
      <c r="Q689">
        <v>6964.6124524977713</v>
      </c>
      <c r="R689">
        <v>21339.822818524321</v>
      </c>
      <c r="S689">
        <v>15357.519924948547</v>
      </c>
      <c r="T689">
        <v>29264.06259893097</v>
      </c>
    </row>
    <row r="690" spans="13:20">
      <c r="M690">
        <v>683</v>
      </c>
      <c r="N690">
        <v>98205.859426346389</v>
      </c>
      <c r="O690">
        <v>11458.949247760536</v>
      </c>
      <c r="P690">
        <v>11747.988457805417</v>
      </c>
      <c r="Q690">
        <v>7627.2864555490914</v>
      </c>
      <c r="R690">
        <v>20879.233348420512</v>
      </c>
      <c r="S690">
        <v>15951.591273432901</v>
      </c>
      <c r="T690">
        <v>29573.277196350184</v>
      </c>
    </row>
    <row r="691" spans="13:20">
      <c r="M691">
        <v>684</v>
      </c>
      <c r="N691">
        <v>99057.36397994608</v>
      </c>
      <c r="O691">
        <v>11183.965151133139</v>
      </c>
      <c r="P691">
        <v>11859.460377419276</v>
      </c>
      <c r="Q691">
        <v>7528.3972940418589</v>
      </c>
      <c r="R691">
        <v>22980.181052644813</v>
      </c>
      <c r="S691">
        <v>15398.944708476236</v>
      </c>
      <c r="T691">
        <v>29257.763414477031</v>
      </c>
    </row>
    <row r="692" spans="13:20">
      <c r="M692">
        <v>685</v>
      </c>
      <c r="N692">
        <v>98118.287314411631</v>
      </c>
      <c r="O692">
        <v>11822.07564127801</v>
      </c>
      <c r="P692">
        <v>11998.655782365675</v>
      </c>
      <c r="Q692">
        <v>7389.879612510932</v>
      </c>
      <c r="R692">
        <v>20876.05892563067</v>
      </c>
      <c r="S692">
        <v>16350.520200100866</v>
      </c>
      <c r="T692">
        <v>28675.552002198572</v>
      </c>
    </row>
    <row r="693" spans="13:20">
      <c r="M693">
        <v>686</v>
      </c>
      <c r="N693">
        <v>101535.55264381136</v>
      </c>
      <c r="O693">
        <v>11079.925480289454</v>
      </c>
      <c r="P693">
        <v>12431.686304389907</v>
      </c>
      <c r="Q693">
        <v>7400.93473705408</v>
      </c>
      <c r="R693">
        <v>24832.250454231551</v>
      </c>
      <c r="S693">
        <v>15442.39354248497</v>
      </c>
      <c r="T693">
        <v>29537.613530765728</v>
      </c>
    </row>
    <row r="694" spans="13:20">
      <c r="M694">
        <v>687</v>
      </c>
      <c r="N694">
        <v>98152.249746488902</v>
      </c>
      <c r="O694">
        <v>11241.922242386701</v>
      </c>
      <c r="P694">
        <v>12092.97937113318</v>
      </c>
      <c r="Q694">
        <v>7473.4829319209239</v>
      </c>
      <c r="R694">
        <v>21462.156519936434</v>
      </c>
      <c r="S694">
        <v>15089.305961510829</v>
      </c>
      <c r="T694">
        <v>29567.728198461791</v>
      </c>
    </row>
    <row r="695" spans="13:20">
      <c r="M695">
        <v>688</v>
      </c>
      <c r="N695">
        <v>102157.55035610602</v>
      </c>
      <c r="O695">
        <v>11434.434239398866</v>
      </c>
      <c r="P695">
        <v>12795.718452990792</v>
      </c>
      <c r="Q695">
        <v>7574.7848373968745</v>
      </c>
      <c r="R695">
        <v>23321.66456831717</v>
      </c>
      <c r="S695">
        <v>15623.622047926681</v>
      </c>
      <c r="T695">
        <v>30410.590253303824</v>
      </c>
    </row>
    <row r="696" spans="13:20">
      <c r="M696">
        <v>689</v>
      </c>
      <c r="N696">
        <v>98618.618790399851</v>
      </c>
      <c r="O696">
        <v>11085.841514066284</v>
      </c>
      <c r="P696">
        <v>11716.888153156695</v>
      </c>
      <c r="Q696">
        <v>6919.0489511944907</v>
      </c>
      <c r="R696">
        <v>23937.301840899825</v>
      </c>
      <c r="S696">
        <v>15001.066273689319</v>
      </c>
      <c r="T696">
        <v>28841.475869298258</v>
      </c>
    </row>
    <row r="697" spans="13:20">
      <c r="M697">
        <v>690</v>
      </c>
      <c r="N697">
        <v>100149.50759661983</v>
      </c>
      <c r="O697">
        <v>11046.387172472561</v>
      </c>
      <c r="P697">
        <v>12739.54689703276</v>
      </c>
      <c r="Q697">
        <v>7729.2705441071212</v>
      </c>
      <c r="R697">
        <v>22454.342679556667</v>
      </c>
      <c r="S697">
        <v>15437.007845092221</v>
      </c>
      <c r="T697">
        <v>29715.44891683463</v>
      </c>
    </row>
    <row r="698" spans="13:20">
      <c r="M698">
        <v>691</v>
      </c>
      <c r="N698">
        <v>100688.9509558499</v>
      </c>
      <c r="O698">
        <v>10694.726646393085</v>
      </c>
      <c r="P698">
        <v>14757.782100542579</v>
      </c>
      <c r="Q698">
        <v>7692.9809749072247</v>
      </c>
      <c r="R698">
        <v>21394.042190334894</v>
      </c>
      <c r="S698">
        <v>15582.244400939609</v>
      </c>
      <c r="T698">
        <v>29671.590781140585</v>
      </c>
    </row>
    <row r="699" spans="13:20">
      <c r="M699">
        <v>692</v>
      </c>
      <c r="N699">
        <v>100132.83102480765</v>
      </c>
      <c r="O699">
        <v>10584.31242678624</v>
      </c>
      <c r="P699">
        <v>11527.560690860526</v>
      </c>
      <c r="Q699">
        <v>7311.9766531095656</v>
      </c>
      <c r="R699">
        <v>24046.075552563299</v>
      </c>
      <c r="S699">
        <v>15691.472841016464</v>
      </c>
      <c r="T699">
        <v>29912.710092118596</v>
      </c>
    </row>
    <row r="700" spans="13:20">
      <c r="M700">
        <v>693</v>
      </c>
      <c r="N700">
        <v>98239.3760050688</v>
      </c>
      <c r="O700">
        <v>11011.524683913856</v>
      </c>
      <c r="P700">
        <v>11429.920425191754</v>
      </c>
      <c r="Q700">
        <v>7022.6283770375667</v>
      </c>
      <c r="R700">
        <v>21988.690234889371</v>
      </c>
      <c r="S700">
        <v>15437.901704709851</v>
      </c>
      <c r="T700">
        <v>30478.860177128994</v>
      </c>
    </row>
    <row r="701" spans="13:20">
      <c r="M701">
        <v>694</v>
      </c>
      <c r="N701">
        <v>99056.120003369695</v>
      </c>
      <c r="O701">
        <v>11128.553828769473</v>
      </c>
      <c r="P701">
        <v>12558.592423123286</v>
      </c>
      <c r="Q701">
        <v>7370.3244255260224</v>
      </c>
      <c r="R701">
        <v>20984.073285793085</v>
      </c>
      <c r="S701">
        <v>16261.600628886481</v>
      </c>
      <c r="T701">
        <v>29713.156375819468</v>
      </c>
    </row>
    <row r="702" spans="13:20">
      <c r="M702">
        <v>695</v>
      </c>
      <c r="N702">
        <v>98975.021273466336</v>
      </c>
      <c r="O702">
        <v>11122.909618107486</v>
      </c>
      <c r="P702">
        <v>11965.153578641017</v>
      </c>
      <c r="Q702">
        <v>7452.7156375131008</v>
      </c>
      <c r="R702">
        <v>23247.035769411636</v>
      </c>
      <c r="S702">
        <v>15081.198374843532</v>
      </c>
      <c r="T702">
        <v>29336.54305950323</v>
      </c>
    </row>
    <row r="703" spans="13:20">
      <c r="M703">
        <v>696</v>
      </c>
      <c r="N703">
        <v>97853.046344536182</v>
      </c>
      <c r="O703">
        <v>11150.249485400886</v>
      </c>
      <c r="P703">
        <v>11949.204014058152</v>
      </c>
      <c r="Q703">
        <v>7713.6956822401762</v>
      </c>
      <c r="R703">
        <v>21968.263202498783</v>
      </c>
      <c r="S703">
        <v>14923.015584480911</v>
      </c>
      <c r="T703">
        <v>29302.456093169425</v>
      </c>
    </row>
    <row r="704" spans="13:20">
      <c r="M704">
        <v>697</v>
      </c>
      <c r="N704">
        <v>100710.1158867476</v>
      </c>
      <c r="O704">
        <v>11275.217012132758</v>
      </c>
      <c r="P704">
        <v>13540.078770403959</v>
      </c>
      <c r="Q704">
        <v>8192.4794173237697</v>
      </c>
      <c r="R704">
        <v>20925.405053412331</v>
      </c>
      <c r="S704">
        <v>15513.228881374876</v>
      </c>
      <c r="T704">
        <v>30097.847079969571</v>
      </c>
    </row>
    <row r="705" spans="13:20">
      <c r="M705">
        <v>698</v>
      </c>
      <c r="N705">
        <v>99098.52867806486</v>
      </c>
      <c r="O705">
        <v>11599.622907015795</v>
      </c>
      <c r="P705">
        <v>13200.817756150593</v>
      </c>
      <c r="Q705">
        <v>7453.0221763349564</v>
      </c>
      <c r="R705">
        <v>20685.758128358506</v>
      </c>
      <c r="S705">
        <v>15414.09692824907</v>
      </c>
      <c r="T705">
        <v>29849.754734027152</v>
      </c>
    </row>
    <row r="706" spans="13:20">
      <c r="M706">
        <v>699</v>
      </c>
      <c r="N706">
        <v>100787.45664730537</v>
      </c>
      <c r="O706">
        <v>11481.643609515171</v>
      </c>
      <c r="P706">
        <v>12914.304804980442</v>
      </c>
      <c r="Q706">
        <v>7232.7111097648167</v>
      </c>
      <c r="R706">
        <v>22538.929060821312</v>
      </c>
      <c r="S706">
        <v>15365.918509007653</v>
      </c>
      <c r="T706">
        <v>30222.871956952436</v>
      </c>
    </row>
    <row r="707" spans="13:20">
      <c r="M707">
        <v>700</v>
      </c>
      <c r="N707">
        <v>100182.03666642132</v>
      </c>
      <c r="O707">
        <v>11246.586496284735</v>
      </c>
      <c r="P707">
        <v>12148.634776643712</v>
      </c>
      <c r="Q707">
        <v>7719.4478770257765</v>
      </c>
      <c r="R707">
        <v>21717.424853530301</v>
      </c>
      <c r="S707">
        <v>16355.090935823962</v>
      </c>
      <c r="T707">
        <v>30079.189968805167</v>
      </c>
    </row>
    <row r="708" spans="13:20">
      <c r="M708">
        <v>701</v>
      </c>
      <c r="N708">
        <v>102009.47742335241</v>
      </c>
      <c r="O708">
        <v>12045.006443457456</v>
      </c>
      <c r="P708">
        <v>12431.781350667452</v>
      </c>
      <c r="Q708">
        <v>8063.7973419152959</v>
      </c>
      <c r="R708">
        <v>22539.189171105631</v>
      </c>
      <c r="S708">
        <v>15895.904083190715</v>
      </c>
      <c r="T708">
        <v>29857.130789792624</v>
      </c>
    </row>
    <row r="709" spans="13:20">
      <c r="M709">
        <v>702</v>
      </c>
      <c r="N709">
        <v>101715.91908202677</v>
      </c>
      <c r="O709">
        <v>11561.401400829993</v>
      </c>
      <c r="P709">
        <v>13609.068111201326</v>
      </c>
      <c r="Q709">
        <v>8291.9371186210774</v>
      </c>
      <c r="R709">
        <v>21488.53953784761</v>
      </c>
      <c r="S709">
        <v>15954.055662545587</v>
      </c>
      <c r="T709">
        <v>29639.275603608854</v>
      </c>
    </row>
    <row r="710" spans="13:20">
      <c r="M710">
        <v>703</v>
      </c>
      <c r="N710">
        <v>99803.399465292197</v>
      </c>
      <c r="O710">
        <v>11491.166624909874</v>
      </c>
      <c r="P710">
        <v>12913.203410349939</v>
      </c>
      <c r="Q710">
        <v>8323.3623201842875</v>
      </c>
      <c r="R710">
        <v>20908.068908365061</v>
      </c>
      <c r="S710">
        <v>15992.469047936875</v>
      </c>
      <c r="T710">
        <v>29142.155028369216</v>
      </c>
    </row>
    <row r="711" spans="13:20">
      <c r="M711">
        <v>704</v>
      </c>
      <c r="N711">
        <v>99139.798196813063</v>
      </c>
      <c r="O711">
        <v>10991.471342434867</v>
      </c>
      <c r="P711">
        <v>11981.180532405931</v>
      </c>
      <c r="Q711">
        <v>7854.1293599882065</v>
      </c>
      <c r="R711">
        <v>21328.814944481819</v>
      </c>
      <c r="S711">
        <v>16418.197410552541</v>
      </c>
      <c r="T711">
        <v>29400.402859659876</v>
      </c>
    </row>
    <row r="712" spans="13:20">
      <c r="M712">
        <v>705</v>
      </c>
      <c r="N712">
        <v>98598.717783720756</v>
      </c>
      <c r="O712">
        <v>11477.854158697191</v>
      </c>
      <c r="P712">
        <v>11265.871421426315</v>
      </c>
      <c r="Q712">
        <v>7118.4470098136526</v>
      </c>
      <c r="R712">
        <v>22424.380781179581</v>
      </c>
      <c r="S712">
        <v>15574.066358094784</v>
      </c>
      <c r="T712">
        <v>29810.429476624518</v>
      </c>
    </row>
    <row r="713" spans="13:20">
      <c r="M713">
        <v>706</v>
      </c>
      <c r="N713">
        <v>99117.989646505041</v>
      </c>
      <c r="O713">
        <v>11374.940447516736</v>
      </c>
      <c r="P713">
        <v>11381.476542393662</v>
      </c>
      <c r="Q713">
        <v>7072.6443500936421</v>
      </c>
      <c r="R713">
        <v>22736.554082463295</v>
      </c>
      <c r="S713">
        <v>15511.841239709122</v>
      </c>
      <c r="T713">
        <v>30207.538063335036</v>
      </c>
    </row>
    <row r="714" spans="13:20">
      <c r="M714">
        <v>707</v>
      </c>
      <c r="N714">
        <v>99686.261261508553</v>
      </c>
      <c r="O714">
        <v>11032.383712421291</v>
      </c>
      <c r="P714">
        <v>13073.94995692977</v>
      </c>
      <c r="Q714">
        <v>7386.1711419611147</v>
      </c>
      <c r="R714">
        <v>21427.863314022208</v>
      </c>
      <c r="S714">
        <v>15568.477022699852</v>
      </c>
      <c r="T714">
        <v>30272.308936162171</v>
      </c>
    </row>
    <row r="715" spans="13:20">
      <c r="M715">
        <v>708</v>
      </c>
      <c r="N715">
        <v>100331.87638644983</v>
      </c>
      <c r="O715">
        <v>11242.038847595086</v>
      </c>
      <c r="P715">
        <v>12127.890536990715</v>
      </c>
      <c r="Q715">
        <v>8087.9422532774624</v>
      </c>
      <c r="R715">
        <v>21046.365991456987</v>
      </c>
      <c r="S715">
        <v>16588.438671213182</v>
      </c>
      <c r="T715">
        <v>30114.583394279671</v>
      </c>
    </row>
    <row r="716" spans="13:20">
      <c r="M716">
        <v>709</v>
      </c>
      <c r="N716">
        <v>100357.68722350489</v>
      </c>
      <c r="O716">
        <v>11494.848000793465</v>
      </c>
      <c r="P716">
        <v>12470.349354232954</v>
      </c>
      <c r="Q716">
        <v>7609.9964810576403</v>
      </c>
      <c r="R716">
        <v>22529.45080253595</v>
      </c>
      <c r="S716">
        <v>15422.302151857559</v>
      </c>
      <c r="T716">
        <v>29867.019704012688</v>
      </c>
    </row>
    <row r="717" spans="13:20">
      <c r="M717">
        <v>710</v>
      </c>
      <c r="N717">
        <v>101836.00290040068</v>
      </c>
      <c r="O717">
        <v>11502.455017567527</v>
      </c>
      <c r="P717">
        <v>13204.448599286075</v>
      </c>
      <c r="Q717">
        <v>7372.6325330201462</v>
      </c>
      <c r="R717">
        <v>22590.725027662855</v>
      </c>
      <c r="S717">
        <v>15876.591339947248</v>
      </c>
      <c r="T717">
        <v>30373.644718745763</v>
      </c>
    </row>
    <row r="718" spans="13:20">
      <c r="M718">
        <v>711</v>
      </c>
      <c r="N718">
        <v>99969.729694224021</v>
      </c>
      <c r="O718">
        <v>11485.364943673969</v>
      </c>
      <c r="P718">
        <v>13115.43892372663</v>
      </c>
      <c r="Q718">
        <v>7423.5255423154886</v>
      </c>
      <c r="R718">
        <v>22115.046250748608</v>
      </c>
      <c r="S718">
        <v>15017.823651962017</v>
      </c>
      <c r="T718">
        <v>29787.91936985428</v>
      </c>
    </row>
    <row r="719" spans="13:20">
      <c r="M719">
        <v>712</v>
      </c>
      <c r="N719">
        <v>98220.318742072806</v>
      </c>
      <c r="O719">
        <v>11132.222252323083</v>
      </c>
      <c r="P719">
        <v>11851.360693908873</v>
      </c>
      <c r="Q719">
        <v>7371.7151665628608</v>
      </c>
      <c r="R719">
        <v>21225.930771692805</v>
      </c>
      <c r="S719">
        <v>16144.514097627165</v>
      </c>
      <c r="T719">
        <v>29597.881239139078</v>
      </c>
    </row>
    <row r="720" spans="13:20">
      <c r="M720">
        <v>713</v>
      </c>
      <c r="N720">
        <v>97881.666869080625</v>
      </c>
      <c r="O720">
        <v>11399.837842894067</v>
      </c>
      <c r="P720">
        <v>12495.245306720855</v>
      </c>
      <c r="Q720">
        <v>7516.4829836048793</v>
      </c>
      <c r="R720">
        <v>21456.225559274233</v>
      </c>
      <c r="S720">
        <v>15282.938894851761</v>
      </c>
      <c r="T720">
        <v>28884.454407806406</v>
      </c>
    </row>
    <row r="721" spans="13:20">
      <c r="M721">
        <v>714</v>
      </c>
      <c r="N721">
        <v>98352.555364811982</v>
      </c>
      <c r="O721">
        <v>11339.069714282537</v>
      </c>
      <c r="P721">
        <v>11719.25364625471</v>
      </c>
      <c r="Q721">
        <v>7058.263021834121</v>
      </c>
      <c r="R721">
        <v>21247.142207609872</v>
      </c>
      <c r="S721">
        <v>15425.187429082616</v>
      </c>
      <c r="T721">
        <v>30402.17031366588</v>
      </c>
    </row>
    <row r="722" spans="13:20">
      <c r="M722">
        <v>715</v>
      </c>
      <c r="N722">
        <v>98816.962276596823</v>
      </c>
      <c r="O722">
        <v>10903.34605724723</v>
      </c>
      <c r="P722">
        <v>12356.334604814274</v>
      </c>
      <c r="Q722">
        <v>8344.4781066093674</v>
      </c>
      <c r="R722">
        <v>21175.539566798841</v>
      </c>
      <c r="S722">
        <v>15219.091132908803</v>
      </c>
      <c r="T722">
        <v>29798.81757909614</v>
      </c>
    </row>
    <row r="723" spans="13:20">
      <c r="M723">
        <v>716</v>
      </c>
      <c r="N723">
        <v>99356.820857858882</v>
      </c>
      <c r="O723">
        <v>11127.114396184577</v>
      </c>
      <c r="P723">
        <v>11919.812267251926</v>
      </c>
      <c r="Q723">
        <v>7322.8716774980576</v>
      </c>
      <c r="R723">
        <v>21888.10704373549</v>
      </c>
      <c r="S723">
        <v>15886.396471073364</v>
      </c>
      <c r="T723">
        <v>30120.275677707796</v>
      </c>
    </row>
    <row r="724" spans="13:20">
      <c r="M724">
        <v>717</v>
      </c>
      <c r="N724">
        <v>98623.836797569587</v>
      </c>
      <c r="O724">
        <v>10897.272449474309</v>
      </c>
      <c r="P724">
        <v>13031.971186670706</v>
      </c>
      <c r="Q724">
        <v>7122.7973728240149</v>
      </c>
      <c r="R724">
        <v>20675.746037233948</v>
      </c>
      <c r="S724">
        <v>15647.848539819957</v>
      </c>
      <c r="T724">
        <v>30188.212037088884</v>
      </c>
    </row>
    <row r="725" spans="13:20">
      <c r="M725">
        <v>718</v>
      </c>
      <c r="N725">
        <v>99893.111062130483</v>
      </c>
      <c r="O725">
        <v>11290.988748650261</v>
      </c>
      <c r="P725">
        <v>13630.683896944252</v>
      </c>
      <c r="Q725">
        <v>6923.722879757368</v>
      </c>
      <c r="R725">
        <v>21195.705477663203</v>
      </c>
      <c r="S725">
        <v>15576.860179703104</v>
      </c>
      <c r="T725">
        <v>30215.877803983109</v>
      </c>
    </row>
    <row r="726" spans="13:20">
      <c r="M726">
        <v>719</v>
      </c>
      <c r="N726">
        <v>98343.468342311768</v>
      </c>
      <c r="O726">
        <v>11823.9817182024</v>
      </c>
      <c r="P726">
        <v>12786.565085328204</v>
      </c>
      <c r="Q726">
        <v>7135.9815816489236</v>
      </c>
      <c r="R726">
        <v>20586.648222236901</v>
      </c>
      <c r="S726">
        <v>15235.904812220859</v>
      </c>
      <c r="T726">
        <v>29804.932726249885</v>
      </c>
    </row>
    <row r="727" spans="13:20">
      <c r="M727">
        <v>720</v>
      </c>
      <c r="N727">
        <v>99015.076787606231</v>
      </c>
      <c r="O727">
        <v>11074.948063186632</v>
      </c>
      <c r="P727">
        <v>12367.585657096828</v>
      </c>
      <c r="Q727">
        <v>8015.6270376374214</v>
      </c>
      <c r="R727">
        <v>22680.663946579971</v>
      </c>
      <c r="S727">
        <v>14521.26051375763</v>
      </c>
      <c r="T727">
        <v>29442.935772351888</v>
      </c>
    </row>
    <row r="728" spans="13:20">
      <c r="M728">
        <v>721</v>
      </c>
      <c r="N728">
        <v>98989.672111298889</v>
      </c>
      <c r="O728">
        <v>11387.298610577955</v>
      </c>
      <c r="P728">
        <v>12538.221736704396</v>
      </c>
      <c r="Q728">
        <v>8137.4312736303182</v>
      </c>
      <c r="R728">
        <v>20705.568665208473</v>
      </c>
      <c r="S728">
        <v>15563.314099879095</v>
      </c>
      <c r="T728">
        <v>29753.593031371845</v>
      </c>
    </row>
    <row r="729" spans="13:20">
      <c r="M729">
        <v>722</v>
      </c>
      <c r="N729">
        <v>101571.4066405717</v>
      </c>
      <c r="O729">
        <v>11213.935946491296</v>
      </c>
      <c r="P729">
        <v>12821.099925192862</v>
      </c>
      <c r="Q729">
        <v>8156.687013346861</v>
      </c>
      <c r="R729">
        <v>22485.516671739955</v>
      </c>
      <c r="S729">
        <v>15449.102051317215</v>
      </c>
      <c r="T729">
        <v>30624.685264678083</v>
      </c>
    </row>
    <row r="730" spans="13:20">
      <c r="M730">
        <v>723</v>
      </c>
      <c r="N730">
        <v>100349.22091300612</v>
      </c>
      <c r="O730">
        <v>11427.389728258759</v>
      </c>
      <c r="P730">
        <v>11555.527301146023</v>
      </c>
      <c r="Q730">
        <v>7793.2432441878618</v>
      </c>
      <c r="R730">
        <v>22516.116190278521</v>
      </c>
      <c r="S730">
        <v>16215.298919993893</v>
      </c>
      <c r="T730">
        <v>29953.279243993813</v>
      </c>
    </row>
    <row r="731" spans="13:20">
      <c r="M731">
        <v>724</v>
      </c>
      <c r="N731">
        <v>100386.37722649709</v>
      </c>
      <c r="O731">
        <v>11131.709086466759</v>
      </c>
      <c r="P731">
        <v>12699.204261651581</v>
      </c>
      <c r="Q731">
        <v>7835.3109971892354</v>
      </c>
      <c r="R731">
        <v>21584.033229048579</v>
      </c>
      <c r="S731">
        <v>15305.764433035773</v>
      </c>
      <c r="T731">
        <v>30873.045161650494</v>
      </c>
    </row>
    <row r="732" spans="13:20">
      <c r="M732">
        <v>725</v>
      </c>
      <c r="N732">
        <v>99354.095253529187</v>
      </c>
      <c r="O732">
        <v>11358.434826002394</v>
      </c>
      <c r="P732">
        <v>12154.968149391745</v>
      </c>
      <c r="Q732">
        <v>7528.3660518621973</v>
      </c>
      <c r="R732">
        <v>21580.680386327629</v>
      </c>
      <c r="S732">
        <v>15770.392321078107</v>
      </c>
      <c r="T732">
        <v>29817.474653653284</v>
      </c>
    </row>
    <row r="733" spans="13:20">
      <c r="M733">
        <v>726</v>
      </c>
      <c r="N733">
        <v>101307.81283312205</v>
      </c>
      <c r="O733">
        <v>11224.029814078262</v>
      </c>
      <c r="P733">
        <v>12415.160910556802</v>
      </c>
      <c r="Q733">
        <v>7545.1333926263051</v>
      </c>
      <c r="R733">
        <v>23244.405365097129</v>
      </c>
      <c r="S733">
        <v>15460.412925057641</v>
      </c>
      <c r="T733">
        <v>30193.222072596298</v>
      </c>
    </row>
    <row r="734" spans="13:20">
      <c r="M734">
        <v>727</v>
      </c>
      <c r="N734">
        <v>98171.91678290398</v>
      </c>
      <c r="O734">
        <v>11143.287369589892</v>
      </c>
      <c r="P734">
        <v>11916.991231069653</v>
      </c>
      <c r="Q734">
        <v>7128.102959805612</v>
      </c>
      <c r="R734">
        <v>22431.000972457427</v>
      </c>
      <c r="S734">
        <v>15337.043479338095</v>
      </c>
      <c r="T734">
        <v>29155.585471344908</v>
      </c>
    </row>
    <row r="735" spans="13:20">
      <c r="M735">
        <v>728</v>
      </c>
      <c r="N735">
        <v>101128.65444650501</v>
      </c>
      <c r="O735">
        <v>11155.006979730702</v>
      </c>
      <c r="P735">
        <v>11698.466404974333</v>
      </c>
      <c r="Q735">
        <v>8022.097230093781</v>
      </c>
      <c r="R735">
        <v>23893.778208032978</v>
      </c>
      <c r="S735">
        <v>15900.482381899688</v>
      </c>
      <c r="T735">
        <v>29611.581368520143</v>
      </c>
    </row>
    <row r="736" spans="13:20">
      <c r="M736">
        <v>729</v>
      </c>
      <c r="N736">
        <v>99235.79739466343</v>
      </c>
      <c r="O736">
        <v>11117.845285697222</v>
      </c>
      <c r="P736">
        <v>12274.211748614482</v>
      </c>
      <c r="Q736">
        <v>7786.7349906725622</v>
      </c>
      <c r="R736">
        <v>21299.463804106948</v>
      </c>
      <c r="S736">
        <v>15959.132454628023</v>
      </c>
      <c r="T736">
        <v>29786.079125051365</v>
      </c>
    </row>
    <row r="737" spans="13:20">
      <c r="M737">
        <v>730</v>
      </c>
      <c r="N737">
        <v>100695.96969344985</v>
      </c>
      <c r="O737">
        <v>11661.21649555317</v>
      </c>
      <c r="P737">
        <v>11900.497533245523</v>
      </c>
      <c r="Q737">
        <v>7057.0591614659143</v>
      </c>
      <c r="R737">
        <v>23411.332777231422</v>
      </c>
      <c r="S737">
        <v>15882.936454143088</v>
      </c>
      <c r="T737">
        <v>29598.46685163393</v>
      </c>
    </row>
    <row r="738" spans="13:20">
      <c r="M738">
        <v>731</v>
      </c>
      <c r="N738">
        <v>98822.692621529684</v>
      </c>
      <c r="O738">
        <v>11215.630839371697</v>
      </c>
      <c r="P738">
        <v>11953.765816770076</v>
      </c>
      <c r="Q738">
        <v>7214.2868119835748</v>
      </c>
      <c r="R738">
        <v>21477.596614453341</v>
      </c>
      <c r="S738">
        <v>16011.87375701868</v>
      </c>
      <c r="T738">
        <v>29927.441008733367</v>
      </c>
    </row>
    <row r="739" spans="13:20">
      <c r="M739">
        <v>732</v>
      </c>
      <c r="N739">
        <v>101179.28494190924</v>
      </c>
      <c r="O739">
        <v>11120.278501453467</v>
      </c>
      <c r="P739">
        <v>12791.865243205333</v>
      </c>
      <c r="Q739">
        <v>8019.7350731817833</v>
      </c>
      <c r="R739">
        <v>22157.853843909688</v>
      </c>
      <c r="S739">
        <v>15848.492764086404</v>
      </c>
      <c r="T739">
        <v>30293.901480485139</v>
      </c>
    </row>
    <row r="740" spans="13:20">
      <c r="M740">
        <v>733</v>
      </c>
      <c r="N740">
        <v>101574.87029452941</v>
      </c>
      <c r="O740">
        <v>11941.432774860779</v>
      </c>
      <c r="P740">
        <v>12088.448540851834</v>
      </c>
      <c r="Q740">
        <v>8096.2785683556313</v>
      </c>
      <c r="R740">
        <v>22942.818698233579</v>
      </c>
      <c r="S740">
        <v>15727.672108932922</v>
      </c>
      <c r="T740">
        <v>29839.504606804294</v>
      </c>
    </row>
    <row r="741" spans="13:20">
      <c r="M741">
        <v>734</v>
      </c>
      <c r="N741">
        <v>100247.36542784989</v>
      </c>
      <c r="O741">
        <v>11251.217664069014</v>
      </c>
      <c r="P741">
        <v>13018.235130985664</v>
      </c>
      <c r="Q741">
        <v>8252.9158869455496</v>
      </c>
      <c r="R741">
        <v>22527.737680607923</v>
      </c>
      <c r="S741">
        <v>15591.129735266837</v>
      </c>
      <c r="T741">
        <v>28708.705683093336</v>
      </c>
    </row>
    <row r="742" spans="13:20">
      <c r="M742">
        <v>735</v>
      </c>
      <c r="N742">
        <v>97350.238934279681</v>
      </c>
      <c r="O742">
        <v>10746.637532746268</v>
      </c>
      <c r="P742">
        <v>11819.958394419018</v>
      </c>
      <c r="Q742">
        <v>7533.0200978335288</v>
      </c>
      <c r="R742">
        <v>21748.611044329569</v>
      </c>
      <c r="S742">
        <v>15265.927978971285</v>
      </c>
      <c r="T742">
        <v>29395.921307729794</v>
      </c>
    </row>
    <row r="743" spans="13:20">
      <c r="M743">
        <v>736</v>
      </c>
      <c r="N743">
        <v>97800.157735008601</v>
      </c>
      <c r="O743">
        <v>10942.243499622171</v>
      </c>
      <c r="P743">
        <v>11580.909100518453</v>
      </c>
      <c r="Q743">
        <v>7242.9948208813212</v>
      </c>
      <c r="R743">
        <v>21813.834654393751</v>
      </c>
      <c r="S743">
        <v>16055.307686567565</v>
      </c>
      <c r="T743">
        <v>29223.08248154258</v>
      </c>
    </row>
    <row r="744" spans="13:20">
      <c r="M744">
        <v>737</v>
      </c>
      <c r="N744">
        <v>100114.4969394872</v>
      </c>
      <c r="O744">
        <v>11505.944333920532</v>
      </c>
      <c r="P744">
        <v>12551.7527343733</v>
      </c>
      <c r="Q744">
        <v>8223.6391947664288</v>
      </c>
      <c r="R744">
        <v>21829.705713236948</v>
      </c>
      <c r="S744">
        <v>15576.764496142758</v>
      </c>
      <c r="T744">
        <v>29400.494149026541</v>
      </c>
    </row>
    <row r="745" spans="13:20">
      <c r="M745">
        <v>738</v>
      </c>
      <c r="N745">
        <v>98241.342108879689</v>
      </c>
      <c r="O745">
        <v>11108.970347148255</v>
      </c>
      <c r="P745">
        <v>12727.529559722956</v>
      </c>
      <c r="Q745">
        <v>6956.8809780227275</v>
      </c>
      <c r="R745">
        <v>20955.535296423299</v>
      </c>
      <c r="S745">
        <v>16259.92369857312</v>
      </c>
      <c r="T745">
        <v>29186.919078204075</v>
      </c>
    </row>
    <row r="746" spans="13:20">
      <c r="M746">
        <v>739</v>
      </c>
      <c r="N746">
        <v>102028.53953049418</v>
      </c>
      <c r="O746">
        <v>10888.940610742926</v>
      </c>
      <c r="P746">
        <v>12662.334066546033</v>
      </c>
      <c r="Q746">
        <v>8072.2977052916385</v>
      </c>
      <c r="R746">
        <v>23603.977328616584</v>
      </c>
      <c r="S746">
        <v>16096.726597173963</v>
      </c>
      <c r="T746">
        <v>29659.812060298387</v>
      </c>
    </row>
    <row r="747" spans="13:20">
      <c r="M747">
        <v>740</v>
      </c>
      <c r="N747">
        <v>98468.83939783118</v>
      </c>
      <c r="O747">
        <v>11549.22095866253</v>
      </c>
      <c r="P747">
        <v>11593.67860323515</v>
      </c>
      <c r="Q747">
        <v>7382.8548654197048</v>
      </c>
      <c r="R747">
        <v>22322.853599886097</v>
      </c>
      <c r="S747">
        <v>15383.980196345508</v>
      </c>
      <c r="T747">
        <v>29267.374444383506</v>
      </c>
    </row>
    <row r="748" spans="13:20">
      <c r="M748">
        <v>741</v>
      </c>
      <c r="N748">
        <v>98419.012990944262</v>
      </c>
      <c r="O748">
        <v>11049.954537034679</v>
      </c>
      <c r="P748">
        <v>11804.251781013447</v>
      </c>
      <c r="Q748">
        <v>7577.9175602275282</v>
      </c>
      <c r="R748">
        <v>22275.078473008005</v>
      </c>
      <c r="S748">
        <v>15430.597016354986</v>
      </c>
      <c r="T748">
        <v>29315.923188895107</v>
      </c>
    </row>
    <row r="749" spans="13:20">
      <c r="M749">
        <v>742</v>
      </c>
      <c r="N749">
        <v>99266.933544246538</v>
      </c>
      <c r="O749">
        <v>11031.664016080786</v>
      </c>
      <c r="P749">
        <v>13486.825902578821</v>
      </c>
      <c r="Q749">
        <v>7464.4858534211116</v>
      </c>
      <c r="R749">
        <v>21628.637239134325</v>
      </c>
      <c r="S749">
        <v>15563.789813124431</v>
      </c>
      <c r="T749">
        <v>29194.162225706892</v>
      </c>
    </row>
    <row r="750" spans="13:20">
      <c r="M750">
        <v>743</v>
      </c>
      <c r="N750">
        <v>100889.11512910052</v>
      </c>
      <c r="O750">
        <v>11227.141787511882</v>
      </c>
      <c r="P750">
        <v>11991.119155467666</v>
      </c>
      <c r="Q750">
        <v>7491.9638033890014</v>
      </c>
      <c r="R750">
        <v>23053.770166095823</v>
      </c>
      <c r="S750">
        <v>16172.352881075756</v>
      </c>
      <c r="T750">
        <v>29857.162924246251</v>
      </c>
    </row>
    <row r="751" spans="13:20">
      <c r="M751">
        <v>744</v>
      </c>
      <c r="N751">
        <v>99381.292478252843</v>
      </c>
      <c r="O751">
        <v>11303.45738073442</v>
      </c>
      <c r="P751">
        <v>13555.573454649973</v>
      </c>
      <c r="Q751">
        <v>7174.7697020518972</v>
      </c>
      <c r="R751">
        <v>21707.778519830044</v>
      </c>
      <c r="S751">
        <v>15280.326906580576</v>
      </c>
      <c r="T751">
        <v>29292.43039732485</v>
      </c>
    </row>
    <row r="752" spans="13:20">
      <c r="M752">
        <v>745</v>
      </c>
      <c r="N752">
        <v>97313.87499373508</v>
      </c>
      <c r="O752">
        <v>11195.366178926815</v>
      </c>
      <c r="P752">
        <v>11920.618746667049</v>
      </c>
      <c r="Q752">
        <v>7224.1684586899564</v>
      </c>
      <c r="R752">
        <v>21299.564057239615</v>
      </c>
      <c r="S752">
        <v>15840.54831306272</v>
      </c>
      <c r="T752">
        <v>28864.177657067325</v>
      </c>
    </row>
    <row r="753" spans="13:20">
      <c r="M753">
        <v>746</v>
      </c>
      <c r="N753">
        <v>98674.407013296412</v>
      </c>
      <c r="O753">
        <v>10940.009965793975</v>
      </c>
      <c r="P753">
        <v>11690.209100257645</v>
      </c>
      <c r="Q753">
        <v>7006.4056418843511</v>
      </c>
      <c r="R753">
        <v>21629.447784106025</v>
      </c>
      <c r="S753">
        <v>16266.842243727386</v>
      </c>
      <c r="T753">
        <v>30135.973720653466</v>
      </c>
    </row>
    <row r="754" spans="13:20">
      <c r="M754">
        <v>747</v>
      </c>
      <c r="N754">
        <v>99405.01588669121</v>
      </c>
      <c r="O754">
        <v>11143.04784290621</v>
      </c>
      <c r="P754">
        <v>12934.400965432827</v>
      </c>
      <c r="Q754">
        <v>7312.0509036014018</v>
      </c>
      <c r="R754">
        <v>21814.305024387591</v>
      </c>
      <c r="S754">
        <v>15610.36723417079</v>
      </c>
      <c r="T754">
        <v>29683.102111105542</v>
      </c>
    </row>
    <row r="755" spans="13:20">
      <c r="M755">
        <v>748</v>
      </c>
      <c r="N755">
        <v>99549.823651113955</v>
      </c>
      <c r="O755">
        <v>11795.132549243826</v>
      </c>
      <c r="P755">
        <v>11726.768599286617</v>
      </c>
      <c r="Q755">
        <v>7171.8453326251565</v>
      </c>
      <c r="R755">
        <v>23363.369557058377</v>
      </c>
      <c r="S755">
        <v>15030.404603208077</v>
      </c>
      <c r="T755">
        <v>29613.772051486445</v>
      </c>
    </row>
    <row r="756" spans="13:20">
      <c r="M756">
        <v>749</v>
      </c>
      <c r="N756">
        <v>98132.747101953268</v>
      </c>
      <c r="O756">
        <v>11616.118027813303</v>
      </c>
      <c r="P756">
        <v>12014.530799395041</v>
      </c>
      <c r="Q756">
        <v>7484.7328332674278</v>
      </c>
      <c r="R756">
        <v>20738.324586897405</v>
      </c>
      <c r="S756">
        <v>15286.395784671111</v>
      </c>
      <c r="T756">
        <v>29854.803441702654</v>
      </c>
    </row>
    <row r="757" spans="13:20">
      <c r="M757">
        <v>750</v>
      </c>
      <c r="N757">
        <v>99621.57201305253</v>
      </c>
      <c r="O757">
        <v>11136.053283933437</v>
      </c>
      <c r="P757">
        <v>12333.179555559218</v>
      </c>
      <c r="Q757">
        <v>7460.9601023205914</v>
      </c>
      <c r="R757">
        <v>22482.08363624191</v>
      </c>
      <c r="S757">
        <v>15434.125439603245</v>
      </c>
      <c r="T757">
        <v>29923.118794992359</v>
      </c>
    </row>
    <row r="758" spans="13:20">
      <c r="M758">
        <v>751</v>
      </c>
      <c r="N758">
        <v>99795.423476602489</v>
      </c>
      <c r="O758">
        <v>10817.233774250048</v>
      </c>
      <c r="P758">
        <v>13411.006250083838</v>
      </c>
      <c r="Q758">
        <v>7083.2823703736422</v>
      </c>
      <c r="R758">
        <v>22489.080997405748</v>
      </c>
      <c r="S758">
        <v>15453.665179825475</v>
      </c>
      <c r="T758">
        <v>29573.357855956052</v>
      </c>
    </row>
    <row r="759" spans="13:20">
      <c r="M759">
        <v>752</v>
      </c>
      <c r="N759">
        <v>99411.045718150272</v>
      </c>
      <c r="O759">
        <v>10705.619825443888</v>
      </c>
      <c r="P759">
        <v>11455.758783522009</v>
      </c>
      <c r="Q759">
        <v>8280.1384453675691</v>
      </c>
      <c r="R759">
        <v>22962.417926304846</v>
      </c>
      <c r="S759">
        <v>15393.994503744567</v>
      </c>
      <c r="T759">
        <v>29525.453991405058</v>
      </c>
    </row>
    <row r="760" spans="13:20">
      <c r="M760">
        <v>753</v>
      </c>
      <c r="N760">
        <v>99419.056214003518</v>
      </c>
      <c r="O760">
        <v>11341.060294431214</v>
      </c>
      <c r="P760">
        <v>13412.932267034088</v>
      </c>
      <c r="Q760">
        <v>6944.0692793398721</v>
      </c>
      <c r="R760">
        <v>21744.870545989848</v>
      </c>
      <c r="S760">
        <v>14629.914179225549</v>
      </c>
      <c r="T760">
        <v>30324.787752067925</v>
      </c>
    </row>
    <row r="761" spans="13:20">
      <c r="M761">
        <v>754</v>
      </c>
      <c r="N761">
        <v>100740.59877835019</v>
      </c>
      <c r="O761">
        <v>10926.226938510958</v>
      </c>
      <c r="P761">
        <v>12403.214477127767</v>
      </c>
      <c r="Q761">
        <v>7565.0189893939933</v>
      </c>
      <c r="R761">
        <v>23280.502505507142</v>
      </c>
      <c r="S761">
        <v>15517.543301533256</v>
      </c>
      <c r="T761">
        <v>29990.074946701399</v>
      </c>
    </row>
    <row r="762" spans="13:20">
      <c r="M762">
        <v>755</v>
      </c>
      <c r="N762">
        <v>99475.848207982039</v>
      </c>
      <c r="O762">
        <v>10970.541983359693</v>
      </c>
      <c r="P762">
        <v>12783.035923811811</v>
      </c>
      <c r="Q762">
        <v>7371.4268929603722</v>
      </c>
      <c r="R762">
        <v>21736.812342601963</v>
      </c>
      <c r="S762">
        <v>15446.242383812274</v>
      </c>
      <c r="T762">
        <v>30230.258941187862</v>
      </c>
    </row>
    <row r="763" spans="13:20">
      <c r="M763">
        <v>756</v>
      </c>
      <c r="N763">
        <v>100415.53658131648</v>
      </c>
      <c r="O763">
        <v>11210.708768557801</v>
      </c>
      <c r="P763">
        <v>12034.738056781242</v>
      </c>
      <c r="Q763">
        <v>7071.7570836999375</v>
      </c>
      <c r="R763">
        <v>23173.606967094925</v>
      </c>
      <c r="S763">
        <v>16238.610819971105</v>
      </c>
      <c r="T763">
        <v>29490.110561146903</v>
      </c>
    </row>
    <row r="764" spans="13:20">
      <c r="M764">
        <v>757</v>
      </c>
      <c r="N764">
        <v>99965.543478312509</v>
      </c>
      <c r="O764">
        <v>11145.23316238539</v>
      </c>
      <c r="P764">
        <v>11069.067722161444</v>
      </c>
      <c r="Q764">
        <v>7099.2641335211511</v>
      </c>
      <c r="R764">
        <v>23150.788886335897</v>
      </c>
      <c r="S764">
        <v>16200.525444708244</v>
      </c>
      <c r="T764">
        <v>30375.133747555003</v>
      </c>
    </row>
    <row r="765" spans="13:20">
      <c r="M765">
        <v>758</v>
      </c>
      <c r="N765">
        <v>101922.28436829495</v>
      </c>
      <c r="O765">
        <v>10961.04362968675</v>
      </c>
      <c r="P765">
        <v>13272.686062348443</v>
      </c>
      <c r="Q765">
        <v>8138.9101669304782</v>
      </c>
      <c r="R765">
        <v>22697.82679255712</v>
      </c>
      <c r="S765">
        <v>16115.452777339166</v>
      </c>
      <c r="T765">
        <v>29526.154503733502</v>
      </c>
    </row>
    <row r="766" spans="13:20">
      <c r="M766">
        <v>759</v>
      </c>
      <c r="N766">
        <v>98269.854654081471</v>
      </c>
      <c r="O766">
        <v>10920.843582550486</v>
      </c>
      <c r="P766">
        <v>12215.069668310522</v>
      </c>
      <c r="Q766">
        <v>7429.3684673183507</v>
      </c>
      <c r="R766">
        <v>21270.605234248716</v>
      </c>
      <c r="S766">
        <v>15700.332251976437</v>
      </c>
      <c r="T766">
        <v>29747.072956908232</v>
      </c>
    </row>
    <row r="767" spans="13:20">
      <c r="M767">
        <v>760</v>
      </c>
      <c r="N767">
        <v>97505.786113947819</v>
      </c>
      <c r="O767">
        <v>10956.947660733991</v>
      </c>
      <c r="P767">
        <v>11764.493187665894</v>
      </c>
      <c r="Q767">
        <v>7130.4824280160992</v>
      </c>
      <c r="R767">
        <v>20819.34041504356</v>
      </c>
      <c r="S767">
        <v>16070.409045366951</v>
      </c>
      <c r="T767">
        <v>29635.427567443741</v>
      </c>
    </row>
    <row r="768" spans="13:20">
      <c r="M768">
        <v>761</v>
      </c>
      <c r="N768">
        <v>98427.365016249852</v>
      </c>
      <c r="O768">
        <v>10789.791275024359</v>
      </c>
      <c r="P768">
        <v>13615.756914977443</v>
      </c>
      <c r="Q768">
        <v>8058.5620105340813</v>
      </c>
      <c r="R768">
        <v>20393.047456283173</v>
      </c>
      <c r="S768">
        <v>15905.518905260167</v>
      </c>
      <c r="T768">
        <v>28609.749923852389</v>
      </c>
    </row>
    <row r="769" spans="13:20">
      <c r="M769">
        <v>762</v>
      </c>
      <c r="N769">
        <v>100278.47152313153</v>
      </c>
      <c r="O769">
        <v>11418.35297476581</v>
      </c>
      <c r="P769">
        <v>13779.337533347047</v>
      </c>
      <c r="Q769">
        <v>7099.0211460751352</v>
      </c>
      <c r="R769">
        <v>21094.963411186731</v>
      </c>
      <c r="S769">
        <v>16218.416233880116</v>
      </c>
      <c r="T769">
        <v>29621.670736079119</v>
      </c>
    </row>
    <row r="770" spans="13:20">
      <c r="M770">
        <v>763</v>
      </c>
      <c r="N770">
        <v>99811.556779612845</v>
      </c>
      <c r="O770">
        <v>10971.802429455316</v>
      </c>
      <c r="P770">
        <v>12762.054637459911</v>
      </c>
      <c r="Q770">
        <v>7639.6612384774917</v>
      </c>
      <c r="R770">
        <v>21983.282011481861</v>
      </c>
      <c r="S770">
        <v>15377.33242508591</v>
      </c>
      <c r="T770">
        <v>29933.127019661468</v>
      </c>
    </row>
    <row r="771" spans="13:20">
      <c r="M771">
        <v>764</v>
      </c>
      <c r="N771">
        <v>97843.583829126888</v>
      </c>
      <c r="O771">
        <v>11337.266741548274</v>
      </c>
      <c r="P771">
        <v>11030.569300493185</v>
      </c>
      <c r="Q771">
        <v>7597.9347629160802</v>
      </c>
      <c r="R771">
        <v>23034.055315642701</v>
      </c>
      <c r="S771">
        <v>15231.354251818706</v>
      </c>
      <c r="T771">
        <v>28614.422697803711</v>
      </c>
    </row>
    <row r="772" spans="13:20">
      <c r="M772">
        <v>765</v>
      </c>
      <c r="N772">
        <v>100708.13174172929</v>
      </c>
      <c r="O772">
        <v>11231.355680605337</v>
      </c>
      <c r="P772">
        <v>13452.062489162821</v>
      </c>
      <c r="Q772">
        <v>7876.7301145369875</v>
      </c>
      <c r="R772">
        <v>21690.66373717185</v>
      </c>
      <c r="S772">
        <v>15991.078306161977</v>
      </c>
      <c r="T772">
        <v>29525.313573903448</v>
      </c>
    </row>
    <row r="773" spans="13:20">
      <c r="M773">
        <v>766</v>
      </c>
      <c r="N773">
        <v>101404.12525375072</v>
      </c>
      <c r="O773">
        <v>11474.558051937425</v>
      </c>
      <c r="P773">
        <v>14571.381749593083</v>
      </c>
      <c r="Q773">
        <v>8369.0131098274469</v>
      </c>
      <c r="R773">
        <v>20613.433965296234</v>
      </c>
      <c r="S773">
        <v>15229.415679120504</v>
      </c>
      <c r="T773">
        <v>30189.47249679486</v>
      </c>
    </row>
    <row r="774" spans="13:20">
      <c r="M774">
        <v>767</v>
      </c>
      <c r="N774">
        <v>97549.051592857708</v>
      </c>
      <c r="O774">
        <v>10856.066962833294</v>
      </c>
      <c r="P774">
        <v>12551.548932633446</v>
      </c>
      <c r="Q774">
        <v>7320.8272892269315</v>
      </c>
      <c r="R774">
        <v>21084.543847763307</v>
      </c>
      <c r="S774">
        <v>15161.452862057291</v>
      </c>
      <c r="T774">
        <v>29629.799126344446</v>
      </c>
    </row>
    <row r="775" spans="13:20">
      <c r="M775">
        <v>768</v>
      </c>
      <c r="N775">
        <v>97505.323810033398</v>
      </c>
      <c r="O775">
        <v>11162.723362769901</v>
      </c>
      <c r="P775">
        <v>12545.090535165869</v>
      </c>
      <c r="Q775">
        <v>7098.5026954922641</v>
      </c>
      <c r="R775">
        <v>20520.139829879263</v>
      </c>
      <c r="S775">
        <v>15219.206281129149</v>
      </c>
      <c r="T775">
        <v>29947.226168055164</v>
      </c>
    </row>
    <row r="776" spans="13:20">
      <c r="M776">
        <v>769</v>
      </c>
      <c r="N776">
        <v>97968.85250708113</v>
      </c>
      <c r="O776">
        <v>11232.109993558632</v>
      </c>
      <c r="P776">
        <v>12734.739541955645</v>
      </c>
      <c r="Q776">
        <v>7156.7942568602211</v>
      </c>
      <c r="R776">
        <v>21274.655575664754</v>
      </c>
      <c r="S776">
        <v>14849.035961398851</v>
      </c>
      <c r="T776">
        <v>29690.285964896309</v>
      </c>
    </row>
    <row r="777" spans="13:20">
      <c r="M777">
        <v>770</v>
      </c>
      <c r="N777">
        <v>102597.018118527</v>
      </c>
      <c r="O777">
        <v>11252.160693187887</v>
      </c>
      <c r="P777">
        <v>13471.042253641208</v>
      </c>
      <c r="Q777">
        <v>7936.4857389806748</v>
      </c>
      <c r="R777">
        <v>22181.738567091044</v>
      </c>
      <c r="S777">
        <v>16070.181435613827</v>
      </c>
      <c r="T777">
        <v>30661.477899303263</v>
      </c>
    </row>
    <row r="778" spans="13:20">
      <c r="M778">
        <v>771</v>
      </c>
      <c r="N778">
        <v>97340.950467104776</v>
      </c>
      <c r="O778">
        <v>11079.383677525144</v>
      </c>
      <c r="P778">
        <v>12161.436380531366</v>
      </c>
      <c r="Q778">
        <v>7384.0246216419328</v>
      </c>
      <c r="R778">
        <v>20328.997969905875</v>
      </c>
      <c r="S778">
        <v>15135.455514053694</v>
      </c>
      <c r="T778">
        <v>30198.962524479852</v>
      </c>
    </row>
    <row r="779" spans="13:20">
      <c r="M779">
        <v>772</v>
      </c>
      <c r="N779">
        <v>100051.24317795633</v>
      </c>
      <c r="O779">
        <v>11810.749204938418</v>
      </c>
      <c r="P779">
        <v>12621.256661184263</v>
      </c>
      <c r="Q779">
        <v>7342.0285785676606</v>
      </c>
      <c r="R779">
        <v>21604.737859820369</v>
      </c>
      <c r="S779">
        <v>15584.279668284336</v>
      </c>
      <c r="T779">
        <v>30128.759471673777</v>
      </c>
    </row>
    <row r="780" spans="13:20">
      <c r="M780">
        <v>773</v>
      </c>
      <c r="N780">
        <v>97561.220428430199</v>
      </c>
      <c r="O780">
        <v>10886.999700399818</v>
      </c>
      <c r="P780">
        <v>12304.131088916471</v>
      </c>
      <c r="Q780">
        <v>7101.7465267267098</v>
      </c>
      <c r="R780">
        <v>21506.71854559291</v>
      </c>
      <c r="S780">
        <v>16037.424250794613</v>
      </c>
      <c r="T780">
        <v>28706.626569869768</v>
      </c>
    </row>
    <row r="781" spans="13:20">
      <c r="M781">
        <v>774</v>
      </c>
      <c r="N781">
        <v>98331.739007088094</v>
      </c>
      <c r="O781">
        <v>11100.010995588578</v>
      </c>
      <c r="P781">
        <v>12459.546324481431</v>
      </c>
      <c r="Q781">
        <v>6816.0419675911262</v>
      </c>
      <c r="R781">
        <v>21627.941557885904</v>
      </c>
      <c r="S781">
        <v>15650.520498400647</v>
      </c>
      <c r="T781">
        <v>29607.753515309727</v>
      </c>
    </row>
    <row r="782" spans="13:20">
      <c r="M782">
        <v>775</v>
      </c>
      <c r="N782">
        <v>100791.5672574043</v>
      </c>
      <c r="O782">
        <v>11218.318182563055</v>
      </c>
      <c r="P782">
        <v>11910.908849714393</v>
      </c>
      <c r="Q782">
        <v>7969.2740551116312</v>
      </c>
      <c r="R782">
        <v>23211.612850360008</v>
      </c>
      <c r="S782">
        <v>15469.192075220593</v>
      </c>
      <c r="T782">
        <v>30053.166564622297</v>
      </c>
    </row>
    <row r="783" spans="13:20">
      <c r="M783">
        <v>776</v>
      </c>
      <c r="N783">
        <v>99369.622392897392</v>
      </c>
      <c r="O783">
        <v>10717.296073964291</v>
      </c>
      <c r="P783">
        <v>13330.943932046539</v>
      </c>
      <c r="Q783">
        <v>7974.5393907084344</v>
      </c>
      <c r="R783">
        <v>21956.704828245543</v>
      </c>
      <c r="S783">
        <v>15741.496676106979</v>
      </c>
      <c r="T783">
        <v>28837.965822127044</v>
      </c>
    </row>
    <row r="784" spans="13:20">
      <c r="M784">
        <v>777</v>
      </c>
      <c r="N784">
        <v>98807.865638036877</v>
      </c>
      <c r="O784">
        <v>10990.604532795021</v>
      </c>
      <c r="P784">
        <v>12398.887396134625</v>
      </c>
      <c r="Q784">
        <v>8299.4881437501499</v>
      </c>
      <c r="R784">
        <v>21908.250207534344</v>
      </c>
      <c r="S784">
        <v>15892.926107318461</v>
      </c>
      <c r="T784">
        <v>28263.09798166962</v>
      </c>
    </row>
    <row r="785" spans="13:20">
      <c r="M785">
        <v>778</v>
      </c>
      <c r="N785">
        <v>100872.25203272067</v>
      </c>
      <c r="O785">
        <v>11082.871662819067</v>
      </c>
      <c r="P785">
        <v>14320.975520258471</v>
      </c>
      <c r="Q785">
        <v>7722.4323338515442</v>
      </c>
      <c r="R785">
        <v>22415.83469173286</v>
      </c>
      <c r="S785">
        <v>15324.972113007194</v>
      </c>
      <c r="T785">
        <v>29179.076236199078</v>
      </c>
    </row>
    <row r="786" spans="13:20">
      <c r="M786">
        <v>779</v>
      </c>
      <c r="N786">
        <v>98423.252293671161</v>
      </c>
      <c r="O786">
        <v>11159.968100684757</v>
      </c>
      <c r="P786">
        <v>12771.628236566341</v>
      </c>
      <c r="Q786">
        <v>7173.4903965354206</v>
      </c>
      <c r="R786">
        <v>20612.559594270759</v>
      </c>
      <c r="S786">
        <v>15763.521494817813</v>
      </c>
      <c r="T786">
        <v>29774.994654111779</v>
      </c>
    </row>
    <row r="787" spans="13:20">
      <c r="M787">
        <v>780</v>
      </c>
      <c r="N787">
        <v>99469.730548410531</v>
      </c>
      <c r="O787">
        <v>10799.972145194102</v>
      </c>
      <c r="P787">
        <v>12462.299140815676</v>
      </c>
      <c r="Q787">
        <v>7536.8621372476264</v>
      </c>
      <c r="R787">
        <v>22491.61822991963</v>
      </c>
      <c r="S787">
        <v>15677.825536911489</v>
      </c>
      <c r="T787">
        <v>29365.651388285543</v>
      </c>
    </row>
    <row r="788" spans="13:20">
      <c r="M788">
        <v>781</v>
      </c>
      <c r="N788">
        <v>98528.595723957478</v>
      </c>
      <c r="O788">
        <v>11081.080617977741</v>
      </c>
      <c r="P788">
        <v>12261.468478472503</v>
      </c>
      <c r="Q788">
        <v>8562.5172781371184</v>
      </c>
      <c r="R788">
        <v>20480.21129998003</v>
      </c>
      <c r="S788">
        <v>16492.345234082284</v>
      </c>
      <c r="T788">
        <v>28935.609873955284</v>
      </c>
    </row>
    <row r="789" spans="13:20">
      <c r="M789">
        <v>782</v>
      </c>
      <c r="N789">
        <v>98134.413009409443</v>
      </c>
      <c r="O789">
        <v>11000.108077151435</v>
      </c>
      <c r="P789">
        <v>12671.527938481569</v>
      </c>
      <c r="Q789">
        <v>7226.5191458052977</v>
      </c>
      <c r="R789">
        <v>20862.239632102461</v>
      </c>
      <c r="S789">
        <v>16187.923779566201</v>
      </c>
      <c r="T789">
        <v>29289.507040078712</v>
      </c>
    </row>
    <row r="790" spans="13:20">
      <c r="M790">
        <v>783</v>
      </c>
      <c r="N790">
        <v>100668.23773659175</v>
      </c>
      <c r="O790">
        <v>11075.611247395287</v>
      </c>
      <c r="P790">
        <v>12856.452292535459</v>
      </c>
      <c r="Q790">
        <v>7074.4985888058509</v>
      </c>
      <c r="R790">
        <v>23261.179372166869</v>
      </c>
      <c r="S790">
        <v>16234.281753325315</v>
      </c>
      <c r="T790">
        <v>29384.069845025933</v>
      </c>
    </row>
    <row r="791" spans="13:20">
      <c r="M791">
        <v>784</v>
      </c>
      <c r="N791">
        <v>100124.48128941831</v>
      </c>
      <c r="O791">
        <v>11368.848404596123</v>
      </c>
      <c r="P791">
        <v>12201.023691611383</v>
      </c>
      <c r="Q791">
        <v>7808.1588088692806</v>
      </c>
      <c r="R791">
        <v>23412.144320127009</v>
      </c>
      <c r="S791">
        <v>15302.381037393832</v>
      </c>
      <c r="T791">
        <v>28996.302102630441</v>
      </c>
    </row>
    <row r="792" spans="13:20">
      <c r="M792">
        <v>785</v>
      </c>
      <c r="N792">
        <v>101199.05252590403</v>
      </c>
      <c r="O792">
        <v>11612.97406742366</v>
      </c>
      <c r="P792">
        <v>14322.654146650268</v>
      </c>
      <c r="Q792">
        <v>7935.5723803338697</v>
      </c>
      <c r="R792">
        <v>20931.719268595327</v>
      </c>
      <c r="S792">
        <v>15066.823116291329</v>
      </c>
      <c r="T792">
        <v>30286.498126107846</v>
      </c>
    </row>
    <row r="793" spans="13:20">
      <c r="M793">
        <v>786</v>
      </c>
      <c r="N793">
        <v>97821.318476177272</v>
      </c>
      <c r="O793">
        <v>11113.467046633712</v>
      </c>
      <c r="P793">
        <v>12175.721581601707</v>
      </c>
      <c r="Q793">
        <v>8216.5235830039019</v>
      </c>
      <c r="R793">
        <v>20825.217643275071</v>
      </c>
      <c r="S793">
        <v>15000.200133823206</v>
      </c>
      <c r="T793">
        <v>29649.199289394812</v>
      </c>
    </row>
    <row r="794" spans="13:20">
      <c r="M794">
        <v>787</v>
      </c>
      <c r="N794">
        <v>101669.10711561733</v>
      </c>
      <c r="O794">
        <v>11626.688232731251</v>
      </c>
      <c r="P794">
        <v>12447.674761108199</v>
      </c>
      <c r="Q794">
        <v>7852.0596182915051</v>
      </c>
      <c r="R794">
        <v>22981.052676893643</v>
      </c>
      <c r="S794">
        <v>16345.141862701174</v>
      </c>
      <c r="T794">
        <v>29566.332086504251</v>
      </c>
    </row>
    <row r="795" spans="13:20">
      <c r="M795">
        <v>788</v>
      </c>
      <c r="N795">
        <v>96843.028350759007</v>
      </c>
      <c r="O795">
        <v>11038.134556627674</v>
      </c>
      <c r="P795">
        <v>12390.314352747291</v>
      </c>
      <c r="Q795">
        <v>6919.3998821139412</v>
      </c>
      <c r="R795">
        <v>21110.039782423544</v>
      </c>
      <c r="S795">
        <v>15889.241259768327</v>
      </c>
      <c r="T795">
        <v>28448.247058126493</v>
      </c>
    </row>
    <row r="796" spans="13:20">
      <c r="M796">
        <v>789</v>
      </c>
      <c r="N796">
        <v>99010.869582166983</v>
      </c>
      <c r="O796">
        <v>11010.942934567402</v>
      </c>
      <c r="P796">
        <v>12875.252935608063</v>
      </c>
      <c r="Q796">
        <v>7414.5730981167289</v>
      </c>
      <c r="R796">
        <v>21216.063468738379</v>
      </c>
      <c r="S796">
        <v>15362.016644540727</v>
      </c>
      <c r="T796">
        <v>30146.905011839022</v>
      </c>
    </row>
    <row r="797" spans="13:20">
      <c r="M797">
        <v>790</v>
      </c>
      <c r="N797">
        <v>98842.86046603616</v>
      </c>
      <c r="O797">
        <v>11424.200989461151</v>
      </c>
      <c r="P797">
        <v>12218.78444655633</v>
      </c>
      <c r="Q797">
        <v>8363.8592903124554</v>
      </c>
      <c r="R797">
        <v>20739.0483151386</v>
      </c>
      <c r="S797">
        <v>16024.169466806396</v>
      </c>
      <c r="T797">
        <v>29200.000117679105</v>
      </c>
    </row>
    <row r="798" spans="13:20">
      <c r="M798">
        <v>791</v>
      </c>
      <c r="N798">
        <v>99781.316576326819</v>
      </c>
      <c r="O798">
        <v>11581.060369045377</v>
      </c>
      <c r="P798">
        <v>12028.880660107843</v>
      </c>
      <c r="Q798">
        <v>7598.7139813280037</v>
      </c>
      <c r="R798">
        <v>23394.58890620754</v>
      </c>
      <c r="S798">
        <v>14891.203213366041</v>
      </c>
      <c r="T798">
        <v>29189.629117393102</v>
      </c>
    </row>
    <row r="799" spans="13:20">
      <c r="M799">
        <v>792</v>
      </c>
      <c r="N799">
        <v>96787.434911592558</v>
      </c>
      <c r="O799">
        <v>11077.909426854883</v>
      </c>
      <c r="P799">
        <v>11451.269703623542</v>
      </c>
      <c r="Q799">
        <v>7728.0763680723358</v>
      </c>
      <c r="R799">
        <v>21364.033388603882</v>
      </c>
      <c r="S799">
        <v>15193.372558161755</v>
      </c>
      <c r="T799">
        <v>28808.992345915547</v>
      </c>
    </row>
    <row r="800" spans="13:20">
      <c r="M800">
        <v>793</v>
      </c>
      <c r="N800">
        <v>99773.688263054835</v>
      </c>
      <c r="O800">
        <v>11502.097895747214</v>
      </c>
      <c r="P800">
        <v>12252.140585290281</v>
      </c>
      <c r="Q800">
        <v>7278.1148942082291</v>
      </c>
      <c r="R800">
        <v>23512.87803259441</v>
      </c>
      <c r="S800">
        <v>15331.362382241641</v>
      </c>
      <c r="T800">
        <v>28770.1579730331</v>
      </c>
    </row>
    <row r="801" spans="13:20">
      <c r="M801">
        <v>794</v>
      </c>
      <c r="N801">
        <v>98378.229804984701</v>
      </c>
      <c r="O801">
        <v>11001.041445183095</v>
      </c>
      <c r="P801">
        <v>12634.718164498117</v>
      </c>
      <c r="Q801">
        <v>7893.2520803829766</v>
      </c>
      <c r="R801">
        <v>20738.699639819191</v>
      </c>
      <c r="S801">
        <v>15451.847706294226</v>
      </c>
      <c r="T801">
        <v>29689.476965339451</v>
      </c>
    </row>
    <row r="802" spans="13:20">
      <c r="M802">
        <v>795</v>
      </c>
      <c r="N802">
        <v>102196.26560126811</v>
      </c>
      <c r="O802">
        <v>11029.445222731465</v>
      </c>
      <c r="P802">
        <v>11517.019747152661</v>
      </c>
      <c r="Q802">
        <v>8332.1910005759746</v>
      </c>
      <c r="R802">
        <v>24633.159467071935</v>
      </c>
      <c r="S802">
        <v>15958.044667119799</v>
      </c>
      <c r="T802">
        <v>29735.763979399129</v>
      </c>
    </row>
    <row r="803" spans="13:20">
      <c r="M803">
        <v>796</v>
      </c>
      <c r="N803">
        <v>98890.89652646317</v>
      </c>
      <c r="O803">
        <v>11138.410764786209</v>
      </c>
      <c r="P803">
        <v>11496.911810066478</v>
      </c>
      <c r="Q803">
        <v>8390.0928897465492</v>
      </c>
      <c r="R803">
        <v>22258.514574855562</v>
      </c>
      <c r="S803">
        <v>15338.845270113125</v>
      </c>
      <c r="T803">
        <v>29251.005178919411</v>
      </c>
    </row>
    <row r="804" spans="13:20">
      <c r="M804">
        <v>797</v>
      </c>
      <c r="N804">
        <v>99424.252070700546</v>
      </c>
      <c r="O804">
        <v>11375.600160207847</v>
      </c>
      <c r="P804">
        <v>12212.584862736298</v>
      </c>
      <c r="Q804">
        <v>8128.3893558809068</v>
      </c>
      <c r="R804">
        <v>21770.007696941451</v>
      </c>
      <c r="S804">
        <v>15348.806090352162</v>
      </c>
      <c r="T804">
        <v>29646.885544070698</v>
      </c>
    </row>
    <row r="805" spans="13:20">
      <c r="M805">
        <v>798</v>
      </c>
      <c r="N805">
        <v>101410.10468538772</v>
      </c>
      <c r="O805">
        <v>10987.775862847375</v>
      </c>
      <c r="P805">
        <v>12254.753765729305</v>
      </c>
      <c r="Q805">
        <v>7378.4620920209081</v>
      </c>
      <c r="R805">
        <v>23214.140860755906</v>
      </c>
      <c r="S805">
        <v>15868.202038348953</v>
      </c>
      <c r="T805">
        <v>30643.609989392811</v>
      </c>
    </row>
    <row r="806" spans="13:20">
      <c r="M806">
        <v>799</v>
      </c>
      <c r="N806">
        <v>100552.97019688606</v>
      </c>
      <c r="O806">
        <v>10778.205156591597</v>
      </c>
      <c r="P806">
        <v>11999.248410288499</v>
      </c>
      <c r="Q806">
        <v>8270.3360119389472</v>
      </c>
      <c r="R806">
        <v>21844.430193963573</v>
      </c>
      <c r="S806">
        <v>16169.408366292528</v>
      </c>
      <c r="T806">
        <v>30355.406491759295</v>
      </c>
    </row>
    <row r="807" spans="13:20">
      <c r="M807">
        <v>800</v>
      </c>
      <c r="N807">
        <v>101252.94431557212</v>
      </c>
      <c r="O807">
        <v>10801.908879731802</v>
      </c>
      <c r="P807">
        <v>13099.293323785423</v>
      </c>
      <c r="Q807">
        <v>7157.0290106618195</v>
      </c>
      <c r="R807">
        <v>23298.070051292354</v>
      </c>
      <c r="S807">
        <v>16118.458799437612</v>
      </c>
      <c r="T807">
        <v>29823.193032411877</v>
      </c>
    </row>
    <row r="808" spans="13:20">
      <c r="M808">
        <v>801</v>
      </c>
      <c r="N808">
        <v>97036.279487615669</v>
      </c>
      <c r="O808">
        <v>11301.96797571949</v>
      </c>
      <c r="P808">
        <v>11948.72057923952</v>
      </c>
      <c r="Q808">
        <v>7537.7243218357735</v>
      </c>
      <c r="R808">
        <v>20574.463600189774</v>
      </c>
      <c r="S808">
        <v>14863.835352957956</v>
      </c>
      <c r="T808">
        <v>29613.605405381848</v>
      </c>
    </row>
    <row r="809" spans="13:20">
      <c r="M809">
        <v>802</v>
      </c>
      <c r="N809">
        <v>101452.67450881445</v>
      </c>
      <c r="O809">
        <v>11619.572185268051</v>
      </c>
      <c r="P809">
        <v>12632.848206124883</v>
      </c>
      <c r="Q809">
        <v>7858.8406873882022</v>
      </c>
      <c r="R809">
        <v>22163.291544020387</v>
      </c>
      <c r="S809">
        <v>16447.27670433747</v>
      </c>
      <c r="T809">
        <v>29707.800341374477</v>
      </c>
    </row>
    <row r="810" spans="13:20">
      <c r="M810">
        <v>803</v>
      </c>
      <c r="N810">
        <v>100398.56306955528</v>
      </c>
      <c r="O810">
        <v>11199.65260627836</v>
      </c>
      <c r="P810">
        <v>13740.577430025829</v>
      </c>
      <c r="Q810">
        <v>7768.8543840498714</v>
      </c>
      <c r="R810">
        <v>20968.949770355019</v>
      </c>
      <c r="S810">
        <v>15590.999893253085</v>
      </c>
      <c r="T810">
        <v>30164.237939379924</v>
      </c>
    </row>
    <row r="811" spans="13:20">
      <c r="M811">
        <v>804</v>
      </c>
      <c r="N811">
        <v>100182.08476854235</v>
      </c>
      <c r="O811">
        <v>11132.911902701406</v>
      </c>
      <c r="P811">
        <v>11538.274248677882</v>
      </c>
      <c r="Q811">
        <v>7221.8633774390946</v>
      </c>
      <c r="R811">
        <v>23946.996025336935</v>
      </c>
      <c r="S811">
        <v>15916.219012139662</v>
      </c>
      <c r="T811">
        <v>29228.531628468805</v>
      </c>
    </row>
    <row r="812" spans="13:20">
      <c r="M812">
        <v>805</v>
      </c>
      <c r="N812">
        <v>100169.92537100177</v>
      </c>
      <c r="O812">
        <v>10743.927479347012</v>
      </c>
      <c r="P812">
        <v>12677.011140903767</v>
      </c>
      <c r="Q812">
        <v>7262.7431374393864</v>
      </c>
      <c r="R812">
        <v>24040.17373304825</v>
      </c>
      <c r="S812">
        <v>15631.515545276183</v>
      </c>
      <c r="T812">
        <v>28933.125228795099</v>
      </c>
    </row>
    <row r="813" spans="13:20">
      <c r="M813">
        <v>806</v>
      </c>
      <c r="N813">
        <v>100546.24083202957</v>
      </c>
      <c r="O813">
        <v>11164.709867120053</v>
      </c>
      <c r="P813">
        <v>13182.857628133381</v>
      </c>
      <c r="Q813">
        <v>7795.959540610218</v>
      </c>
      <c r="R813">
        <v>21448.279934861515</v>
      </c>
      <c r="S813">
        <v>15602.39849528866</v>
      </c>
      <c r="T813">
        <v>30538.496867931201</v>
      </c>
    </row>
    <row r="814" spans="13:20">
      <c r="M814">
        <v>807</v>
      </c>
      <c r="N814">
        <v>101876.38360927753</v>
      </c>
      <c r="O814">
        <v>11118.479130790693</v>
      </c>
      <c r="P814">
        <v>13251.698511626704</v>
      </c>
      <c r="Q814">
        <v>8027.9916281699898</v>
      </c>
      <c r="R814">
        <v>23870.185141598002</v>
      </c>
      <c r="S814">
        <v>15920.532169761613</v>
      </c>
      <c r="T814">
        <v>28767.453258207235</v>
      </c>
    </row>
    <row r="815" spans="13:20">
      <c r="M815">
        <v>808</v>
      </c>
      <c r="N815">
        <v>99923.511583128959</v>
      </c>
      <c r="O815">
        <v>11028.349418913647</v>
      </c>
      <c r="P815">
        <v>12940.896219005408</v>
      </c>
      <c r="Q815">
        <v>7866.3691625429265</v>
      </c>
      <c r="R815">
        <v>21427.881341031243</v>
      </c>
      <c r="S815">
        <v>15308.758912285064</v>
      </c>
      <c r="T815">
        <v>30377.18609939624</v>
      </c>
    </row>
    <row r="816" spans="13:20">
      <c r="M816">
        <v>809</v>
      </c>
      <c r="N816">
        <v>99701.47603716288</v>
      </c>
      <c r="O816">
        <v>10839.638435581353</v>
      </c>
      <c r="P816">
        <v>14095.956061441215</v>
      </c>
      <c r="Q816">
        <v>7247.377366178891</v>
      </c>
      <c r="R816">
        <v>21880.50252890413</v>
      </c>
      <c r="S816">
        <v>15231.310889866238</v>
      </c>
      <c r="T816">
        <v>29387.628771987638</v>
      </c>
    </row>
    <row r="817" spans="13:20">
      <c r="M817">
        <v>810</v>
      </c>
      <c r="N817">
        <v>102172.45232899768</v>
      </c>
      <c r="O817">
        <v>11149.704948715305</v>
      </c>
      <c r="P817">
        <v>12630.643307785798</v>
      </c>
      <c r="Q817">
        <v>7474.4710997335478</v>
      </c>
      <c r="R817">
        <v>23917.713874897625</v>
      </c>
      <c r="S817">
        <v>16325.368725765024</v>
      </c>
      <c r="T817">
        <v>29765.095780981821</v>
      </c>
    </row>
    <row r="818" spans="13:20">
      <c r="M818">
        <v>811</v>
      </c>
      <c r="N818">
        <v>97942.924970463791</v>
      </c>
      <c r="O818">
        <v>11228.071701022396</v>
      </c>
      <c r="P818">
        <v>12373.506380196515</v>
      </c>
      <c r="Q818">
        <v>8289.8229216200834</v>
      </c>
      <c r="R818">
        <v>20732.020427859945</v>
      </c>
      <c r="S818">
        <v>15013.155201962381</v>
      </c>
      <c r="T818">
        <v>29350.040879008382</v>
      </c>
    </row>
    <row r="819" spans="13:20">
      <c r="M819">
        <v>812</v>
      </c>
      <c r="N819">
        <v>102074.92076038328</v>
      </c>
      <c r="O819">
        <v>10780.433552056364</v>
      </c>
      <c r="P819">
        <v>13529.508634865681</v>
      </c>
      <c r="Q819">
        <v>8183.907181872255</v>
      </c>
      <c r="R819">
        <v>23950.688916264542</v>
      </c>
      <c r="S819">
        <v>15147.143553104597</v>
      </c>
      <c r="T819">
        <v>29329.661924140655</v>
      </c>
    </row>
    <row r="820" spans="13:20">
      <c r="M820">
        <v>813</v>
      </c>
      <c r="N820">
        <v>98869.806400654779</v>
      </c>
      <c r="O820">
        <v>11311.412529607116</v>
      </c>
      <c r="P820">
        <v>12013.275616297504</v>
      </c>
      <c r="Q820">
        <v>7741.4545452952661</v>
      </c>
      <c r="R820">
        <v>21356.277224051635</v>
      </c>
      <c r="S820">
        <v>15757.15403041754</v>
      </c>
      <c r="T820">
        <v>29509.387349690453</v>
      </c>
    </row>
    <row r="821" spans="13:20">
      <c r="M821">
        <v>814</v>
      </c>
      <c r="N821">
        <v>98725.45189347479</v>
      </c>
      <c r="O821">
        <v>11338.798881422204</v>
      </c>
      <c r="P821">
        <v>11695.692371771955</v>
      </c>
      <c r="Q821">
        <v>7267.9249211384258</v>
      </c>
      <c r="R821">
        <v>20871.014701545842</v>
      </c>
      <c r="S821">
        <v>16480.54857169736</v>
      </c>
      <c r="T821">
        <v>30020.190485767263</v>
      </c>
    </row>
    <row r="822" spans="13:20">
      <c r="M822">
        <v>815</v>
      </c>
      <c r="N822">
        <v>98774.616799459807</v>
      </c>
      <c r="O822">
        <v>11245.389082015123</v>
      </c>
      <c r="P822">
        <v>13167.802133990675</v>
      </c>
      <c r="Q822">
        <v>7196.1639440422978</v>
      </c>
      <c r="R822">
        <v>21310.621980872944</v>
      </c>
      <c r="S822">
        <v>15327.857286021223</v>
      </c>
      <c r="T822">
        <v>29668.975956833525</v>
      </c>
    </row>
    <row r="823" spans="13:20">
      <c r="M823">
        <v>816</v>
      </c>
      <c r="N823">
        <v>99407.554858671574</v>
      </c>
      <c r="O823">
        <v>11226.718667320018</v>
      </c>
      <c r="P823">
        <v>12046.022343580229</v>
      </c>
      <c r="Q823">
        <v>7119.4606500655309</v>
      </c>
      <c r="R823">
        <v>23230.789827248343</v>
      </c>
      <c r="S823">
        <v>15116.068949335564</v>
      </c>
      <c r="T823">
        <v>29554.167586907341</v>
      </c>
    </row>
    <row r="824" spans="13:20">
      <c r="M824">
        <v>817</v>
      </c>
      <c r="N824">
        <v>97878.027127166715</v>
      </c>
      <c r="O824">
        <v>11036.476331768559</v>
      </c>
      <c r="P824">
        <v>10951.964924133083</v>
      </c>
      <c r="Q824">
        <v>7628.9966918164973</v>
      </c>
      <c r="R824">
        <v>22676.419049031512</v>
      </c>
      <c r="S824">
        <v>15746.427356630888</v>
      </c>
      <c r="T824">
        <v>28658.665328997853</v>
      </c>
    </row>
    <row r="825" spans="13:20">
      <c r="M825">
        <v>818</v>
      </c>
      <c r="N825">
        <v>100431.03689657802</v>
      </c>
      <c r="O825">
        <v>11401.787468682331</v>
      </c>
      <c r="P825">
        <v>13584.043507039747</v>
      </c>
      <c r="Q825">
        <v>7407.3476581521654</v>
      </c>
      <c r="R825">
        <v>21916.20656969698</v>
      </c>
      <c r="S825">
        <v>15586.044042911542</v>
      </c>
      <c r="T825">
        <v>29454.887561672476</v>
      </c>
    </row>
    <row r="826" spans="13:20">
      <c r="M826">
        <v>819</v>
      </c>
      <c r="N826">
        <v>99160.659988661544</v>
      </c>
      <c r="O826">
        <v>10684.175143322977</v>
      </c>
      <c r="P826">
        <v>13528.564224568036</v>
      </c>
      <c r="Q826">
        <v>7593.4458369811045</v>
      </c>
      <c r="R826">
        <v>21817.675489537065</v>
      </c>
      <c r="S826">
        <v>15331.004421727761</v>
      </c>
      <c r="T826">
        <v>29313.280335366828</v>
      </c>
    </row>
    <row r="827" spans="13:20">
      <c r="M827">
        <v>820</v>
      </c>
      <c r="N827">
        <v>97153.730093779712</v>
      </c>
      <c r="O827">
        <v>11035.453355205429</v>
      </c>
      <c r="P827">
        <v>11810.023937251124</v>
      </c>
      <c r="Q827">
        <v>6789.2438760465566</v>
      </c>
      <c r="R827">
        <v>21021.954813544085</v>
      </c>
      <c r="S827">
        <v>15303.064919743965</v>
      </c>
      <c r="T827">
        <v>30089.547690832951</v>
      </c>
    </row>
    <row r="828" spans="13:20">
      <c r="M828">
        <v>821</v>
      </c>
      <c r="N828">
        <v>97915.04307057125</v>
      </c>
      <c r="O828">
        <v>11264.487613495714</v>
      </c>
      <c r="P828">
        <v>12720.415140023451</v>
      </c>
      <c r="Q828">
        <v>7135.043495176079</v>
      </c>
      <c r="R828">
        <v>20350.569671238631</v>
      </c>
      <c r="S828">
        <v>15817.655565843612</v>
      </c>
      <c r="T828">
        <v>29536.102086655617</v>
      </c>
    </row>
    <row r="829" spans="13:20">
      <c r="M829">
        <v>822</v>
      </c>
      <c r="N829">
        <v>98694.748263584188</v>
      </c>
      <c r="O829">
        <v>10787.13775900244</v>
      </c>
      <c r="P829">
        <v>11684.119536285751</v>
      </c>
      <c r="Q829">
        <v>7831.3150006316473</v>
      </c>
      <c r="R829">
        <v>22029.619718152495</v>
      </c>
      <c r="S829">
        <v>15676.134339143546</v>
      </c>
      <c r="T829">
        <v>29671.645017969575</v>
      </c>
    </row>
    <row r="830" spans="13:20">
      <c r="M830">
        <v>823</v>
      </c>
      <c r="N830">
        <v>97774.571903426404</v>
      </c>
      <c r="O830">
        <v>11426.962727017504</v>
      </c>
      <c r="P830">
        <v>12736.333627647333</v>
      </c>
      <c r="Q830">
        <v>7048.3374380449741</v>
      </c>
      <c r="R830">
        <v>20969.573260999561</v>
      </c>
      <c r="S830">
        <v>15634.668093207658</v>
      </c>
      <c r="T830">
        <v>28785.149756647963</v>
      </c>
    </row>
    <row r="831" spans="13:20">
      <c r="M831">
        <v>824</v>
      </c>
      <c r="N831">
        <v>100846.68520554472</v>
      </c>
      <c r="O831">
        <v>10970.171837208913</v>
      </c>
      <c r="P831">
        <v>12819.919537668229</v>
      </c>
      <c r="Q831">
        <v>8205.8118131073297</v>
      </c>
      <c r="R831">
        <v>23330.278668035389</v>
      </c>
      <c r="S831">
        <v>15537.012916301413</v>
      </c>
      <c r="T831">
        <v>28998.933305928036</v>
      </c>
    </row>
    <row r="832" spans="13:20">
      <c r="M832">
        <v>825</v>
      </c>
      <c r="N832">
        <v>99116.03630505722</v>
      </c>
      <c r="O832">
        <v>11315.08534162696</v>
      </c>
      <c r="P832">
        <v>11683.483587081197</v>
      </c>
      <c r="Q832">
        <v>8074.4938201751502</v>
      </c>
      <c r="R832">
        <v>21985.391815416941</v>
      </c>
      <c r="S832">
        <v>15236.121574324305</v>
      </c>
      <c r="T832">
        <v>29907.334865264726</v>
      </c>
    </row>
    <row r="833" spans="13:20">
      <c r="M833">
        <v>826</v>
      </c>
      <c r="N833">
        <v>100194.38316879096</v>
      </c>
      <c r="O833">
        <v>11388.041695557089</v>
      </c>
      <c r="P833">
        <v>13421.552679156262</v>
      </c>
      <c r="Q833">
        <v>8255.3955512901557</v>
      </c>
      <c r="R833">
        <v>21365.951819600668</v>
      </c>
      <c r="S833">
        <v>15158.228424359615</v>
      </c>
      <c r="T833">
        <v>29599.008887316966</v>
      </c>
    </row>
    <row r="834" spans="13:20">
      <c r="M834">
        <v>827</v>
      </c>
      <c r="N834">
        <v>98329.492381344782</v>
      </c>
      <c r="O834">
        <v>11251.321718862879</v>
      </c>
      <c r="P834">
        <v>12407.51523850243</v>
      </c>
      <c r="Q834">
        <v>7379.372620690644</v>
      </c>
      <c r="R834">
        <v>20837.821780631839</v>
      </c>
      <c r="S834">
        <v>15381.03027436278</v>
      </c>
      <c r="T834">
        <v>30225.667033208014</v>
      </c>
    </row>
    <row r="835" spans="13:20">
      <c r="M835">
        <v>828</v>
      </c>
      <c r="N835">
        <v>100320.60931942829</v>
      </c>
      <c r="O835">
        <v>11642.736690485945</v>
      </c>
      <c r="P835">
        <v>12430.490653315159</v>
      </c>
      <c r="Q835">
        <v>7466.5296286935973</v>
      </c>
      <c r="R835">
        <v>21486.716013153</v>
      </c>
      <c r="S835">
        <v>15370.976820262111</v>
      </c>
      <c r="T835">
        <v>30857.207397092458</v>
      </c>
    </row>
    <row r="836" spans="13:20">
      <c r="M836">
        <v>829</v>
      </c>
      <c r="N836">
        <v>98704.688510371212</v>
      </c>
      <c r="O836">
        <v>10986.096739369445</v>
      </c>
      <c r="P836">
        <v>12437.35957041326</v>
      </c>
      <c r="Q836">
        <v>7389.5044268771162</v>
      </c>
      <c r="R836">
        <v>21210.505327237712</v>
      </c>
      <c r="S836">
        <v>15840.001833813709</v>
      </c>
      <c r="T836">
        <v>29701.867424131819</v>
      </c>
    </row>
    <row r="837" spans="13:20">
      <c r="M837">
        <v>830</v>
      </c>
      <c r="N837">
        <v>100483.45440694688</v>
      </c>
      <c r="O837">
        <v>11169.704481338364</v>
      </c>
      <c r="P837">
        <v>14895.47590018458</v>
      </c>
      <c r="Q837">
        <v>7489.7023056427242</v>
      </c>
      <c r="R837">
        <v>21033.869166213779</v>
      </c>
      <c r="S837">
        <v>15853.019426752993</v>
      </c>
      <c r="T837">
        <v>29097.521614598183</v>
      </c>
    </row>
    <row r="838" spans="13:20">
      <c r="M838">
        <v>831</v>
      </c>
      <c r="N838">
        <v>97460.490782744295</v>
      </c>
      <c r="O838">
        <v>11006.77406555173</v>
      </c>
      <c r="P838">
        <v>12231.80223636429</v>
      </c>
      <c r="Q838">
        <v>7697.2493401736847</v>
      </c>
      <c r="R838">
        <v>20599.973062186851</v>
      </c>
      <c r="S838">
        <v>15641.901400172093</v>
      </c>
      <c r="T838">
        <v>29395.411400834921</v>
      </c>
    </row>
    <row r="839" spans="13:20">
      <c r="M839">
        <v>832</v>
      </c>
      <c r="N839">
        <v>98840.946084630326</v>
      </c>
      <c r="O839">
        <v>11342.432796433775</v>
      </c>
      <c r="P839">
        <v>12394.003083938693</v>
      </c>
      <c r="Q839">
        <v>7929.1452777026407</v>
      </c>
      <c r="R839">
        <v>20390.105483214953</v>
      </c>
      <c r="S839">
        <v>15692.266630185448</v>
      </c>
      <c r="T839">
        <v>29893.417514281802</v>
      </c>
    </row>
    <row r="840" spans="13:20">
      <c r="M840">
        <v>833</v>
      </c>
      <c r="N840">
        <v>102288.29215788857</v>
      </c>
      <c r="O840">
        <v>11304.670104717101</v>
      </c>
      <c r="P840">
        <v>13021.531680581553</v>
      </c>
      <c r="Q840">
        <v>7352.6903710583119</v>
      </c>
      <c r="R840">
        <v>24813.252489024639</v>
      </c>
      <c r="S840">
        <v>15197.815239096579</v>
      </c>
      <c r="T840">
        <v>29668.325844884399</v>
      </c>
    </row>
    <row r="841" spans="13:20">
      <c r="M841">
        <v>834</v>
      </c>
      <c r="N841">
        <v>99794.569341472961</v>
      </c>
      <c r="O841">
        <v>11280.835240047421</v>
      </c>
      <c r="P841">
        <v>11570.304170629352</v>
      </c>
      <c r="Q841">
        <v>6949.6193672933323</v>
      </c>
      <c r="R841">
        <v>23301.48301767766</v>
      </c>
      <c r="S841">
        <v>15868.69423454871</v>
      </c>
      <c r="T841">
        <v>29763.372774734409</v>
      </c>
    </row>
    <row r="842" spans="13:20">
      <c r="M842">
        <v>835</v>
      </c>
      <c r="N842">
        <v>100459.51229300261</v>
      </c>
      <c r="O842">
        <v>11061.592397195602</v>
      </c>
      <c r="P842">
        <v>13153.750227525328</v>
      </c>
      <c r="Q842">
        <v>8497.5363375991656</v>
      </c>
      <c r="R842">
        <v>22139.843382057028</v>
      </c>
      <c r="S842">
        <v>15291.721139617785</v>
      </c>
      <c r="T842">
        <v>29468.337240482273</v>
      </c>
    </row>
    <row r="843" spans="13:20">
      <c r="M843">
        <v>836</v>
      </c>
      <c r="N843">
        <v>100024.2228065513</v>
      </c>
      <c r="O843">
        <v>11360.682526638408</v>
      </c>
      <c r="P843">
        <v>11370.805441709455</v>
      </c>
      <c r="Q843">
        <v>8331.6625562433965</v>
      </c>
      <c r="R843">
        <v>23771.739104797471</v>
      </c>
      <c r="S843">
        <v>15471.352508062268</v>
      </c>
      <c r="T843">
        <v>28534.274911316985</v>
      </c>
    </row>
    <row r="844" spans="13:20">
      <c r="M844">
        <v>837</v>
      </c>
      <c r="N844">
        <v>99441.714713304653</v>
      </c>
      <c r="O844">
        <v>11410.191553601779</v>
      </c>
      <c r="P844">
        <v>12327.969317989871</v>
      </c>
      <c r="Q844">
        <v>7679.7203010694029</v>
      </c>
      <c r="R844">
        <v>21571.383805651658</v>
      </c>
      <c r="S844">
        <v>15855.67637553617</v>
      </c>
      <c r="T844">
        <v>29454.568824012949</v>
      </c>
    </row>
    <row r="845" spans="13:20">
      <c r="M845">
        <v>838</v>
      </c>
      <c r="N845">
        <v>98295.107667355012</v>
      </c>
      <c r="O845">
        <v>10877.215454950086</v>
      </c>
      <c r="P845">
        <v>11963.447385798849</v>
      </c>
      <c r="Q845">
        <v>7535.3117603281435</v>
      </c>
      <c r="R845">
        <v>21633.81178405559</v>
      </c>
      <c r="S845">
        <v>16226.990929694013</v>
      </c>
      <c r="T845">
        <v>29173.712449719347</v>
      </c>
    </row>
    <row r="846" spans="13:20">
      <c r="M846">
        <v>839</v>
      </c>
      <c r="N846">
        <v>102525.20047477959</v>
      </c>
      <c r="O846">
        <v>10789.884223722342</v>
      </c>
      <c r="P846">
        <v>13005.045950982545</v>
      </c>
      <c r="Q846">
        <v>7989.6776579344169</v>
      </c>
      <c r="R846">
        <v>24239.019145036906</v>
      </c>
      <c r="S846">
        <v>14835.577565717353</v>
      </c>
      <c r="T846">
        <v>30566.124842314166</v>
      </c>
    </row>
    <row r="847" spans="13:20">
      <c r="M847">
        <v>840</v>
      </c>
      <c r="N847">
        <v>99282.348874392512</v>
      </c>
      <c r="O847">
        <v>11287.989883116579</v>
      </c>
      <c r="P847">
        <v>12346.294626211238</v>
      </c>
      <c r="Q847">
        <v>7720.0126053943713</v>
      </c>
      <c r="R847">
        <v>21574.217016499155</v>
      </c>
      <c r="S847">
        <v>15397.732857734292</v>
      </c>
      <c r="T847">
        <v>29976.42994212381</v>
      </c>
    </row>
    <row r="848" spans="13:20">
      <c r="M848">
        <v>841</v>
      </c>
      <c r="N848">
        <v>99997.289164857095</v>
      </c>
      <c r="O848">
        <v>11123.760967037801</v>
      </c>
      <c r="P848">
        <v>11420.399955120078</v>
      </c>
      <c r="Q848">
        <v>8187.1356145710142</v>
      </c>
      <c r="R848">
        <v>22852.792098801605</v>
      </c>
      <c r="S848">
        <v>15494.085494003371</v>
      </c>
      <c r="T848">
        <v>29834.924180760871</v>
      </c>
    </row>
    <row r="849" spans="13:20">
      <c r="M849">
        <v>842</v>
      </c>
      <c r="N849">
        <v>101716.1757259994</v>
      </c>
      <c r="O849">
        <v>11384.767763229043</v>
      </c>
      <c r="P849">
        <v>13569.730145274701</v>
      </c>
      <c r="Q849">
        <v>7675.8426173758644</v>
      </c>
      <c r="R849">
        <v>23006.744811275548</v>
      </c>
      <c r="S849">
        <v>15744.179764898388</v>
      </c>
      <c r="T849">
        <v>29447.392552390429</v>
      </c>
    </row>
    <row r="850" spans="13:20">
      <c r="M850">
        <v>843</v>
      </c>
      <c r="N850">
        <v>100691.27270360429</v>
      </c>
      <c r="O850">
        <v>11592.378275194154</v>
      </c>
      <c r="P850">
        <v>12110.691274562883</v>
      </c>
      <c r="Q850">
        <v>7176.6649151901656</v>
      </c>
      <c r="R850">
        <v>23691.814631239627</v>
      </c>
      <c r="S850">
        <v>15451.925095934934</v>
      </c>
      <c r="T850">
        <v>29663.626160672615</v>
      </c>
    </row>
    <row r="851" spans="13:20">
      <c r="M851">
        <v>844</v>
      </c>
      <c r="N851">
        <v>101427.53477292138</v>
      </c>
      <c r="O851">
        <v>10964.396829515576</v>
      </c>
      <c r="P851">
        <v>12465.769953804471</v>
      </c>
      <c r="Q851">
        <v>7554.5116544059665</v>
      </c>
      <c r="R851">
        <v>23753.621270827509</v>
      </c>
      <c r="S851">
        <v>16064.625882562783</v>
      </c>
      <c r="T851">
        <v>29515.78901581054</v>
      </c>
    </row>
    <row r="852" spans="13:20">
      <c r="M852">
        <v>845</v>
      </c>
      <c r="N852">
        <v>99245.273974767435</v>
      </c>
      <c r="O852">
        <v>11356.330476370174</v>
      </c>
      <c r="P852">
        <v>12436.206096577494</v>
      </c>
      <c r="Q852">
        <v>6955.8219040366766</v>
      </c>
      <c r="R852">
        <v>22564.805660629096</v>
      </c>
      <c r="S852">
        <v>15082.877233584401</v>
      </c>
      <c r="T852">
        <v>29721.476108461131</v>
      </c>
    </row>
    <row r="853" spans="13:20">
      <c r="M853">
        <v>846</v>
      </c>
      <c r="N853">
        <v>101121.06065690856</v>
      </c>
      <c r="O853">
        <v>10857.314339766604</v>
      </c>
      <c r="P853">
        <v>13356.010368469015</v>
      </c>
      <c r="Q853">
        <v>7266.8873197119128</v>
      </c>
      <c r="R853">
        <v>22403.788967826371</v>
      </c>
      <c r="S853">
        <v>15685.052579251518</v>
      </c>
      <c r="T853">
        <v>30515.994222398505</v>
      </c>
    </row>
    <row r="854" spans="13:20">
      <c r="M854">
        <v>847</v>
      </c>
      <c r="N854">
        <v>103013.55496506079</v>
      </c>
      <c r="O854">
        <v>11963.406855232815</v>
      </c>
      <c r="P854">
        <v>12559.019883939905</v>
      </c>
      <c r="Q854">
        <v>7530.9143608344411</v>
      </c>
      <c r="R854">
        <v>23831.315433441094</v>
      </c>
      <c r="S854">
        <v>16209.739773326331</v>
      </c>
      <c r="T854">
        <v>29812.552108118703</v>
      </c>
    </row>
    <row r="855" spans="13:20">
      <c r="M855">
        <v>848</v>
      </c>
      <c r="N855">
        <v>101684.10646701831</v>
      </c>
      <c r="O855">
        <v>11219.548990926416</v>
      </c>
      <c r="P855">
        <v>12244.564755928714</v>
      </c>
      <c r="Q855">
        <v>7693.1160304252244</v>
      </c>
      <c r="R855">
        <v>22860.927859803684</v>
      </c>
      <c r="S855">
        <v>16051.454821450145</v>
      </c>
      <c r="T855">
        <v>30465.589626376455</v>
      </c>
    </row>
    <row r="856" spans="13:20">
      <c r="M856">
        <v>849</v>
      </c>
      <c r="N856">
        <v>101226.63599452749</v>
      </c>
      <c r="O856">
        <v>11239.561199120675</v>
      </c>
      <c r="P856">
        <v>14257.044005619799</v>
      </c>
      <c r="Q856">
        <v>7261.8398816673334</v>
      </c>
      <c r="R856">
        <v>22015.067062286053</v>
      </c>
      <c r="S856">
        <v>15813.070825355066</v>
      </c>
      <c r="T856">
        <v>29658.275485275368</v>
      </c>
    </row>
    <row r="857" spans="13:20">
      <c r="M857">
        <v>850</v>
      </c>
      <c r="N857">
        <v>97528.241199157477</v>
      </c>
      <c r="O857">
        <v>11218.719399912901</v>
      </c>
      <c r="P857">
        <v>11789.598031948422</v>
      </c>
      <c r="Q857">
        <v>7676.7920111705635</v>
      </c>
      <c r="R857">
        <v>20660.622311552295</v>
      </c>
      <c r="S857">
        <v>14843.979249756196</v>
      </c>
      <c r="T857">
        <v>30402.836775180705</v>
      </c>
    </row>
    <row r="858" spans="13:20">
      <c r="M858">
        <v>851</v>
      </c>
      <c r="N858">
        <v>99958.042279792498</v>
      </c>
      <c r="O858">
        <v>11377.848541763115</v>
      </c>
      <c r="P858">
        <v>13321.080993921378</v>
      </c>
      <c r="Q858">
        <v>8334.9017056971861</v>
      </c>
      <c r="R858">
        <v>21386.179487526206</v>
      </c>
      <c r="S858">
        <v>15734.789616390364</v>
      </c>
      <c r="T858">
        <v>28911.829727388758</v>
      </c>
    </row>
    <row r="859" spans="13:20">
      <c r="M859">
        <v>852</v>
      </c>
      <c r="N859">
        <v>98278.287891844957</v>
      </c>
      <c r="O859">
        <v>11396.850578897578</v>
      </c>
      <c r="P859">
        <v>11915.22414993975</v>
      </c>
      <c r="Q859">
        <v>7368.4862491508247</v>
      </c>
      <c r="R859">
        <v>20427.162938794256</v>
      </c>
      <c r="S859">
        <v>16302.108897180155</v>
      </c>
      <c r="T859">
        <v>29910.750762262771</v>
      </c>
    </row>
    <row r="860" spans="13:20">
      <c r="M860">
        <v>853</v>
      </c>
      <c r="N860">
        <v>101337.59846555852</v>
      </c>
      <c r="O860">
        <v>10961.196174361321</v>
      </c>
      <c r="P860">
        <v>13672.825328161054</v>
      </c>
      <c r="Q860">
        <v>7832.6422175608077</v>
      </c>
      <c r="R860">
        <v>22815.410340074777</v>
      </c>
      <c r="S860">
        <v>15592.891273934511</v>
      </c>
      <c r="T860">
        <v>29329.513142303484</v>
      </c>
    </row>
    <row r="861" spans="13:20">
      <c r="M861">
        <v>854</v>
      </c>
      <c r="N861">
        <v>102286.48176679345</v>
      </c>
      <c r="O861">
        <v>11035.112664483715</v>
      </c>
      <c r="P861">
        <v>13889.842753939633</v>
      </c>
      <c r="Q861">
        <v>7707.7073247720955</v>
      </c>
      <c r="R861">
        <v>23001.775610333934</v>
      </c>
      <c r="S861">
        <v>15741.355456524881</v>
      </c>
      <c r="T861">
        <v>29763.751343490632</v>
      </c>
    </row>
    <row r="862" spans="13:20">
      <c r="M862">
        <v>855</v>
      </c>
      <c r="N862">
        <v>101383.82788884532</v>
      </c>
      <c r="O862">
        <v>11676.516786512268</v>
      </c>
      <c r="P862">
        <v>13657.57923834199</v>
      </c>
      <c r="Q862">
        <v>7373.3456313242032</v>
      </c>
      <c r="R862">
        <v>22509.515726325222</v>
      </c>
      <c r="S862">
        <v>15618.986787683925</v>
      </c>
      <c r="T862">
        <v>29486.188889832236</v>
      </c>
    </row>
    <row r="863" spans="13:20">
      <c r="M863">
        <v>856</v>
      </c>
      <c r="N863">
        <v>101422.64957302833</v>
      </c>
      <c r="O863">
        <v>11590.626275734925</v>
      </c>
      <c r="P863">
        <v>13052.889293411981</v>
      </c>
      <c r="Q863">
        <v>6988.5422401579226</v>
      </c>
      <c r="R863">
        <v>22857.419105843994</v>
      </c>
      <c r="S863">
        <v>15444.910613699914</v>
      </c>
      <c r="T863">
        <v>30528.888405103495</v>
      </c>
    </row>
    <row r="864" spans="13:20">
      <c r="M864">
        <v>857</v>
      </c>
      <c r="N864">
        <v>98888.463128826828</v>
      </c>
      <c r="O864">
        <v>11306.621684398713</v>
      </c>
      <c r="P864">
        <v>12188.805997459021</v>
      </c>
      <c r="Q864">
        <v>7949.0949030327374</v>
      </c>
      <c r="R864">
        <v>21560.930643448519</v>
      </c>
      <c r="S864">
        <v>15291.203548023379</v>
      </c>
      <c r="T864">
        <v>29808.427827178773</v>
      </c>
    </row>
    <row r="865" spans="13:20">
      <c r="M865">
        <v>858</v>
      </c>
      <c r="N865">
        <v>102572.4130572384</v>
      </c>
      <c r="O865">
        <v>11315.724563198997</v>
      </c>
      <c r="P865">
        <v>13586.737346179631</v>
      </c>
      <c r="Q865">
        <v>7189.8950791130928</v>
      </c>
      <c r="R865">
        <v>24512.106227202326</v>
      </c>
      <c r="S865">
        <v>15383.903240365393</v>
      </c>
      <c r="T865">
        <v>29477.85837611647</v>
      </c>
    </row>
    <row r="866" spans="13:20">
      <c r="M866">
        <v>859</v>
      </c>
      <c r="N866">
        <v>98708.807842136725</v>
      </c>
      <c r="O866">
        <v>11504.49981138059</v>
      </c>
      <c r="P866">
        <v>11850.17869472122</v>
      </c>
      <c r="Q866">
        <v>8527.3209290397281</v>
      </c>
      <c r="R866">
        <v>22001.087650483812</v>
      </c>
      <c r="S866">
        <v>15227.213023445081</v>
      </c>
      <c r="T866">
        <v>28636.223631198773</v>
      </c>
    </row>
    <row r="867" spans="13:20">
      <c r="M867">
        <v>860</v>
      </c>
      <c r="N867">
        <v>98593.760753418625</v>
      </c>
      <c r="O867">
        <v>10856.162168011189</v>
      </c>
      <c r="P867">
        <v>11864.599173434843</v>
      </c>
      <c r="Q867">
        <v>7135.7558886807756</v>
      </c>
      <c r="R867">
        <v>22852.377859086362</v>
      </c>
      <c r="S867">
        <v>15357.230448560076</v>
      </c>
      <c r="T867">
        <v>29500.821612216059</v>
      </c>
    </row>
    <row r="868" spans="13:20">
      <c r="M868">
        <v>861</v>
      </c>
      <c r="N868">
        <v>98996.91630267544</v>
      </c>
      <c r="O868">
        <v>11329.46302429332</v>
      </c>
      <c r="P868">
        <v>11287.070857430777</v>
      </c>
      <c r="Q868">
        <v>8079.4954224078519</v>
      </c>
      <c r="R868">
        <v>22557.505345938462</v>
      </c>
      <c r="S868">
        <v>14703.934835056953</v>
      </c>
      <c r="T868">
        <v>30165.763273772365</v>
      </c>
    </row>
    <row r="869" spans="13:20">
      <c r="M869">
        <v>862</v>
      </c>
      <c r="N869">
        <v>98666.738779164632</v>
      </c>
      <c r="O869">
        <v>11823.977292378859</v>
      </c>
      <c r="P869">
        <v>11575.563710532797</v>
      </c>
      <c r="Q869">
        <v>7352.1705579656091</v>
      </c>
      <c r="R869">
        <v>21141.321307390583</v>
      </c>
      <c r="S869">
        <v>14990.732448520543</v>
      </c>
      <c r="T869">
        <v>30638.806407071515</v>
      </c>
    </row>
    <row r="870" spans="13:20">
      <c r="M870">
        <v>863</v>
      </c>
      <c r="N870">
        <v>99488.653141867195</v>
      </c>
      <c r="O870">
        <v>10737.537399594708</v>
      </c>
      <c r="P870">
        <v>13150.647579732362</v>
      </c>
      <c r="Q870">
        <v>8256.0933710410372</v>
      </c>
      <c r="R870">
        <v>20931.543073016142</v>
      </c>
      <c r="S870">
        <v>15780.348749501662</v>
      </c>
      <c r="T870">
        <v>29622.562855518288</v>
      </c>
    </row>
    <row r="871" spans="13:20">
      <c r="M871">
        <v>864</v>
      </c>
      <c r="N871">
        <v>100641.23943041416</v>
      </c>
      <c r="O871">
        <v>10959.339125129525</v>
      </c>
      <c r="P871">
        <v>12510.775943904218</v>
      </c>
      <c r="Q871">
        <v>8615.316218818265</v>
      </c>
      <c r="R871">
        <v>22235.929733897006</v>
      </c>
      <c r="S871">
        <v>15127.172966021757</v>
      </c>
      <c r="T871">
        <v>30220.429031834567</v>
      </c>
    </row>
    <row r="872" spans="13:20">
      <c r="M872">
        <v>865</v>
      </c>
      <c r="N872">
        <v>99214.015082060898</v>
      </c>
      <c r="O872">
        <v>10936.788126478523</v>
      </c>
      <c r="P872">
        <v>12512.28278383714</v>
      </c>
      <c r="Q872">
        <v>7774.3521247079088</v>
      </c>
      <c r="R872">
        <v>20542.282927603392</v>
      </c>
      <c r="S872">
        <v>16331.979129413859</v>
      </c>
      <c r="T872">
        <v>30049.745397999613</v>
      </c>
    </row>
    <row r="873" spans="13:20">
      <c r="M873">
        <v>866</v>
      </c>
      <c r="N873">
        <v>99353.379049841649</v>
      </c>
      <c r="O873">
        <v>11343.829804186609</v>
      </c>
      <c r="P873">
        <v>12585.09873338905</v>
      </c>
      <c r="Q873">
        <v>7558.2997648610508</v>
      </c>
      <c r="R873">
        <v>21888.393432587553</v>
      </c>
      <c r="S873">
        <v>15300.627630123061</v>
      </c>
      <c r="T873">
        <v>29643.254848196761</v>
      </c>
    </row>
    <row r="874" spans="13:20">
      <c r="M874">
        <v>867</v>
      </c>
      <c r="N874">
        <v>99335.232068972589</v>
      </c>
      <c r="O874">
        <v>10911.466153809424</v>
      </c>
      <c r="P874">
        <v>12089.627922598478</v>
      </c>
      <c r="Q874">
        <v>7659.2064459752764</v>
      </c>
      <c r="R874">
        <v>22279.91065708259</v>
      </c>
      <c r="S874">
        <v>15719.513885371203</v>
      </c>
      <c r="T874">
        <v>29770.049129162162</v>
      </c>
    </row>
    <row r="875" spans="13:20">
      <c r="M875">
        <v>868</v>
      </c>
      <c r="N875">
        <v>98361.637235886374</v>
      </c>
      <c r="O875">
        <v>11240.612395697895</v>
      </c>
      <c r="P875">
        <v>12262.490590505868</v>
      </c>
      <c r="Q875">
        <v>8206.9618282645733</v>
      </c>
      <c r="R875">
        <v>20863.098243860732</v>
      </c>
      <c r="S875">
        <v>16373.554018820283</v>
      </c>
      <c r="T875">
        <v>28522.0321960197</v>
      </c>
    </row>
    <row r="876" spans="13:20">
      <c r="M876">
        <v>869</v>
      </c>
      <c r="N876">
        <v>100655.0630049657</v>
      </c>
      <c r="O876">
        <v>11187.557787522434</v>
      </c>
      <c r="P876">
        <v>13366.471721777996</v>
      </c>
      <c r="Q876">
        <v>8232.462996197537</v>
      </c>
      <c r="R876">
        <v>20417.028756948923</v>
      </c>
      <c r="S876">
        <v>15951.358566054765</v>
      </c>
      <c r="T876">
        <v>30520.875807973196</v>
      </c>
    </row>
    <row r="877" spans="13:20">
      <c r="M877">
        <v>870</v>
      </c>
      <c r="N877">
        <v>99140.567912376893</v>
      </c>
      <c r="O877">
        <v>11078.423381305554</v>
      </c>
      <c r="P877">
        <v>13035.997888585254</v>
      </c>
      <c r="Q877">
        <v>7370.0124222278091</v>
      </c>
      <c r="R877">
        <v>20488.661103287475</v>
      </c>
      <c r="S877">
        <v>15668.222197977884</v>
      </c>
      <c r="T877">
        <v>30376.97073525234</v>
      </c>
    </row>
    <row r="878" spans="13:20">
      <c r="M878">
        <v>871</v>
      </c>
      <c r="N878">
        <v>97720.976546955353</v>
      </c>
      <c r="O878">
        <v>11894.02112756325</v>
      </c>
      <c r="P878">
        <v>11685.201414694366</v>
      </c>
      <c r="Q878">
        <v>7604.3472146914819</v>
      </c>
      <c r="R878">
        <v>20363.75916253122</v>
      </c>
      <c r="S878">
        <v>15534.782308736047</v>
      </c>
      <c r="T878">
        <v>29767.603329050926</v>
      </c>
    </row>
    <row r="879" spans="13:20">
      <c r="M879">
        <v>872</v>
      </c>
      <c r="N879">
        <v>98013.901847243382</v>
      </c>
      <c r="O879">
        <v>11351.364418441186</v>
      </c>
      <c r="P879">
        <v>12468.092531085025</v>
      </c>
      <c r="Q879">
        <v>7392.8709427182912</v>
      </c>
      <c r="R879">
        <v>21764.137778311666</v>
      </c>
      <c r="S879">
        <v>15245.181545244892</v>
      </c>
      <c r="T879">
        <v>28745.748036393416</v>
      </c>
    </row>
    <row r="880" spans="13:20">
      <c r="M880">
        <v>873</v>
      </c>
      <c r="N880">
        <v>100448.82857318282</v>
      </c>
      <c r="O880">
        <v>10842.373813450067</v>
      </c>
      <c r="P880">
        <v>13340.444162790543</v>
      </c>
      <c r="Q880">
        <v>8349.9505958748341</v>
      </c>
      <c r="R880">
        <v>22733.223651413209</v>
      </c>
      <c r="S880">
        <v>15094.997241737941</v>
      </c>
      <c r="T880">
        <v>29322.387294775854</v>
      </c>
    </row>
    <row r="881" spans="13:20">
      <c r="M881">
        <v>874</v>
      </c>
      <c r="N881">
        <v>100330.89019909174</v>
      </c>
      <c r="O881">
        <v>11494.554909011285</v>
      </c>
      <c r="P881">
        <v>13181.075827742812</v>
      </c>
      <c r="Q881">
        <v>7371.7270011245673</v>
      </c>
      <c r="R881">
        <v>21028.180490329036</v>
      </c>
      <c r="S881">
        <v>16476.637469190955</v>
      </c>
      <c r="T881">
        <v>29789.636474432391</v>
      </c>
    </row>
    <row r="882" spans="13:20">
      <c r="M882">
        <v>875</v>
      </c>
      <c r="N882">
        <v>101512.8394395537</v>
      </c>
      <c r="O882">
        <v>11370.674552208784</v>
      </c>
      <c r="P882">
        <v>12144.114862683162</v>
      </c>
      <c r="Q882">
        <v>7384.5871340883386</v>
      </c>
      <c r="R882">
        <v>24034.588449508454</v>
      </c>
      <c r="S882">
        <v>15638.766812454169</v>
      </c>
      <c r="T882">
        <v>29998.419826475198</v>
      </c>
    </row>
    <row r="883" spans="13:20">
      <c r="M883">
        <v>876</v>
      </c>
      <c r="N883">
        <v>99411.453271186823</v>
      </c>
      <c r="O883">
        <v>10920.288901821672</v>
      </c>
      <c r="P883">
        <v>13002.468521806763</v>
      </c>
      <c r="Q883">
        <v>7979.7317058425733</v>
      </c>
      <c r="R883">
        <v>22746.386532753564</v>
      </c>
      <c r="S883">
        <v>14766.739991605195</v>
      </c>
      <c r="T883">
        <v>29049.083860526203</v>
      </c>
    </row>
    <row r="884" spans="13:20">
      <c r="M884">
        <v>877</v>
      </c>
      <c r="N884">
        <v>97693.412585878541</v>
      </c>
      <c r="O884">
        <v>10865.204923265374</v>
      </c>
      <c r="P884">
        <v>12402.240632723069</v>
      </c>
      <c r="Q884">
        <v>7996.724815077936</v>
      </c>
      <c r="R884">
        <v>20806.83948487417</v>
      </c>
      <c r="S884">
        <v>15225.905195788177</v>
      </c>
      <c r="T884">
        <v>29470.672742708164</v>
      </c>
    </row>
    <row r="885" spans="13:20">
      <c r="M885">
        <v>878</v>
      </c>
      <c r="N885">
        <v>101205.47208648754</v>
      </c>
      <c r="O885">
        <v>11408.01321429018</v>
      </c>
      <c r="P885">
        <v>12031.962556622131</v>
      </c>
      <c r="Q885">
        <v>7402.1609859505079</v>
      </c>
      <c r="R885">
        <v>24105.180468058701</v>
      </c>
      <c r="S885">
        <v>15625.71654224717</v>
      </c>
      <c r="T885">
        <v>29809.719730799712</v>
      </c>
    </row>
    <row r="886" spans="13:20">
      <c r="M886">
        <v>879</v>
      </c>
      <c r="N886">
        <v>99403.337768322162</v>
      </c>
      <c r="O886">
        <v>11091.054965564552</v>
      </c>
      <c r="P886">
        <v>12423.77856131344</v>
      </c>
      <c r="Q886">
        <v>7440.3146648936799</v>
      </c>
      <c r="R886">
        <v>23051.662564984825</v>
      </c>
      <c r="S886">
        <v>15501.097375326492</v>
      </c>
      <c r="T886">
        <v>29076.44664103664</v>
      </c>
    </row>
    <row r="887" spans="13:20">
      <c r="M887">
        <v>880</v>
      </c>
      <c r="N887">
        <v>98856.366136840836</v>
      </c>
      <c r="O887">
        <v>11639.732941016835</v>
      </c>
      <c r="P887">
        <v>12074.025360195181</v>
      </c>
      <c r="Q887">
        <v>7331.6512206092957</v>
      </c>
      <c r="R887">
        <v>21695.591192141706</v>
      </c>
      <c r="S887">
        <v>16090.402162990214</v>
      </c>
      <c r="T887">
        <v>29142.182626103589</v>
      </c>
    </row>
    <row r="888" spans="13:20">
      <c r="M888">
        <v>881</v>
      </c>
      <c r="N888">
        <v>98024.771073551048</v>
      </c>
      <c r="O888">
        <v>11316.118663703899</v>
      </c>
      <c r="P888">
        <v>11677.195119229538</v>
      </c>
      <c r="Q888">
        <v>7196.0070217499569</v>
      </c>
      <c r="R888">
        <v>21974.642576750717</v>
      </c>
      <c r="S888">
        <v>15735.962568415336</v>
      </c>
      <c r="T888">
        <v>29223.240469261458</v>
      </c>
    </row>
    <row r="889" spans="13:20">
      <c r="M889">
        <v>882</v>
      </c>
      <c r="N889">
        <v>100115.3976343493</v>
      </c>
      <c r="O889">
        <v>10860.817605349699</v>
      </c>
      <c r="P889">
        <v>11610.637689761154</v>
      </c>
      <c r="Q889">
        <v>7577.8301225073819</v>
      </c>
      <c r="R889">
        <v>23908.754411605114</v>
      </c>
      <c r="S889">
        <v>15527.429477502654</v>
      </c>
      <c r="T889">
        <v>29667.804573903584</v>
      </c>
    </row>
    <row r="890" spans="13:20">
      <c r="M890">
        <v>883</v>
      </c>
      <c r="N890">
        <v>98053.534116950541</v>
      </c>
      <c r="O890">
        <v>11094.662607168157</v>
      </c>
      <c r="P890">
        <v>12577.307383311885</v>
      </c>
      <c r="Q890">
        <v>8365.8324233763087</v>
      </c>
      <c r="R890">
        <v>20286.189142836247</v>
      </c>
      <c r="S890">
        <v>14872.027190499866</v>
      </c>
      <c r="T890">
        <v>29874.071384663257</v>
      </c>
    </row>
    <row r="891" spans="13:20">
      <c r="M891">
        <v>884</v>
      </c>
      <c r="N891">
        <v>99712.440043995797</v>
      </c>
      <c r="O891">
        <v>11169.609116374793</v>
      </c>
      <c r="P891">
        <v>12748.848379202263</v>
      </c>
      <c r="Q891">
        <v>7985.9475390053094</v>
      </c>
      <c r="R891">
        <v>21317.460723860266</v>
      </c>
      <c r="S891">
        <v>15923.775085367572</v>
      </c>
      <c r="T891">
        <v>29620.730163542485</v>
      </c>
    </row>
    <row r="892" spans="13:20">
      <c r="M892">
        <v>885</v>
      </c>
      <c r="N892">
        <v>97916.499047833859</v>
      </c>
      <c r="O892">
        <v>11393.383213650111</v>
      </c>
      <c r="P892">
        <v>12355.812927893898</v>
      </c>
      <c r="Q892">
        <v>7970.409762358955</v>
      </c>
      <c r="R892">
        <v>20632.285558850395</v>
      </c>
      <c r="S892">
        <v>15832.891959011777</v>
      </c>
      <c r="T892">
        <v>28779.834553147528</v>
      </c>
    </row>
    <row r="893" spans="13:20">
      <c r="M893">
        <v>886</v>
      </c>
      <c r="N893">
        <v>96903.956513222278</v>
      </c>
      <c r="O893">
        <v>10719.344117652339</v>
      </c>
      <c r="P893">
        <v>11713.564531777842</v>
      </c>
      <c r="Q893">
        <v>7932.6679977088406</v>
      </c>
      <c r="R893">
        <v>21188.901441278726</v>
      </c>
      <c r="S893">
        <v>15345.590216000812</v>
      </c>
      <c r="T893">
        <v>29164.881318171076</v>
      </c>
    </row>
    <row r="894" spans="13:20">
      <c r="M894">
        <v>887</v>
      </c>
      <c r="N894">
        <v>101796.58612190631</v>
      </c>
      <c r="O894">
        <v>11286.639680550737</v>
      </c>
      <c r="P894">
        <v>13410.006259501133</v>
      </c>
      <c r="Q894">
        <v>8309.0922506449897</v>
      </c>
      <c r="R894">
        <v>21035.568244573235</v>
      </c>
      <c r="S894">
        <v>15766.197223349178</v>
      </c>
      <c r="T894">
        <v>30894.417948453636</v>
      </c>
    </row>
    <row r="895" spans="13:20">
      <c r="M895">
        <v>888</v>
      </c>
      <c r="N895">
        <v>98864.352566310379</v>
      </c>
      <c r="O895">
        <v>11152.700890123286</v>
      </c>
      <c r="P895">
        <v>12288.011183148503</v>
      </c>
      <c r="Q895">
        <v>7764.3675778252091</v>
      </c>
      <c r="R895">
        <v>21754.339810887057</v>
      </c>
      <c r="S895">
        <v>15390.501334847169</v>
      </c>
      <c r="T895">
        <v>29319.605739976778</v>
      </c>
    </row>
    <row r="896" spans="13:20">
      <c r="M896">
        <v>889</v>
      </c>
      <c r="N896">
        <v>97709.390458807466</v>
      </c>
      <c r="O896">
        <v>11191.003955907288</v>
      </c>
      <c r="P896">
        <v>11496.622459329565</v>
      </c>
      <c r="Q896">
        <v>7465.6284906766696</v>
      </c>
      <c r="R896">
        <v>20878.820370391801</v>
      </c>
      <c r="S896">
        <v>15365.35013750564</v>
      </c>
      <c r="T896">
        <v>30324.459011143656</v>
      </c>
    </row>
    <row r="897" spans="13:20">
      <c r="M897">
        <v>890</v>
      </c>
      <c r="N897">
        <v>97295.369542650995</v>
      </c>
      <c r="O897">
        <v>11221.72469170606</v>
      </c>
      <c r="P897">
        <v>12651.697035776129</v>
      </c>
      <c r="Q897">
        <v>7520.2701582330064</v>
      </c>
      <c r="R897">
        <v>20434.275122754414</v>
      </c>
      <c r="S897">
        <v>15280.189687428923</v>
      </c>
      <c r="T897">
        <v>29234.485296743307</v>
      </c>
    </row>
    <row r="898" spans="13:20">
      <c r="M898">
        <v>891</v>
      </c>
      <c r="N898">
        <v>97210.881065518726</v>
      </c>
      <c r="O898">
        <v>11727.250733554287</v>
      </c>
      <c r="P898">
        <v>11107.580891257479</v>
      </c>
      <c r="Q898">
        <v>7425.7407335925509</v>
      </c>
      <c r="R898">
        <v>20675.407505932897</v>
      </c>
      <c r="S898">
        <v>15122.798511570054</v>
      </c>
      <c r="T898">
        <v>29952.744187066724</v>
      </c>
    </row>
    <row r="899" spans="13:20">
      <c r="M899">
        <v>892</v>
      </c>
      <c r="N899">
        <v>100960.78722532302</v>
      </c>
      <c r="O899">
        <v>11452.437689039856</v>
      </c>
      <c r="P899">
        <v>12444.438647734336</v>
      </c>
      <c r="Q899">
        <v>7994.0549559179317</v>
      </c>
      <c r="R899">
        <v>20981.653976224708</v>
      </c>
      <c r="S899">
        <v>15719.29149485876</v>
      </c>
      <c r="T899">
        <v>31240.912823950421</v>
      </c>
    </row>
    <row r="900" spans="13:20">
      <c r="M900">
        <v>893</v>
      </c>
      <c r="N900">
        <v>100250.01347116534</v>
      </c>
      <c r="O900">
        <v>11195.812136343669</v>
      </c>
      <c r="P900">
        <v>12491.996624225547</v>
      </c>
      <c r="Q900">
        <v>7142.0719053348239</v>
      </c>
      <c r="R900">
        <v>22813.773969112077</v>
      </c>
      <c r="S900">
        <v>16334.380003768802</v>
      </c>
      <c r="T900">
        <v>29319.105207650449</v>
      </c>
    </row>
    <row r="901" spans="13:20">
      <c r="M901">
        <v>894</v>
      </c>
      <c r="N901">
        <v>98007.543917883071</v>
      </c>
      <c r="O901">
        <v>11269.211558221376</v>
      </c>
      <c r="P901">
        <v>12216.296693851773</v>
      </c>
      <c r="Q901">
        <v>7351.1347140793832</v>
      </c>
      <c r="R901">
        <v>21682.68333099542</v>
      </c>
      <c r="S901">
        <v>15625.687871213875</v>
      </c>
      <c r="T901">
        <v>29072.905745164237</v>
      </c>
    </row>
    <row r="902" spans="13:20">
      <c r="M902">
        <v>895</v>
      </c>
      <c r="N902">
        <v>103100.03230987577</v>
      </c>
      <c r="O902">
        <v>11019.475313819254</v>
      </c>
      <c r="P902">
        <v>12696.956456629159</v>
      </c>
      <c r="Q902">
        <v>7432.5873249248398</v>
      </c>
      <c r="R902">
        <v>24394.236839885863</v>
      </c>
      <c r="S902">
        <v>15872.452413618339</v>
      </c>
      <c r="T902">
        <v>30514.722668445331</v>
      </c>
    </row>
    <row r="903" spans="13:20">
      <c r="M903">
        <v>896</v>
      </c>
      <c r="N903">
        <v>98607.419856814493</v>
      </c>
      <c r="O903">
        <v>10957.148587106009</v>
      </c>
      <c r="P903">
        <v>13264.574664396494</v>
      </c>
      <c r="Q903">
        <v>6934.0023474327263</v>
      </c>
      <c r="R903">
        <v>20939.23954250375</v>
      </c>
      <c r="S903">
        <v>16219.888716242054</v>
      </c>
      <c r="T903">
        <v>29325.379691092538</v>
      </c>
    </row>
    <row r="904" spans="13:20">
      <c r="M904">
        <v>897</v>
      </c>
      <c r="N904">
        <v>98007.901246302878</v>
      </c>
      <c r="O904">
        <v>10699.913793752012</v>
      </c>
      <c r="P904">
        <v>13498.252691894111</v>
      </c>
      <c r="Q904">
        <v>7059.1852617278182</v>
      </c>
      <c r="R904">
        <v>21848.468191888191</v>
      </c>
      <c r="S904">
        <v>15090.660375089697</v>
      </c>
      <c r="T904">
        <v>29050.335286726422</v>
      </c>
    </row>
    <row r="905" spans="13:20">
      <c r="M905">
        <v>898</v>
      </c>
      <c r="N905">
        <v>99267.998477291563</v>
      </c>
      <c r="O905">
        <v>10670.193335114562</v>
      </c>
      <c r="P905">
        <v>11732.355424068692</v>
      </c>
      <c r="Q905">
        <v>8152.4187638315098</v>
      </c>
      <c r="R905">
        <v>22463.468054077432</v>
      </c>
      <c r="S905">
        <v>14926.284943850183</v>
      </c>
      <c r="T905">
        <v>30385.563682610464</v>
      </c>
    </row>
    <row r="906" spans="13:20">
      <c r="M906">
        <v>899</v>
      </c>
      <c r="N906">
        <v>98800.846153401173</v>
      </c>
      <c r="O906">
        <v>10611.776060512166</v>
      </c>
      <c r="P906">
        <v>12456.023490851656</v>
      </c>
      <c r="Q906">
        <v>7867.2640655399609</v>
      </c>
      <c r="R906">
        <v>20630.792069313007</v>
      </c>
      <c r="S906">
        <v>15918.798911117812</v>
      </c>
      <c r="T906">
        <v>30249.863901224591</v>
      </c>
    </row>
    <row r="907" spans="13:20">
      <c r="M907">
        <v>900</v>
      </c>
      <c r="N907">
        <v>99494.162167352595</v>
      </c>
      <c r="O907">
        <v>11286.360096472863</v>
      </c>
      <c r="P907">
        <v>12885.704953219029</v>
      </c>
      <c r="Q907">
        <v>7432.4878266283877</v>
      </c>
      <c r="R907">
        <v>21526.460703967005</v>
      </c>
      <c r="S907">
        <v>15684.648751964372</v>
      </c>
      <c r="T907">
        <v>29536.397865283314</v>
      </c>
    </row>
    <row r="908" spans="13:20">
      <c r="M908">
        <v>901</v>
      </c>
      <c r="N908">
        <v>97819.027810583983</v>
      </c>
      <c r="O908">
        <v>11313.629240776245</v>
      </c>
      <c r="P908">
        <v>11059.351899197634</v>
      </c>
      <c r="Q908">
        <v>8570.6012602127012</v>
      </c>
      <c r="R908">
        <v>20754.513869805513</v>
      </c>
      <c r="S908">
        <v>15807.721184345239</v>
      </c>
      <c r="T908">
        <v>29260.505711045593</v>
      </c>
    </row>
    <row r="909" spans="13:20">
      <c r="M909">
        <v>902</v>
      </c>
      <c r="N909">
        <v>100839.03535329748</v>
      </c>
      <c r="O909">
        <v>10995.075022634897</v>
      </c>
      <c r="P909">
        <v>14012.589547822958</v>
      </c>
      <c r="Q909">
        <v>7388.2385711067809</v>
      </c>
      <c r="R909">
        <v>21809.663619540435</v>
      </c>
      <c r="S909">
        <v>15266.722144699555</v>
      </c>
      <c r="T909">
        <v>30348.429114456841</v>
      </c>
    </row>
    <row r="910" spans="13:20">
      <c r="M910">
        <v>903</v>
      </c>
      <c r="N910">
        <v>98317.677609739127</v>
      </c>
      <c r="O910">
        <v>11524.108418589985</v>
      </c>
      <c r="P910">
        <v>12668.056498676449</v>
      </c>
      <c r="Q910">
        <v>7161.9974698269089</v>
      </c>
      <c r="R910">
        <v>20657.991944464527</v>
      </c>
      <c r="S910">
        <v>15768.898671908497</v>
      </c>
      <c r="T910">
        <v>29571.433222889271</v>
      </c>
    </row>
    <row r="911" spans="13:20">
      <c r="M911">
        <v>904</v>
      </c>
      <c r="N911">
        <v>100049.3760898233</v>
      </c>
      <c r="O911">
        <v>10921.018354980009</v>
      </c>
      <c r="P911">
        <v>11564.074548456552</v>
      </c>
      <c r="Q911">
        <v>7854.2473564483507</v>
      </c>
      <c r="R911">
        <v>23226.108476811838</v>
      </c>
      <c r="S911">
        <v>15957.726534294419</v>
      </c>
      <c r="T911">
        <v>29451.295676326685</v>
      </c>
    </row>
    <row r="912" spans="13:20">
      <c r="M912">
        <v>905</v>
      </c>
      <c r="N912">
        <v>100196.75821923568</v>
      </c>
      <c r="O912">
        <v>10965.716959412493</v>
      </c>
      <c r="P912">
        <v>12381.303807432905</v>
      </c>
      <c r="Q912">
        <v>7668.049296463184</v>
      </c>
      <c r="R912">
        <v>22160.707593851967</v>
      </c>
      <c r="S912">
        <v>16583.766380398338</v>
      </c>
      <c r="T912">
        <v>29324.334576531182</v>
      </c>
    </row>
    <row r="913" spans="13:20">
      <c r="M913">
        <v>906</v>
      </c>
      <c r="N913">
        <v>98988.041500110397</v>
      </c>
      <c r="O913">
        <v>11394.645393140274</v>
      </c>
      <c r="P913">
        <v>11719.091115680818</v>
      </c>
      <c r="Q913">
        <v>7287.5457535267269</v>
      </c>
      <c r="R913">
        <v>21501.318769953512</v>
      </c>
      <c r="S913">
        <v>16651.993924831273</v>
      </c>
      <c r="T913">
        <v>29431.568814476599</v>
      </c>
    </row>
    <row r="914" spans="13:20">
      <c r="M914">
        <v>907</v>
      </c>
      <c r="N914">
        <v>97520.731681440739</v>
      </c>
      <c r="O914">
        <v>11516.0630977931</v>
      </c>
      <c r="P914">
        <v>11525.277696534633</v>
      </c>
      <c r="Q914">
        <v>7106.4215396295358</v>
      </c>
      <c r="R914">
        <v>21989.113594567152</v>
      </c>
      <c r="S914">
        <v>15216.575463738553</v>
      </c>
      <c r="T914">
        <v>29167.680337376514</v>
      </c>
    </row>
    <row r="915" spans="13:20">
      <c r="M915">
        <v>908</v>
      </c>
      <c r="N915">
        <v>99172.090984273556</v>
      </c>
      <c r="O915">
        <v>10980.549440050536</v>
      </c>
      <c r="P915">
        <v>12485.971272418794</v>
      </c>
      <c r="Q915">
        <v>8319.9075307231124</v>
      </c>
      <c r="R915">
        <v>21689.446489215472</v>
      </c>
      <c r="S915">
        <v>15370.213011039517</v>
      </c>
      <c r="T915">
        <v>29380.837168962455</v>
      </c>
    </row>
    <row r="916" spans="13:20">
      <c r="M916">
        <v>909</v>
      </c>
      <c r="N916">
        <v>99261.464151297929</v>
      </c>
      <c r="O916">
        <v>11668.913989459092</v>
      </c>
      <c r="P916">
        <v>12863.721664784989</v>
      </c>
      <c r="Q916">
        <v>7251.7285899953749</v>
      </c>
      <c r="R916">
        <v>20587.817399879808</v>
      </c>
      <c r="S916">
        <v>15700.25381836387</v>
      </c>
      <c r="T916">
        <v>30107.436813908746</v>
      </c>
    </row>
    <row r="917" spans="13:20">
      <c r="M917">
        <v>910</v>
      </c>
      <c r="N917">
        <v>98217.239130871982</v>
      </c>
      <c r="O917">
        <v>11466.855879198021</v>
      </c>
      <c r="P917">
        <v>12671.783488294148</v>
      </c>
      <c r="Q917">
        <v>7593.8331735689362</v>
      </c>
      <c r="R917">
        <v>20586.654904610547</v>
      </c>
      <c r="S917">
        <v>15388.260888097378</v>
      </c>
      <c r="T917">
        <v>29518.493730797389</v>
      </c>
    </row>
    <row r="918" spans="13:20">
      <c r="M918">
        <v>911</v>
      </c>
      <c r="N918">
        <v>97981.457264294047</v>
      </c>
      <c r="O918">
        <v>11680.899530441386</v>
      </c>
      <c r="P918">
        <v>11874.279566631914</v>
      </c>
      <c r="Q918">
        <v>7284.4590297256264</v>
      </c>
      <c r="R918">
        <v>21397.279743375595</v>
      </c>
      <c r="S918">
        <v>15464.881066564776</v>
      </c>
      <c r="T918">
        <v>29421.482921295545</v>
      </c>
    </row>
    <row r="919" spans="13:20">
      <c r="M919">
        <v>912</v>
      </c>
      <c r="N919">
        <v>100179.13030781128</v>
      </c>
      <c r="O919">
        <v>10974.628362104235</v>
      </c>
      <c r="P919">
        <v>13477.046029536141</v>
      </c>
      <c r="Q919">
        <v>7830.1727883168824</v>
      </c>
      <c r="R919">
        <v>21754.122894920976</v>
      </c>
      <c r="S919">
        <v>15665.447848529704</v>
      </c>
      <c r="T919">
        <v>29389.596940597181</v>
      </c>
    </row>
    <row r="920" spans="13:20">
      <c r="M920">
        <v>913</v>
      </c>
      <c r="N920">
        <v>99428.202349364889</v>
      </c>
      <c r="O920">
        <v>11089.595552886272</v>
      </c>
      <c r="P920">
        <v>13578.109273956488</v>
      </c>
      <c r="Q920">
        <v>7617.8719618956839</v>
      </c>
      <c r="R920">
        <v>21349.000380508362</v>
      </c>
      <c r="S920">
        <v>15749.744910910789</v>
      </c>
      <c r="T920">
        <v>29109.326449156742</v>
      </c>
    </row>
    <row r="921" spans="13:20">
      <c r="M921">
        <v>914</v>
      </c>
      <c r="N921">
        <v>99220.229248546326</v>
      </c>
      <c r="O921">
        <v>11109.772421164922</v>
      </c>
      <c r="P921">
        <v>12301.537163233903</v>
      </c>
      <c r="Q921">
        <v>7407.654583277973</v>
      </c>
      <c r="R921">
        <v>22328.824833729261</v>
      </c>
      <c r="S921">
        <v>15200.331206966322</v>
      </c>
      <c r="T921">
        <v>29997.218215391051</v>
      </c>
    </row>
    <row r="922" spans="13:20">
      <c r="M922">
        <v>915</v>
      </c>
      <c r="N922">
        <v>99822.627197648006</v>
      </c>
      <c r="O922">
        <v>11348.926567099603</v>
      </c>
      <c r="P922">
        <v>12068.747727735677</v>
      </c>
      <c r="Q922">
        <v>6993.1535304210465</v>
      </c>
      <c r="R922">
        <v>22621.46569652333</v>
      </c>
      <c r="S922">
        <v>15346.82745183185</v>
      </c>
      <c r="T922">
        <v>30394.953083229106</v>
      </c>
    </row>
    <row r="923" spans="13:20">
      <c r="M923">
        <v>916</v>
      </c>
      <c r="N923">
        <v>100190.55751481322</v>
      </c>
      <c r="O923">
        <v>11537.155714106771</v>
      </c>
      <c r="P923">
        <v>13746.108192755513</v>
      </c>
      <c r="Q923">
        <v>7966.3443481037893</v>
      </c>
      <c r="R923">
        <v>21240.971167486474</v>
      </c>
      <c r="S923">
        <v>15628.522889330578</v>
      </c>
      <c r="T923">
        <v>28953.017115126466</v>
      </c>
    </row>
    <row r="924" spans="13:20">
      <c r="M924">
        <v>917</v>
      </c>
      <c r="N924">
        <v>99390.667719871504</v>
      </c>
      <c r="O924">
        <v>10710.17611183302</v>
      </c>
      <c r="P924">
        <v>12291.118057301539</v>
      </c>
      <c r="Q924">
        <v>7205.4708623187807</v>
      </c>
      <c r="R924">
        <v>21909.389743315565</v>
      </c>
      <c r="S924">
        <v>15657.820130647844</v>
      </c>
      <c r="T924">
        <v>30433.530163629275</v>
      </c>
    </row>
    <row r="925" spans="13:20">
      <c r="M925">
        <v>918</v>
      </c>
      <c r="N925">
        <v>99486.977606679488</v>
      </c>
      <c r="O925">
        <v>10786.873130779712</v>
      </c>
      <c r="P925">
        <v>12722.006121305025</v>
      </c>
      <c r="Q925">
        <v>7088.0458333741772</v>
      </c>
      <c r="R925">
        <v>22516.366157683642</v>
      </c>
      <c r="S925">
        <v>15730.330975093439</v>
      </c>
      <c r="T925">
        <v>29687.806254640771</v>
      </c>
    </row>
    <row r="926" spans="13:20">
      <c r="M926">
        <v>919</v>
      </c>
      <c r="N926">
        <v>100071.53092031869</v>
      </c>
      <c r="O926">
        <v>11213.318035699423</v>
      </c>
      <c r="P926">
        <v>11649.792408521558</v>
      </c>
      <c r="Q926">
        <v>7336.5990412550591</v>
      </c>
      <c r="R926">
        <v>22328.16378638527</v>
      </c>
      <c r="S926">
        <v>15821.861063692126</v>
      </c>
      <c r="T926">
        <v>30953.076625506681</v>
      </c>
    </row>
    <row r="927" spans="13:20">
      <c r="M927">
        <v>920</v>
      </c>
      <c r="N927">
        <v>98022.29241100396</v>
      </c>
      <c r="O927">
        <v>11324.542717622606</v>
      </c>
      <c r="P927">
        <v>13025.256245700293</v>
      </c>
      <c r="Q927">
        <v>7386.1219692351096</v>
      </c>
      <c r="R927">
        <v>20320.897135135958</v>
      </c>
      <c r="S927">
        <v>16212.675975553042</v>
      </c>
      <c r="T927">
        <v>28663.190070457902</v>
      </c>
    </row>
    <row r="928" spans="13:20">
      <c r="M928">
        <v>921</v>
      </c>
      <c r="N928">
        <v>98015.061736540127</v>
      </c>
      <c r="O928">
        <v>11346.125293650592</v>
      </c>
      <c r="P928">
        <v>12186.845217210794</v>
      </c>
      <c r="Q928">
        <v>7011.3211382094332</v>
      </c>
      <c r="R928">
        <v>20923.366620081306</v>
      </c>
      <c r="S928">
        <v>15635.827852297367</v>
      </c>
      <c r="T928">
        <v>30021.356670992802</v>
      </c>
    </row>
    <row r="929" spans="13:20">
      <c r="M929">
        <v>922</v>
      </c>
      <c r="N929">
        <v>99784.709835236659</v>
      </c>
      <c r="O929">
        <v>11325.243823872985</v>
      </c>
      <c r="P929">
        <v>13941.768188046413</v>
      </c>
      <c r="Q929">
        <v>7774.0014062027203</v>
      </c>
      <c r="R929">
        <v>21633.886288977377</v>
      </c>
      <c r="S929">
        <v>15007.572560082677</v>
      </c>
      <c r="T929">
        <v>29066.167801859177</v>
      </c>
    </row>
    <row r="930" spans="13:20">
      <c r="M930">
        <v>923</v>
      </c>
      <c r="N930">
        <v>101030.28469322568</v>
      </c>
      <c r="O930">
        <v>11049.393835336467</v>
      </c>
      <c r="P930">
        <v>12309.931509115242</v>
      </c>
      <c r="Q930">
        <v>7059.0176471187524</v>
      </c>
      <c r="R930">
        <v>24297.582137459853</v>
      </c>
      <c r="S930">
        <v>15727.516413186615</v>
      </c>
      <c r="T930">
        <v>29451.958284391523</v>
      </c>
    </row>
    <row r="931" spans="13:20">
      <c r="M931">
        <v>924</v>
      </c>
      <c r="N931">
        <v>101945.55489850865</v>
      </c>
      <c r="O931">
        <v>11387.863716087613</v>
      </c>
      <c r="P931">
        <v>14301.593738423147</v>
      </c>
      <c r="Q931">
        <v>7519.6131201969592</v>
      </c>
      <c r="R931">
        <v>21853.619610984919</v>
      </c>
      <c r="S931">
        <v>15907.684901702843</v>
      </c>
      <c r="T931">
        <v>29860.891665294926</v>
      </c>
    </row>
    <row r="932" spans="13:20">
      <c r="M932">
        <v>925</v>
      </c>
      <c r="N932">
        <v>97687.375635100456</v>
      </c>
      <c r="O932">
        <v>11106.633149763571</v>
      </c>
      <c r="P932">
        <v>11885.308494810877</v>
      </c>
      <c r="Q932">
        <v>7235.3034232912551</v>
      </c>
      <c r="R932">
        <v>21407.508539548639</v>
      </c>
      <c r="S932">
        <v>15754.68229518117</v>
      </c>
      <c r="T932">
        <v>29259.60689910936</v>
      </c>
    </row>
    <row r="933" spans="13:20">
      <c r="M933">
        <v>926</v>
      </c>
      <c r="N933">
        <v>100251.29075619217</v>
      </c>
      <c r="O933">
        <v>10986.619187795473</v>
      </c>
      <c r="P933">
        <v>13232.44801535947</v>
      </c>
      <c r="Q933">
        <v>7105.6457657596102</v>
      </c>
      <c r="R933">
        <v>21736.600740171663</v>
      </c>
      <c r="S933">
        <v>16618.12940208803</v>
      </c>
      <c r="T933">
        <v>29495.352579401333</v>
      </c>
    </row>
    <row r="934" spans="13:20">
      <c r="M934">
        <v>927</v>
      </c>
      <c r="N934">
        <v>97908.346032639049</v>
      </c>
      <c r="O934">
        <v>10876.349132518448</v>
      </c>
      <c r="P934">
        <v>12578.061758402433</v>
      </c>
      <c r="Q934">
        <v>7074.4037395015512</v>
      </c>
      <c r="R934">
        <v>21851.317316734996</v>
      </c>
      <c r="S934">
        <v>14883.135521486845</v>
      </c>
      <c r="T934">
        <v>29575.090267960961</v>
      </c>
    </row>
    <row r="935" spans="13:20">
      <c r="M935">
        <v>928</v>
      </c>
      <c r="N935">
        <v>102594.92850745693</v>
      </c>
      <c r="O935">
        <v>11104.215953012741</v>
      </c>
      <c r="P935">
        <v>12749.627185052323</v>
      </c>
      <c r="Q935">
        <v>7835.6424844766234</v>
      </c>
      <c r="R935">
        <v>24647.915663111806</v>
      </c>
      <c r="S935">
        <v>16077.559120279575</v>
      </c>
      <c r="T935">
        <v>29171.602830141146</v>
      </c>
    </row>
    <row r="936" spans="13:20">
      <c r="M936">
        <v>929</v>
      </c>
      <c r="N936">
        <v>99420.057985684005</v>
      </c>
      <c r="O936">
        <v>10777.618726533368</v>
      </c>
      <c r="P936">
        <v>12501.858507844625</v>
      </c>
      <c r="Q936">
        <v>7266.2336333827507</v>
      </c>
      <c r="R936">
        <v>22272.761646295137</v>
      </c>
      <c r="S936">
        <v>15284.225970468</v>
      </c>
      <c r="T936">
        <v>30413.126765153829</v>
      </c>
    </row>
    <row r="937" spans="13:20">
      <c r="M937">
        <v>930</v>
      </c>
      <c r="N937">
        <v>98486.108663876978</v>
      </c>
      <c r="O937">
        <v>11149.578140874382</v>
      </c>
      <c r="P937">
        <v>12058.693997547378</v>
      </c>
      <c r="Q937">
        <v>7100.4415858792927</v>
      </c>
      <c r="R937">
        <v>21447.343345938938</v>
      </c>
      <c r="S937">
        <v>15645.141107044226</v>
      </c>
      <c r="T937">
        <v>30137.1092206506</v>
      </c>
    </row>
    <row r="938" spans="13:20">
      <c r="M938">
        <v>931</v>
      </c>
      <c r="N938">
        <v>100142.81019522528</v>
      </c>
      <c r="O938">
        <v>10980.667849855678</v>
      </c>
      <c r="P938">
        <v>13324.371962686679</v>
      </c>
      <c r="Q938">
        <v>7823.3593446117357</v>
      </c>
      <c r="R938">
        <v>21877.009707542824</v>
      </c>
      <c r="S938">
        <v>15318.26124180952</v>
      </c>
      <c r="T938">
        <v>29744.284734890236</v>
      </c>
    </row>
    <row r="939" spans="13:20">
      <c r="M939">
        <v>932</v>
      </c>
      <c r="N939">
        <v>98552.574196199435</v>
      </c>
      <c r="O939">
        <v>11465.712734518811</v>
      </c>
      <c r="P939">
        <v>11838.980893929571</v>
      </c>
      <c r="Q939">
        <v>7719.1217609992582</v>
      </c>
      <c r="R939">
        <v>21270.675815731378</v>
      </c>
      <c r="S939">
        <v>15705.026989128015</v>
      </c>
      <c r="T939">
        <v>29472.586275843336</v>
      </c>
    </row>
    <row r="940" spans="13:20">
      <c r="M940">
        <v>933</v>
      </c>
      <c r="N940">
        <v>97628.951314237624</v>
      </c>
      <c r="O940">
        <v>10844.270247045801</v>
      </c>
      <c r="P940">
        <v>11759.839217275103</v>
      </c>
      <c r="Q940">
        <v>7127.2280761645961</v>
      </c>
      <c r="R940">
        <v>22587.963498453028</v>
      </c>
      <c r="S940">
        <v>15226.252182877673</v>
      </c>
      <c r="T940">
        <v>29140.580104486959</v>
      </c>
    </row>
    <row r="941" spans="13:20">
      <c r="M941">
        <v>934</v>
      </c>
      <c r="N941">
        <v>99175.614950875533</v>
      </c>
      <c r="O941">
        <v>11487.45195509071</v>
      </c>
      <c r="P941">
        <v>11390.321452446151</v>
      </c>
      <c r="Q941">
        <v>7704.2625090873244</v>
      </c>
      <c r="R941">
        <v>21899.244154046821</v>
      </c>
      <c r="S941">
        <v>15424.779400414029</v>
      </c>
      <c r="T941">
        <v>30290.805334491622</v>
      </c>
    </row>
    <row r="942" spans="13:20">
      <c r="M942">
        <v>935</v>
      </c>
      <c r="N942">
        <v>101230.88534243207</v>
      </c>
      <c r="O942">
        <v>11086.251139806636</v>
      </c>
      <c r="P942">
        <v>13635.379925045363</v>
      </c>
      <c r="Q942">
        <v>7927.2025770595983</v>
      </c>
      <c r="R942">
        <v>21515.731913906373</v>
      </c>
      <c r="S942">
        <v>16334.026889502433</v>
      </c>
      <c r="T942">
        <v>29845.645806565903</v>
      </c>
    </row>
    <row r="943" spans="13:20">
      <c r="M943">
        <v>936</v>
      </c>
      <c r="N943">
        <v>99139.771909692077</v>
      </c>
      <c r="O943">
        <v>11369.918676357016</v>
      </c>
      <c r="P943">
        <v>12871.673107193452</v>
      </c>
      <c r="Q943">
        <v>6986.5551420759093</v>
      </c>
      <c r="R943">
        <v>21548.276750570563</v>
      </c>
      <c r="S943">
        <v>16644.606200864404</v>
      </c>
      <c r="T943">
        <v>28806.55550565309</v>
      </c>
    </row>
    <row r="944" spans="13:20">
      <c r="M944">
        <v>937</v>
      </c>
      <c r="N944">
        <v>99226.672207115436</v>
      </c>
      <c r="O944">
        <v>12040.250105118124</v>
      </c>
      <c r="P944">
        <v>11931.720068618</v>
      </c>
      <c r="Q944">
        <v>8252.9449064559485</v>
      </c>
      <c r="R944">
        <v>20579.661626075955</v>
      </c>
      <c r="S944">
        <v>15926.122599585224</v>
      </c>
      <c r="T944">
        <v>29415.259892723923</v>
      </c>
    </row>
    <row r="945" spans="13:20">
      <c r="M945">
        <v>938</v>
      </c>
      <c r="N945">
        <v>98324.691773153405</v>
      </c>
      <c r="O945">
        <v>10938.731886970014</v>
      </c>
      <c r="P945">
        <v>12529.538049093168</v>
      </c>
      <c r="Q945">
        <v>6800.6926643161059</v>
      </c>
      <c r="R945">
        <v>22110.180611634903</v>
      </c>
      <c r="S945">
        <v>15481.199078577976</v>
      </c>
      <c r="T945">
        <v>29305.903818938015</v>
      </c>
    </row>
    <row r="946" spans="13:20">
      <c r="M946">
        <v>939</v>
      </c>
      <c r="N946">
        <v>97995.967601522469</v>
      </c>
      <c r="O946">
        <v>11321.632648786641</v>
      </c>
      <c r="P946">
        <v>11935.402742226044</v>
      </c>
      <c r="Q946">
        <v>8202.0149917969811</v>
      </c>
      <c r="R946">
        <v>20966.149582995731</v>
      </c>
      <c r="S946">
        <v>15202.28781981986</v>
      </c>
      <c r="T946">
        <v>29429.870166666886</v>
      </c>
    </row>
    <row r="947" spans="13:20">
      <c r="M947">
        <v>940</v>
      </c>
      <c r="N947">
        <v>99270.344000401121</v>
      </c>
      <c r="O947">
        <v>11546.163707100706</v>
      </c>
      <c r="P947">
        <v>12421.798533472213</v>
      </c>
      <c r="Q947">
        <v>7618.9500558912632</v>
      </c>
      <c r="R947">
        <v>21069.001412084224</v>
      </c>
      <c r="S947">
        <v>16005.31143901922</v>
      </c>
      <c r="T947">
        <v>29615.869397002614</v>
      </c>
    </row>
    <row r="948" spans="13:20">
      <c r="M948">
        <v>941</v>
      </c>
      <c r="N948">
        <v>98433.931392938292</v>
      </c>
      <c r="O948">
        <v>10956.173311089784</v>
      </c>
      <c r="P948">
        <v>12810.178467319709</v>
      </c>
      <c r="Q948">
        <v>7630.8655871708715</v>
      </c>
      <c r="R948">
        <v>21324.388556949987</v>
      </c>
      <c r="S948">
        <v>15712.204098424885</v>
      </c>
      <c r="T948">
        <v>28881.360402827682</v>
      </c>
    </row>
    <row r="949" spans="13:20">
      <c r="M949">
        <v>942</v>
      </c>
      <c r="N949">
        <v>99621.991512789013</v>
      </c>
      <c r="O949">
        <v>11302.530776907635</v>
      </c>
      <c r="P949">
        <v>11977.558865260713</v>
      </c>
      <c r="Q949">
        <v>7537.4818614807846</v>
      </c>
      <c r="R949">
        <v>23234.291751652578</v>
      </c>
      <c r="S949">
        <v>14887.080591843613</v>
      </c>
      <c r="T949">
        <v>29679.545939286236</v>
      </c>
    </row>
    <row r="950" spans="13:20">
      <c r="M950">
        <v>943</v>
      </c>
      <c r="N950">
        <v>100142.97390888291</v>
      </c>
      <c r="O950">
        <v>12259.434950799037</v>
      </c>
      <c r="P950">
        <v>12149.603199497558</v>
      </c>
      <c r="Q950">
        <v>7594.6676939604595</v>
      </c>
      <c r="R950">
        <v>21924.840007135746</v>
      </c>
      <c r="S950">
        <v>15190.71407484918</v>
      </c>
      <c r="T950">
        <v>29990.353572762815</v>
      </c>
    </row>
    <row r="951" spans="13:20">
      <c r="M951">
        <v>944</v>
      </c>
      <c r="N951">
        <v>99239.343459015989</v>
      </c>
      <c r="O951">
        <v>11347.97596622019</v>
      </c>
      <c r="P951">
        <v>12931.064689403076</v>
      </c>
      <c r="Q951">
        <v>7893.1924834733818</v>
      </c>
      <c r="R951">
        <v>20644.816825151625</v>
      </c>
      <c r="S951">
        <v>15978.699049526414</v>
      </c>
      <c r="T951">
        <v>29480.82942875466</v>
      </c>
    </row>
    <row r="952" spans="13:20">
      <c r="M952">
        <v>945</v>
      </c>
      <c r="N952">
        <v>98847.877396579046</v>
      </c>
      <c r="O952">
        <v>10910.505808698188</v>
      </c>
      <c r="P952">
        <v>12746.771788700189</v>
      </c>
      <c r="Q952">
        <v>7808.5234303388443</v>
      </c>
      <c r="R952">
        <v>21879.832766770647</v>
      </c>
      <c r="S952">
        <v>15015.259107320524</v>
      </c>
      <c r="T952">
        <v>29437.691920054203</v>
      </c>
    </row>
    <row r="953" spans="13:20">
      <c r="M953">
        <v>946</v>
      </c>
      <c r="N953">
        <v>98516.091677525023</v>
      </c>
      <c r="O953">
        <v>11375.361683592058</v>
      </c>
      <c r="P953">
        <v>12106.167790493108</v>
      </c>
      <c r="Q953">
        <v>7318.266308755803</v>
      </c>
      <c r="R953">
        <v>21186.090412915444</v>
      </c>
      <c r="S953">
        <v>15985.702306834644</v>
      </c>
      <c r="T953">
        <v>29721.499641433158</v>
      </c>
    </row>
    <row r="954" spans="13:20">
      <c r="M954">
        <v>947</v>
      </c>
      <c r="N954">
        <v>97610.037449848562</v>
      </c>
      <c r="O954">
        <v>10965.343608788484</v>
      </c>
      <c r="P954">
        <v>12248.748459730221</v>
      </c>
      <c r="Q954">
        <v>7016.3820197798095</v>
      </c>
      <c r="R954">
        <v>21325.99697868526</v>
      </c>
      <c r="S954">
        <v>15295.659090897647</v>
      </c>
      <c r="T954">
        <v>29601.704422377945</v>
      </c>
    </row>
    <row r="955" spans="13:20">
      <c r="M955">
        <v>948</v>
      </c>
      <c r="N955">
        <v>100712.30690647416</v>
      </c>
      <c r="O955">
        <v>11162.951817221878</v>
      </c>
      <c r="P955">
        <v>13024.508160159974</v>
      </c>
      <c r="Q955">
        <v>7423.7175661460005</v>
      </c>
      <c r="R955">
        <v>22016.338216708442</v>
      </c>
      <c r="S955">
        <v>16219.442177604989</v>
      </c>
      <c r="T955">
        <v>29841.26717053858</v>
      </c>
    </row>
    <row r="956" spans="13:20">
      <c r="M956">
        <v>949</v>
      </c>
      <c r="N956">
        <v>100068.27247507765</v>
      </c>
      <c r="O956">
        <v>11043.332805741509</v>
      </c>
      <c r="P956">
        <v>12981.696344708158</v>
      </c>
      <c r="Q956">
        <v>8023.1319319537979</v>
      </c>
      <c r="R956">
        <v>21106.293782917932</v>
      </c>
      <c r="S956">
        <v>16396.045450185913</v>
      </c>
      <c r="T956">
        <v>29393.613889424545</v>
      </c>
    </row>
    <row r="957" spans="13:20">
      <c r="M957">
        <v>950</v>
      </c>
      <c r="N957">
        <v>100483.62969949323</v>
      </c>
      <c r="O957">
        <v>10865.434639954179</v>
      </c>
      <c r="P957">
        <v>12251.254663006202</v>
      </c>
      <c r="Q957">
        <v>8021.0916967499743</v>
      </c>
      <c r="R957">
        <v>22681.911977852076</v>
      </c>
      <c r="S957">
        <v>15969.569624700947</v>
      </c>
      <c r="T957">
        <v>29690.231228751738</v>
      </c>
    </row>
    <row r="958" spans="13:20">
      <c r="M958">
        <v>951</v>
      </c>
      <c r="N958">
        <v>101095.03375004187</v>
      </c>
      <c r="O958">
        <v>11251.200984608797</v>
      </c>
      <c r="P958">
        <v>13605.061255456683</v>
      </c>
      <c r="Q958">
        <v>7769.5981784939404</v>
      </c>
      <c r="R958">
        <v>21575.635977354115</v>
      </c>
      <c r="S958">
        <v>16118.515027418551</v>
      </c>
      <c r="T958">
        <v>29898.28058777803</v>
      </c>
    </row>
    <row r="959" spans="13:20">
      <c r="M959">
        <v>952</v>
      </c>
      <c r="N959">
        <v>100380.5468145247</v>
      </c>
      <c r="O959">
        <v>11384.365665072903</v>
      </c>
      <c r="P959">
        <v>13296.82248774145</v>
      </c>
      <c r="Q959">
        <v>7335.128243900308</v>
      </c>
      <c r="R959">
        <v>21561.378957536752</v>
      </c>
      <c r="S959">
        <v>15867.338334417394</v>
      </c>
      <c r="T959">
        <v>29887.480896297089</v>
      </c>
    </row>
    <row r="960" spans="13:20">
      <c r="M960">
        <v>953</v>
      </c>
      <c r="N960">
        <v>99854.676319851555</v>
      </c>
      <c r="O960">
        <v>11303.36377822853</v>
      </c>
      <c r="P960">
        <v>13946.62421000332</v>
      </c>
      <c r="Q960">
        <v>7341.7311910160188</v>
      </c>
      <c r="R960">
        <v>20938.361078726211</v>
      </c>
      <c r="S960">
        <v>15285.524363178725</v>
      </c>
      <c r="T960">
        <v>29944.643289346608</v>
      </c>
    </row>
    <row r="961" spans="13:20">
      <c r="M961">
        <v>954</v>
      </c>
      <c r="N961">
        <v>98052.103525630111</v>
      </c>
      <c r="O961">
        <v>11469.68438214679</v>
      </c>
      <c r="P961">
        <v>11812.894181434383</v>
      </c>
      <c r="Q961">
        <v>7221.1880824882955</v>
      </c>
      <c r="R961">
        <v>21723.624211632054</v>
      </c>
      <c r="S961">
        <v>15493.734720211518</v>
      </c>
      <c r="T961">
        <v>29362.936858539124</v>
      </c>
    </row>
    <row r="962" spans="13:20">
      <c r="M962">
        <v>955</v>
      </c>
      <c r="N962">
        <v>101869.01344912918</v>
      </c>
      <c r="O962">
        <v>11555.853692374829</v>
      </c>
      <c r="P962">
        <v>12765.372939592073</v>
      </c>
      <c r="Q962">
        <v>8291.9051248865162</v>
      </c>
      <c r="R962">
        <v>22590.326857355911</v>
      </c>
      <c r="S962">
        <v>15267.887706911137</v>
      </c>
      <c r="T962">
        <v>30307.12263569549</v>
      </c>
    </row>
    <row r="963" spans="13:20">
      <c r="M963">
        <v>956</v>
      </c>
      <c r="N963">
        <v>98788.254216743764</v>
      </c>
      <c r="O963">
        <v>11240.726358469758</v>
      </c>
      <c r="P963">
        <v>12965.943499647492</v>
      </c>
      <c r="Q963">
        <v>7435.0639024313023</v>
      </c>
      <c r="R963">
        <v>21895.687345189217</v>
      </c>
      <c r="S963">
        <v>14823.239015329938</v>
      </c>
      <c r="T963">
        <v>29538.027799345051</v>
      </c>
    </row>
    <row r="964" spans="13:20">
      <c r="M964">
        <v>957</v>
      </c>
      <c r="N964">
        <v>99883.558125784475</v>
      </c>
      <c r="O964">
        <v>11715.83266563164</v>
      </c>
      <c r="P964">
        <v>13180.461303691378</v>
      </c>
      <c r="Q964">
        <v>7503.5022305066786</v>
      </c>
      <c r="R964">
        <v>20624.889773731695</v>
      </c>
      <c r="S964">
        <v>16116.381494680698</v>
      </c>
      <c r="T964">
        <v>29711.956127570185</v>
      </c>
    </row>
    <row r="965" spans="13:20">
      <c r="M965">
        <v>958</v>
      </c>
      <c r="N965">
        <v>100972.07169686438</v>
      </c>
      <c r="O965">
        <v>11094.173306006096</v>
      </c>
      <c r="P965">
        <v>12744.363043180376</v>
      </c>
      <c r="Q965">
        <v>7282.3342901155293</v>
      </c>
      <c r="R965">
        <v>24045.238794766894</v>
      </c>
      <c r="S965">
        <v>15936.489522105858</v>
      </c>
      <c r="T965">
        <v>29027.723115941561</v>
      </c>
    </row>
    <row r="966" spans="13:20">
      <c r="M966">
        <v>959</v>
      </c>
      <c r="N966">
        <v>97816.326641297186</v>
      </c>
      <c r="O966">
        <v>10667.563401985881</v>
      </c>
      <c r="P966">
        <v>13138.92673673408</v>
      </c>
      <c r="Q966">
        <v>7680.8665518830185</v>
      </c>
      <c r="R966">
        <v>20818.273623952817</v>
      </c>
      <c r="S966">
        <v>15493.34189672082</v>
      </c>
      <c r="T966">
        <v>29214.297541956381</v>
      </c>
    </row>
    <row r="967" spans="13:20">
      <c r="M967">
        <v>960</v>
      </c>
      <c r="N967">
        <v>101552.53736203937</v>
      </c>
      <c r="O967">
        <v>11864.972012839076</v>
      </c>
      <c r="P967">
        <v>12512.755532920159</v>
      </c>
      <c r="Q967">
        <v>7741.3315783335293</v>
      </c>
      <c r="R967">
        <v>23395.5454823703</v>
      </c>
      <c r="S967">
        <v>15346.958359348555</v>
      </c>
      <c r="T967">
        <v>29810.418797834172</v>
      </c>
    </row>
    <row r="968" spans="13:20">
      <c r="M968">
        <v>961</v>
      </c>
      <c r="N968">
        <v>100485.6477071285</v>
      </c>
      <c r="O968">
        <v>11544.452991489557</v>
      </c>
      <c r="P968">
        <v>13081.028149390955</v>
      </c>
      <c r="Q968">
        <v>7532.7520582741963</v>
      </c>
      <c r="R968">
        <v>21855.583676727671</v>
      </c>
      <c r="S968">
        <v>15443.144619730081</v>
      </c>
      <c r="T968">
        <v>29920.43975666356</v>
      </c>
    </row>
    <row r="969" spans="13:20">
      <c r="M969">
        <v>962</v>
      </c>
      <c r="N969">
        <v>99846.651818656246</v>
      </c>
      <c r="O969">
        <v>11202.488118561821</v>
      </c>
      <c r="P969">
        <v>11535.382177843338</v>
      </c>
      <c r="Q969">
        <v>7835.6103040230537</v>
      </c>
      <c r="R969">
        <v>22428.704070297928</v>
      </c>
      <c r="S969">
        <v>15650.098152262504</v>
      </c>
      <c r="T969">
        <v>29975.91917872394</v>
      </c>
    </row>
    <row r="970" spans="13:20">
      <c r="M970">
        <v>963</v>
      </c>
      <c r="N970">
        <v>99986.502445768245</v>
      </c>
      <c r="O970">
        <v>11155.224570058053</v>
      </c>
      <c r="P970">
        <v>14006.971969842587</v>
      </c>
      <c r="Q970">
        <v>8043.4438953335912</v>
      </c>
      <c r="R970">
        <v>20683.020948538022</v>
      </c>
      <c r="S970">
        <v>15631.313149887997</v>
      </c>
      <c r="T970">
        <v>29491.645331935448</v>
      </c>
    </row>
    <row r="971" spans="13:20">
      <c r="M971">
        <v>964</v>
      </c>
      <c r="N971">
        <v>99258.774317386691</v>
      </c>
      <c r="O971">
        <v>11087.102061286121</v>
      </c>
      <c r="P971">
        <v>13606.593597617437</v>
      </c>
      <c r="Q971">
        <v>7494.1309810943922</v>
      </c>
      <c r="R971">
        <v>20953.55145592396</v>
      </c>
      <c r="S971">
        <v>14627.014861463696</v>
      </c>
      <c r="T971">
        <v>30444.896532551098</v>
      </c>
    </row>
    <row r="972" spans="13:20">
      <c r="M972">
        <v>965</v>
      </c>
      <c r="N972">
        <v>98713.61844513251</v>
      </c>
      <c r="O972">
        <v>11060.513257125624</v>
      </c>
      <c r="P972">
        <v>12234.628632404281</v>
      </c>
      <c r="Q972">
        <v>7719.2163867144127</v>
      </c>
      <c r="R972">
        <v>21319.999075307729</v>
      </c>
      <c r="S972">
        <v>16659.905899571666</v>
      </c>
      <c r="T972">
        <v>28778.219699059442</v>
      </c>
    </row>
    <row r="973" spans="13:20">
      <c r="M973">
        <v>966</v>
      </c>
      <c r="N973">
        <v>99384.278467730983</v>
      </c>
      <c r="O973">
        <v>11525.419126286273</v>
      </c>
      <c r="P973">
        <v>12625.364269664078</v>
      </c>
      <c r="Q973">
        <v>7998.6600383434479</v>
      </c>
      <c r="R973">
        <v>20520.384871828741</v>
      </c>
      <c r="S973">
        <v>15756.320609321769</v>
      </c>
      <c r="T973">
        <v>29849.645362247782</v>
      </c>
    </row>
    <row r="974" spans="13:20">
      <c r="M974">
        <v>967</v>
      </c>
      <c r="N974">
        <v>102213.3962245679</v>
      </c>
      <c r="O974">
        <v>11323.423402553086</v>
      </c>
      <c r="P974">
        <v>12641.707018228908</v>
      </c>
      <c r="Q974">
        <v>7337.8288304055432</v>
      </c>
      <c r="R974">
        <v>24376.79274551028</v>
      </c>
      <c r="S974">
        <v>15283.092709987319</v>
      </c>
      <c r="T974">
        <v>30308.55235159877</v>
      </c>
    </row>
    <row r="975" spans="13:20">
      <c r="M975">
        <v>968</v>
      </c>
      <c r="N975">
        <v>97729.471815230718</v>
      </c>
      <c r="O975">
        <v>10960.578884113162</v>
      </c>
      <c r="P975">
        <v>11385.712696984378</v>
      </c>
      <c r="Q975">
        <v>7550.6198921341693</v>
      </c>
      <c r="R975">
        <v>21506.666275838194</v>
      </c>
      <c r="S975">
        <v>15016.109490191069</v>
      </c>
      <c r="T975">
        <v>30230.811842335916</v>
      </c>
    </row>
    <row r="976" spans="13:20">
      <c r="M976">
        <v>969</v>
      </c>
      <c r="N976">
        <v>97701.876536011259</v>
      </c>
      <c r="O976">
        <v>10813.633705596727</v>
      </c>
      <c r="P976">
        <v>11919.438915600829</v>
      </c>
      <c r="Q976">
        <v>7950.481604540435</v>
      </c>
      <c r="R976">
        <v>22219.644345966954</v>
      </c>
      <c r="S976">
        <v>14833.907032979605</v>
      </c>
      <c r="T976">
        <v>29216.555040615989</v>
      </c>
    </row>
    <row r="977" spans="13:20">
      <c r="M977">
        <v>970</v>
      </c>
      <c r="N977">
        <v>99615.746277781844</v>
      </c>
      <c r="O977">
        <v>10970.995766954824</v>
      </c>
      <c r="P977">
        <v>11756.203582373431</v>
      </c>
      <c r="Q977">
        <v>7586.1598831479305</v>
      </c>
      <c r="R977">
        <v>21612.273881945814</v>
      </c>
      <c r="S977">
        <v>15576.135291980943</v>
      </c>
      <c r="T977">
        <v>31063.377394615633</v>
      </c>
    </row>
    <row r="978" spans="13:20">
      <c r="M978">
        <v>971</v>
      </c>
      <c r="N978">
        <v>97371.65744401174</v>
      </c>
      <c r="O978">
        <v>11431.702004491479</v>
      </c>
      <c r="P978">
        <v>11536.795008387962</v>
      </c>
      <c r="Q978">
        <v>7058.8454534716875</v>
      </c>
      <c r="R978">
        <v>20941.825439935048</v>
      </c>
      <c r="S978">
        <v>15806.899612281564</v>
      </c>
      <c r="T978">
        <v>29631.31090932908</v>
      </c>
    </row>
    <row r="979" spans="13:20">
      <c r="M979">
        <v>972</v>
      </c>
      <c r="N979">
        <v>98673.134407808044</v>
      </c>
      <c r="O979">
        <v>11106.761335436975</v>
      </c>
      <c r="P979">
        <v>12870.036457795382</v>
      </c>
      <c r="Q979">
        <v>6901.3618212477895</v>
      </c>
      <c r="R979">
        <v>21215.685945510621</v>
      </c>
      <c r="S979">
        <v>16037.163929130564</v>
      </c>
      <c r="T979">
        <v>29359.951068059167</v>
      </c>
    </row>
    <row r="980" spans="13:20">
      <c r="M980">
        <v>973</v>
      </c>
      <c r="N980">
        <v>99930.255593913113</v>
      </c>
      <c r="O980">
        <v>11259.879148541262</v>
      </c>
      <c r="P980">
        <v>12383.771018427291</v>
      </c>
      <c r="Q980">
        <v>7328.9587634687423</v>
      </c>
      <c r="R980">
        <v>22463.505715345575</v>
      </c>
      <c r="S980">
        <v>15507.484230252941</v>
      </c>
      <c r="T980">
        <v>29802.232763351774</v>
      </c>
    </row>
    <row r="981" spans="13:20">
      <c r="M981">
        <v>974</v>
      </c>
      <c r="N981">
        <v>99962.737299453482</v>
      </c>
      <c r="O981">
        <v>11279.439000319635</v>
      </c>
      <c r="P981">
        <v>11726.563028446624</v>
      </c>
      <c r="Q981">
        <v>8492.3583952295776</v>
      </c>
      <c r="R981">
        <v>22541.87580548141</v>
      </c>
      <c r="S981">
        <v>16229.08052691392</v>
      </c>
      <c r="T981">
        <v>28681.107783255302</v>
      </c>
    </row>
    <row r="982" spans="13:20">
      <c r="M982">
        <v>975</v>
      </c>
      <c r="N982">
        <v>97879.267605643618</v>
      </c>
      <c r="O982">
        <v>10732.840233742891</v>
      </c>
      <c r="P982">
        <v>11684.318113392499</v>
      </c>
      <c r="Q982">
        <v>7483.3115649086494</v>
      </c>
      <c r="R982">
        <v>20582.973293506249</v>
      </c>
      <c r="S982">
        <v>15695.19044131531</v>
      </c>
      <c r="T982">
        <v>30548.304524315259</v>
      </c>
    </row>
    <row r="983" spans="13:20">
      <c r="M983">
        <v>976</v>
      </c>
      <c r="N983">
        <v>98841.113145933195</v>
      </c>
      <c r="O983">
        <v>10877.435301021002</v>
      </c>
      <c r="P983">
        <v>13111.841583983054</v>
      </c>
      <c r="Q983">
        <v>7060.0615328164567</v>
      </c>
      <c r="R983">
        <v>21639.901269814258</v>
      </c>
      <c r="S983">
        <v>15919.086461541428</v>
      </c>
      <c r="T983">
        <v>29120.79146003992</v>
      </c>
    </row>
    <row r="984" spans="13:20">
      <c r="M984">
        <v>977</v>
      </c>
      <c r="N984">
        <v>95942.023587513424</v>
      </c>
      <c r="O984">
        <v>11548.017032076343</v>
      </c>
      <c r="P984">
        <v>11850.41212621247</v>
      </c>
      <c r="Q984">
        <v>6806.0730659007741</v>
      </c>
      <c r="R984">
        <v>20637.409005000707</v>
      </c>
      <c r="S984">
        <v>15016.642417250807</v>
      </c>
      <c r="T984">
        <v>29302.258945159134</v>
      </c>
    </row>
    <row r="985" spans="13:20">
      <c r="M985">
        <v>978</v>
      </c>
      <c r="N985">
        <v>102653.28063965459</v>
      </c>
      <c r="O985">
        <v>11547.048711378502</v>
      </c>
      <c r="P985">
        <v>13361.197085945678</v>
      </c>
      <c r="Q985">
        <v>7870.5330882082035</v>
      </c>
      <c r="R985">
        <v>23492.907346316355</v>
      </c>
      <c r="S985">
        <v>15600.093461195262</v>
      </c>
      <c r="T985">
        <v>29902.151346947692</v>
      </c>
    </row>
    <row r="986" spans="13:20">
      <c r="M986">
        <v>979</v>
      </c>
      <c r="N986">
        <v>99479.484043987162</v>
      </c>
      <c r="O986">
        <v>10822.445620028213</v>
      </c>
      <c r="P986">
        <v>12160.081469574505</v>
      </c>
      <c r="Q986">
        <v>8307.3511576859382</v>
      </c>
      <c r="R986">
        <v>22913.289484888344</v>
      </c>
      <c r="S986">
        <v>15510.399500544241</v>
      </c>
      <c r="T986">
        <v>28770.270250204689</v>
      </c>
    </row>
    <row r="987" spans="13:20">
      <c r="M987">
        <v>980</v>
      </c>
      <c r="N987">
        <v>99946.290936895559</v>
      </c>
      <c r="O987">
        <v>11508.211004611167</v>
      </c>
      <c r="P987">
        <v>12945.954546902558</v>
      </c>
      <c r="Q987">
        <v>7154.1796601052229</v>
      </c>
      <c r="R987">
        <v>22103.6690046246</v>
      </c>
      <c r="S987">
        <v>16370.370705726007</v>
      </c>
      <c r="T987">
        <v>28804.134894033577</v>
      </c>
    </row>
    <row r="988" spans="13:20">
      <c r="M988">
        <v>981</v>
      </c>
      <c r="N988">
        <v>100877.70295855553</v>
      </c>
      <c r="O988">
        <v>10904.319609042743</v>
      </c>
      <c r="P988">
        <v>13612.778914895756</v>
      </c>
      <c r="Q988">
        <v>7230.3436959933897</v>
      </c>
      <c r="R988">
        <v>22689.860653766256</v>
      </c>
      <c r="S988">
        <v>15820.783647826735</v>
      </c>
      <c r="T988">
        <v>29759.177938768895</v>
      </c>
    </row>
    <row r="989" spans="13:20">
      <c r="M989">
        <v>982</v>
      </c>
      <c r="N989">
        <v>96925.862537752997</v>
      </c>
      <c r="O989">
        <v>11255.116625599214</v>
      </c>
      <c r="P989">
        <v>11262.268967239963</v>
      </c>
      <c r="Q989">
        <v>8056.9905169997228</v>
      </c>
      <c r="R989">
        <v>21044.75764840479</v>
      </c>
      <c r="S989">
        <v>15157.271785647756</v>
      </c>
      <c r="T989">
        <v>29143.480287908085</v>
      </c>
    </row>
    <row r="990" spans="13:20">
      <c r="M990">
        <v>983</v>
      </c>
      <c r="N990">
        <v>101618.34854692724</v>
      </c>
      <c r="O990">
        <v>11134.923041138429</v>
      </c>
      <c r="P990">
        <v>13159.006032973815</v>
      </c>
      <c r="Q990">
        <v>7124.6154865116623</v>
      </c>
      <c r="R990">
        <v>24114.932280941899</v>
      </c>
      <c r="S990">
        <v>15314.826000839756</v>
      </c>
      <c r="T990">
        <v>29749.44203937858</v>
      </c>
    </row>
    <row r="991" spans="13:20">
      <c r="M991">
        <v>984</v>
      </c>
      <c r="N991">
        <v>99439.89847444756</v>
      </c>
      <c r="O991">
        <v>10911.660141180528</v>
      </c>
      <c r="P991">
        <v>11662.444743562213</v>
      </c>
      <c r="Q991">
        <v>8228.0263347129094</v>
      </c>
      <c r="R991">
        <v>21607.584940191158</v>
      </c>
      <c r="S991">
        <v>16011.477238270802</v>
      </c>
      <c r="T991">
        <v>29830.639467904806</v>
      </c>
    </row>
    <row r="992" spans="13:20">
      <c r="M992">
        <v>985</v>
      </c>
      <c r="N992">
        <v>98012.558953142303</v>
      </c>
      <c r="O992">
        <v>10665.000061116374</v>
      </c>
      <c r="P992">
        <v>12284.242728174817</v>
      </c>
      <c r="Q992">
        <v>7431.4029314263589</v>
      </c>
      <c r="R992">
        <v>22984.170859023681</v>
      </c>
      <c r="S992">
        <v>15362.510769967465</v>
      </c>
      <c r="T992">
        <v>28357.280745300941</v>
      </c>
    </row>
    <row r="993" spans="13:20">
      <c r="M993">
        <v>986</v>
      </c>
      <c r="N993">
        <v>97404.828751428664</v>
      </c>
      <c r="O993">
        <v>10988.042528524547</v>
      </c>
      <c r="P993">
        <v>11515.328337084464</v>
      </c>
      <c r="Q993">
        <v>7572.6290026963443</v>
      </c>
      <c r="R993">
        <v>20521.184319237458</v>
      </c>
      <c r="S993">
        <v>15221.976525909104</v>
      </c>
      <c r="T993">
        <v>30645.424257482777</v>
      </c>
    </row>
    <row r="994" spans="13:20">
      <c r="M994">
        <v>987</v>
      </c>
      <c r="N994">
        <v>98513.157834171972</v>
      </c>
      <c r="O994">
        <v>10696.061910902903</v>
      </c>
      <c r="P994">
        <v>13071.257331665143</v>
      </c>
      <c r="Q994">
        <v>7070.3711458396219</v>
      </c>
      <c r="R994">
        <v>21103.896525845008</v>
      </c>
      <c r="S994">
        <v>15170.554646470417</v>
      </c>
      <c r="T994">
        <v>30449.886539063904</v>
      </c>
    </row>
    <row r="995" spans="13:20">
      <c r="M995">
        <v>988</v>
      </c>
      <c r="N995">
        <v>99102.126951301369</v>
      </c>
      <c r="O995">
        <v>11223.418148338624</v>
      </c>
      <c r="P995">
        <v>12077.074664794305</v>
      </c>
      <c r="Q995">
        <v>8409.4715389900775</v>
      </c>
      <c r="R995">
        <v>22328.712321691954</v>
      </c>
      <c r="S995">
        <v>15467.671871439768</v>
      </c>
      <c r="T995">
        <v>28847.171942007488</v>
      </c>
    </row>
    <row r="996" spans="13:20">
      <c r="M996">
        <v>989</v>
      </c>
      <c r="N996">
        <v>97337.171500670505</v>
      </c>
      <c r="O996">
        <v>10972.26549451266</v>
      </c>
      <c r="P996">
        <v>11836.356378406676</v>
      </c>
      <c r="Q996">
        <v>7779.869382168833</v>
      </c>
      <c r="R996">
        <v>21016.855561871896</v>
      </c>
      <c r="S996">
        <v>15479.591104827268</v>
      </c>
      <c r="T996">
        <v>29173.492812242042</v>
      </c>
    </row>
    <row r="997" spans="13:20">
      <c r="M997">
        <v>990</v>
      </c>
      <c r="N997">
        <v>98578.105845517159</v>
      </c>
      <c r="O997">
        <v>11283.649943122015</v>
      </c>
      <c r="P997">
        <v>11444.285788139921</v>
      </c>
      <c r="Q997">
        <v>7615.2682975799707</v>
      </c>
      <c r="R997">
        <v>20760.547028698224</v>
      </c>
      <c r="S997">
        <v>16470.634678468017</v>
      </c>
      <c r="T997">
        <v>30116.029945349965</v>
      </c>
    </row>
    <row r="998" spans="13:20">
      <c r="M998">
        <v>991</v>
      </c>
      <c r="N998">
        <v>99283.884537954669</v>
      </c>
      <c r="O998">
        <v>11430.514312541267</v>
      </c>
      <c r="P998">
        <v>12181.977795861398</v>
      </c>
      <c r="Q998">
        <v>7805.4192271030115</v>
      </c>
      <c r="R998">
        <v>21150.620911482994</v>
      </c>
      <c r="S998">
        <v>16030.997660751253</v>
      </c>
      <c r="T998">
        <v>29681.791464674097</v>
      </c>
    </row>
    <row r="999" spans="13:20">
      <c r="M999">
        <v>992</v>
      </c>
      <c r="N999">
        <v>99151.991790937594</v>
      </c>
      <c r="O999">
        <v>11353.478701674845</v>
      </c>
      <c r="P999">
        <v>12270.659161598833</v>
      </c>
      <c r="Q999">
        <v>7216.116901568148</v>
      </c>
      <c r="R999">
        <v>21214.880986601391</v>
      </c>
      <c r="S999">
        <v>16082.507098962695</v>
      </c>
      <c r="T999">
        <v>30151.636128876475</v>
      </c>
    </row>
    <row r="1000" spans="13:20">
      <c r="M1000">
        <v>993</v>
      </c>
      <c r="N1000">
        <v>100595.10988476289</v>
      </c>
      <c r="O1000">
        <v>11316.330776590752</v>
      </c>
      <c r="P1000">
        <v>12369.341971736982</v>
      </c>
      <c r="Q1000">
        <v>8343.9616568057172</v>
      </c>
      <c r="R1000">
        <v>22183.392832074253</v>
      </c>
      <c r="S1000">
        <v>15115.943205285736</v>
      </c>
      <c r="T1000">
        <v>30356.492388324914</v>
      </c>
    </row>
    <row r="1001" spans="13:20">
      <c r="M1001">
        <v>994</v>
      </c>
      <c r="N1001">
        <v>97259.295521224311</v>
      </c>
      <c r="O1001">
        <v>11208.286224778347</v>
      </c>
      <c r="P1001">
        <v>12014.612948437698</v>
      </c>
      <c r="Q1001">
        <v>7838.0710080398776</v>
      </c>
      <c r="R1001">
        <v>20675.10509225569</v>
      </c>
      <c r="S1001">
        <v>15304.549470301485</v>
      </c>
      <c r="T1001">
        <v>29197.964138073999</v>
      </c>
    </row>
    <row r="1002" spans="13:20">
      <c r="M1002">
        <v>995</v>
      </c>
      <c r="N1002">
        <v>101003.43012014471</v>
      </c>
      <c r="O1002">
        <v>11015.364878836674</v>
      </c>
      <c r="P1002">
        <v>11744.009279071903</v>
      </c>
      <c r="Q1002">
        <v>7331.3220701553719</v>
      </c>
      <c r="R1002">
        <v>23443.457615344079</v>
      </c>
      <c r="S1002">
        <v>16517.112652652962</v>
      </c>
      <c r="T1002">
        <v>30036.190870979492</v>
      </c>
    </row>
    <row r="1003" spans="13:20">
      <c r="M1003">
        <v>996</v>
      </c>
      <c r="N1003">
        <v>100917.2610160797</v>
      </c>
      <c r="O1003">
        <v>11644.769305320213</v>
      </c>
      <c r="P1003">
        <v>12227.165713949835</v>
      </c>
      <c r="Q1003">
        <v>8093.2915636109947</v>
      </c>
      <c r="R1003">
        <v>22340.118609534511</v>
      </c>
      <c r="S1003">
        <v>15823.429881349899</v>
      </c>
      <c r="T1003">
        <v>29936.920689877912</v>
      </c>
    </row>
    <row r="1004" spans="13:20">
      <c r="M1004">
        <v>997</v>
      </c>
      <c r="N1004">
        <v>98357.00842156705</v>
      </c>
      <c r="O1004">
        <v>11330.423363895061</v>
      </c>
      <c r="P1004">
        <v>12330.61644405643</v>
      </c>
      <c r="Q1004">
        <v>7329.4574702728132</v>
      </c>
      <c r="R1004">
        <v>22225.150596522821</v>
      </c>
      <c r="S1004">
        <v>15425.6826105039</v>
      </c>
      <c r="T1004">
        <v>28570.143397917007</v>
      </c>
    </row>
    <row r="1005" spans="13:20">
      <c r="M1005">
        <v>998</v>
      </c>
      <c r="N1005">
        <v>100345.64754408183</v>
      </c>
      <c r="O1005">
        <v>11172.961730899384</v>
      </c>
      <c r="P1005">
        <v>15726.542101528437</v>
      </c>
      <c r="Q1005">
        <v>7999.2498895226527</v>
      </c>
      <c r="R1005">
        <v>20141.844018829506</v>
      </c>
      <c r="S1005">
        <v>15527.479688899697</v>
      </c>
      <c r="T1005">
        <v>28681.862572885377</v>
      </c>
    </row>
    <row r="1006" spans="13:20">
      <c r="M1006">
        <v>999</v>
      </c>
      <c r="N1006">
        <v>101267.81399912191</v>
      </c>
      <c r="O1006">
        <v>11244.38642293434</v>
      </c>
      <c r="P1006">
        <v>11516.403131178075</v>
      </c>
      <c r="Q1006">
        <v>8696.8861690198974</v>
      </c>
      <c r="R1006">
        <v>22328.554458625986</v>
      </c>
      <c r="S1006">
        <v>16841.911234331666</v>
      </c>
      <c r="T1006">
        <v>29778.183094519751</v>
      </c>
    </row>
    <row r="1007" spans="13:20">
      <c r="M1007">
        <v>1000</v>
      </c>
      <c r="N1007">
        <v>99899.914564524923</v>
      </c>
      <c r="O1007">
        <v>11049.486027829396</v>
      </c>
      <c r="P1007">
        <v>12514.872798123924</v>
      </c>
      <c r="Q1007">
        <v>7382.1321814765925</v>
      </c>
      <c r="R1007">
        <v>22128.819566887818</v>
      </c>
      <c r="S1007">
        <v>16054.949555152825</v>
      </c>
      <c r="T1007">
        <v>29582.304628138729</v>
      </c>
    </row>
    <row r="1048576" spans="16384:16384">
      <c r="XFD1048576" s="15" t="s">
        <v>66</v>
      </c>
    </row>
  </sheetData>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2:XFD1048576"/>
  <sheetViews>
    <sheetView zoomScale="144" zoomScaleNormal="85" workbookViewId="0">
      <selection activeCell="C31" sqref="C31"/>
    </sheetView>
  </sheetViews>
  <sheetFormatPr baseColWidth="10" defaultColWidth="8.83203125" defaultRowHeight="15"/>
  <cols>
    <col min="1" max="1" width="40.5" customWidth="1"/>
    <col min="2" max="2" width="16.5" customWidth="1"/>
    <col min="3" max="3" width="57.5" customWidth="1"/>
  </cols>
  <sheetData>
    <row r="2" spans="1:21">
      <c r="A2" s="7" t="s">
        <v>77</v>
      </c>
      <c r="B2" s="18">
        <f>AVERAGE('Model and simulation'!N8:N1007)</f>
        <v>99506.581975865469</v>
      </c>
      <c r="L2" s="32"/>
      <c r="M2" s="32"/>
      <c r="N2" s="32"/>
      <c r="O2" s="32"/>
      <c r="P2" s="32"/>
      <c r="Q2" s="32"/>
      <c r="R2" s="32"/>
      <c r="S2" s="32"/>
      <c r="T2" s="32"/>
      <c r="U2" s="32"/>
    </row>
    <row r="3" spans="1:21">
      <c r="A3" s="7"/>
      <c r="L3" s="32"/>
      <c r="M3" s="32"/>
      <c r="N3" s="32"/>
      <c r="O3" s="32"/>
      <c r="P3" s="32"/>
      <c r="Q3" s="32"/>
      <c r="R3" s="32"/>
      <c r="S3" s="32"/>
      <c r="T3" s="32"/>
      <c r="U3" s="32"/>
    </row>
    <row r="4" spans="1:21">
      <c r="A4" s="7" t="s">
        <v>36</v>
      </c>
      <c r="B4" s="18">
        <f>COUNTIF('Model and simulation'!$N$8:$N$1007, "&gt;"&amp;'Simulation results'!D4)/1000</f>
        <v>0.61599999999999999</v>
      </c>
      <c r="C4" t="s">
        <v>38</v>
      </c>
      <c r="D4" s="6">
        <v>99000</v>
      </c>
      <c r="L4" s="32"/>
      <c r="M4" s="32"/>
      <c r="N4" s="32"/>
      <c r="O4" s="32"/>
      <c r="P4" s="32"/>
      <c r="Q4" s="32"/>
      <c r="R4" s="32"/>
      <c r="S4" s="32"/>
      <c r="T4" s="32"/>
      <c r="U4" s="32"/>
    </row>
    <row r="5" spans="1:21">
      <c r="A5" s="7" t="s">
        <v>36</v>
      </c>
      <c r="B5" s="18">
        <f>COUNTIF('Model and simulation'!$N$8:$N$1007, "&gt;"&amp;'Simulation results'!D5)/1000</f>
        <v>0.95799999999999996</v>
      </c>
      <c r="C5" t="s">
        <v>39</v>
      </c>
      <c r="D5" s="6">
        <v>97000</v>
      </c>
      <c r="L5" s="32"/>
      <c r="M5" s="32"/>
      <c r="N5" s="32"/>
      <c r="O5" s="32"/>
      <c r="P5" s="32"/>
      <c r="Q5" s="32"/>
      <c r="R5" s="32"/>
      <c r="S5" s="32"/>
      <c r="T5" s="32"/>
      <c r="U5" s="32"/>
    </row>
    <row r="6" spans="1:21">
      <c r="A6" s="7"/>
      <c r="B6" s="8"/>
      <c r="D6" s="6"/>
      <c r="L6" s="32"/>
      <c r="M6" s="32"/>
      <c r="N6" s="32"/>
      <c r="O6" s="32"/>
      <c r="P6" s="32"/>
      <c r="Q6" s="32"/>
      <c r="R6" s="32"/>
      <c r="S6" s="32"/>
      <c r="T6" s="32"/>
      <c r="U6" s="32"/>
    </row>
    <row r="7" spans="1:21">
      <c r="A7" s="7" t="s">
        <v>78</v>
      </c>
      <c r="L7" s="32"/>
      <c r="M7" s="32"/>
      <c r="N7" s="32"/>
      <c r="O7" s="32"/>
      <c r="P7" s="32"/>
      <c r="Q7" s="32"/>
      <c r="R7" s="32"/>
      <c r="S7" s="32"/>
      <c r="T7" s="32"/>
      <c r="U7" s="32"/>
    </row>
    <row r="8" spans="1:21">
      <c r="A8">
        <v>0.05</v>
      </c>
      <c r="B8" s="18">
        <f>_xlfn.PERCENTILE.INC('Model and simulation'!$N$8:$N$1007,'Simulation results'!A8)</f>
        <v>97152.563656983591</v>
      </c>
      <c r="L8" s="32"/>
      <c r="M8" s="32"/>
      <c r="N8" s="32"/>
      <c r="O8" s="32"/>
      <c r="P8" s="32"/>
      <c r="Q8" s="32"/>
      <c r="R8" s="32"/>
      <c r="S8" s="32"/>
      <c r="T8" s="32"/>
      <c r="U8" s="32"/>
    </row>
    <row r="9" spans="1:21">
      <c r="A9">
        <v>0.25</v>
      </c>
      <c r="B9" s="18">
        <f>_xlfn.PERCENTILE.INC('Model and simulation'!$N$8:$N$1007,'Simulation results'!A9)</f>
        <v>98427.621576749589</v>
      </c>
      <c r="L9" s="32"/>
      <c r="M9" s="32"/>
      <c r="N9" s="32"/>
      <c r="O9" s="32"/>
      <c r="P9" s="32"/>
      <c r="Q9" s="32"/>
      <c r="R9" s="32"/>
      <c r="S9" s="32"/>
      <c r="T9" s="32"/>
      <c r="U9" s="32"/>
    </row>
    <row r="10" spans="1:21">
      <c r="A10">
        <v>0.5</v>
      </c>
      <c r="B10" s="18">
        <f>_xlfn.PERCENTILE.INC('Model and simulation'!$N$8:$N$1007,'Simulation results'!A10)</f>
        <v>99404.176827506686</v>
      </c>
      <c r="C10" s="3"/>
      <c r="L10" s="32"/>
      <c r="M10" s="32"/>
      <c r="N10" s="32"/>
      <c r="O10" s="32"/>
      <c r="P10" s="32"/>
      <c r="Q10" s="32"/>
      <c r="R10" s="32"/>
      <c r="S10" s="32"/>
      <c r="T10" s="32"/>
      <c r="U10" s="32"/>
    </row>
    <row r="11" spans="1:21">
      <c r="A11">
        <v>0.75</v>
      </c>
      <c r="B11" s="18">
        <f>_xlfn.PERCENTILE.INC('Model and simulation'!$N$8:$N$1007,'Simulation results'!A11)</f>
        <v>100458.51986276414</v>
      </c>
      <c r="L11" s="32"/>
      <c r="M11" s="32"/>
      <c r="N11" s="32"/>
      <c r="O11" s="32"/>
      <c r="P11" s="32"/>
      <c r="Q11" s="32"/>
      <c r="R11" s="32"/>
      <c r="S11" s="32"/>
      <c r="T11" s="32"/>
      <c r="U11" s="32"/>
    </row>
    <row r="12" spans="1:21">
      <c r="A12">
        <v>0.95</v>
      </c>
      <c r="B12" s="18">
        <f>_xlfn.PERCENTILE.INC('Model and simulation'!$N$8:$N$1007,'Simulation results'!A12)</f>
        <v>102197.1221324331</v>
      </c>
      <c r="L12" s="32"/>
      <c r="M12" s="32"/>
      <c r="N12" s="32"/>
      <c r="O12" s="32"/>
      <c r="P12" s="32"/>
      <c r="Q12" s="32"/>
      <c r="R12" s="32"/>
      <c r="S12" s="32"/>
      <c r="T12" s="32"/>
      <c r="U12" s="32"/>
    </row>
    <row r="13" spans="1:21">
      <c r="L13" s="32"/>
      <c r="M13" s="32"/>
      <c r="N13" s="32"/>
      <c r="O13" s="32"/>
      <c r="P13" s="32"/>
      <c r="Q13" s="32"/>
      <c r="R13" s="32"/>
      <c r="S13" s="32"/>
      <c r="T13" s="32"/>
      <c r="U13" s="32"/>
    </row>
    <row r="14" spans="1:21">
      <c r="L14" s="32"/>
      <c r="M14" s="32"/>
      <c r="N14" s="32"/>
      <c r="O14" s="32"/>
      <c r="P14" s="32"/>
      <c r="Q14" s="32"/>
      <c r="R14" s="32"/>
      <c r="S14" s="32"/>
      <c r="T14" s="32"/>
      <c r="U14" s="32"/>
    </row>
    <row r="15" spans="1:21">
      <c r="A15" s="31" t="s">
        <v>79</v>
      </c>
      <c r="L15" s="32"/>
      <c r="M15" s="32"/>
      <c r="N15" s="32"/>
      <c r="O15" s="32"/>
      <c r="P15" s="32"/>
      <c r="Q15" s="32"/>
      <c r="R15" s="32"/>
      <c r="S15" s="32"/>
      <c r="T15" s="32"/>
      <c r="U15" s="32"/>
    </row>
    <row r="16" spans="1:21">
      <c r="A16" t="s">
        <v>83</v>
      </c>
      <c r="L16" s="32"/>
      <c r="M16" s="32"/>
      <c r="N16" s="32"/>
      <c r="O16" s="32"/>
      <c r="P16" s="32"/>
      <c r="Q16" s="32"/>
      <c r="R16" s="32"/>
      <c r="S16" s="32"/>
      <c r="T16" s="32"/>
      <c r="U16" s="32"/>
    </row>
    <row r="17" spans="1:21">
      <c r="A17" t="s">
        <v>80</v>
      </c>
      <c r="L17" s="32"/>
      <c r="M17" s="32"/>
      <c r="N17" s="32"/>
      <c r="O17" s="32"/>
      <c r="P17" s="32"/>
      <c r="Q17" s="32"/>
      <c r="R17" s="32"/>
      <c r="S17" s="32"/>
      <c r="T17" s="32"/>
      <c r="U17" s="32"/>
    </row>
    <row r="18" spans="1:21">
      <c r="A18" t="s">
        <v>84</v>
      </c>
      <c r="L18" s="32"/>
      <c r="M18" s="32"/>
      <c r="N18" s="32"/>
      <c r="O18" s="32"/>
      <c r="P18" s="32"/>
      <c r="Q18" s="32"/>
      <c r="R18" s="32"/>
      <c r="S18" s="32"/>
      <c r="T18" s="32"/>
      <c r="U18" s="32"/>
    </row>
    <row r="19" spans="1:21">
      <c r="A19" t="s">
        <v>85</v>
      </c>
      <c r="L19" s="32"/>
      <c r="M19" s="32"/>
      <c r="N19" s="32"/>
      <c r="O19" s="32"/>
      <c r="P19" s="32"/>
      <c r="Q19" s="32"/>
      <c r="R19" s="32"/>
      <c r="S19" s="32"/>
      <c r="T19" s="32"/>
      <c r="U19" s="32"/>
    </row>
    <row r="20" spans="1:21">
      <c r="B20" s="18" t="s">
        <v>74</v>
      </c>
      <c r="L20" s="32"/>
      <c r="M20" s="32"/>
      <c r="N20" s="32"/>
      <c r="O20" s="32"/>
      <c r="P20" s="32"/>
      <c r="Q20" s="32"/>
      <c r="R20" s="32"/>
      <c r="S20" s="32"/>
      <c r="T20" s="32"/>
      <c r="U20" s="32"/>
    </row>
    <row r="21" spans="1:21">
      <c r="L21" s="32"/>
      <c r="M21" s="32"/>
      <c r="N21" s="32"/>
      <c r="O21" s="32"/>
      <c r="P21" s="32"/>
      <c r="Q21" s="32"/>
      <c r="R21" s="32"/>
      <c r="S21" s="32"/>
      <c r="T21" s="32"/>
      <c r="U21" s="32"/>
    </row>
    <row r="22" spans="1:21">
      <c r="A22" s="9" t="s">
        <v>81</v>
      </c>
      <c r="L22" s="32"/>
      <c r="M22" s="32"/>
      <c r="N22" s="32"/>
      <c r="O22" s="32"/>
      <c r="P22" s="32"/>
      <c r="Q22" s="32"/>
      <c r="R22" s="32"/>
      <c r="S22" s="32"/>
      <c r="T22" s="32"/>
      <c r="U22" s="32"/>
    </row>
    <row r="23" spans="1:21">
      <c r="A23" t="s">
        <v>89</v>
      </c>
    </row>
    <row r="24" spans="1:21">
      <c r="A24" t="s">
        <v>86</v>
      </c>
    </row>
    <row r="25" spans="1:21">
      <c r="A25" t="s">
        <v>87</v>
      </c>
    </row>
    <row r="26" spans="1:21">
      <c r="A26" t="s">
        <v>90</v>
      </c>
    </row>
    <row r="27" spans="1:21">
      <c r="B27" s="19"/>
    </row>
    <row r="1048576" spans="16384:16384">
      <c r="XFD1048576" s="15" t="s">
        <v>66</v>
      </c>
    </row>
  </sheetData>
  <dataValidations count="1">
    <dataValidation allowBlank="1" showInputMessage="1" showErrorMessage="1" prompt="Compute your final answer here, using a formula or function." sqref="B27" xr:uid="{00000000-0002-0000-0200-000000000000}"/>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'Question options'!$A$1:$A$7</xm:f>
          </x14:formula1>
          <xm:sqref>B20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0000"/>
  </sheetPr>
  <dimension ref="A1:A7"/>
  <sheetViews>
    <sheetView workbookViewId="0"/>
  </sheetViews>
  <sheetFormatPr baseColWidth="10" defaultColWidth="8.83203125" defaultRowHeight="15"/>
  <cols>
    <col min="1" max="1" width="30.1640625" customWidth="1"/>
  </cols>
  <sheetData>
    <row r="1" spans="1:1">
      <c r="A1" t="s">
        <v>82</v>
      </c>
    </row>
    <row r="2" spans="1:1">
      <c r="A2" t="s">
        <v>69</v>
      </c>
    </row>
    <row r="3" spans="1:1">
      <c r="A3" t="s">
        <v>70</v>
      </c>
    </row>
    <row r="4" spans="1:1">
      <c r="A4" t="s">
        <v>71</v>
      </c>
    </row>
    <row r="5" spans="1:1">
      <c r="A5" t="s">
        <v>72</v>
      </c>
    </row>
    <row r="6" spans="1:1">
      <c r="A6" t="s">
        <v>73</v>
      </c>
    </row>
    <row r="7" spans="1:1">
      <c r="A7" t="s">
        <v>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D4"/>
  <sheetViews>
    <sheetView tabSelected="1" workbookViewId="0"/>
  </sheetViews>
  <sheetFormatPr baseColWidth="10" defaultColWidth="9.1640625" defaultRowHeight="15"/>
  <cols>
    <col min="1" max="16384" width="9.1640625" style="17"/>
  </cols>
  <sheetData>
    <row r="4" spans="4:4">
      <c r="D4" s="16" t="s">
        <v>48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N8"/>
  <sheetViews>
    <sheetView workbookViewId="0"/>
  </sheetViews>
  <sheetFormatPr baseColWidth="10" defaultColWidth="8.83203125" defaultRowHeight="15"/>
  <sheetData>
    <row r="1" spans="1:14" ht="21" thickBot="1">
      <c r="A1" s="11" t="s">
        <v>49</v>
      </c>
      <c r="B1" s="11" t="s">
        <v>50</v>
      </c>
      <c r="C1" s="11" t="s">
        <v>51</v>
      </c>
      <c r="D1" s="11" t="s">
        <v>52</v>
      </c>
      <c r="E1" s="11" t="s">
        <v>53</v>
      </c>
      <c r="F1" s="11" t="s">
        <v>54</v>
      </c>
      <c r="G1" s="11" t="s">
        <v>55</v>
      </c>
      <c r="H1" s="11" t="s">
        <v>56</v>
      </c>
      <c r="I1" s="11" t="s">
        <v>57</v>
      </c>
      <c r="J1" s="11" t="s">
        <v>58</v>
      </c>
      <c r="K1" s="11" t="s">
        <v>59</v>
      </c>
      <c r="L1" s="11" t="s">
        <v>60</v>
      </c>
      <c r="M1" s="11" t="s">
        <v>61</v>
      </c>
      <c r="N1" s="11" t="s">
        <v>62</v>
      </c>
    </row>
    <row r="2" spans="1:14" ht="16" thickTop="1">
      <c r="A2" t="s">
        <v>93</v>
      </c>
      <c r="B2" t="s">
        <v>94</v>
      </c>
      <c r="C2" t="s">
        <v>91</v>
      </c>
      <c r="D2" t="s">
        <v>92</v>
      </c>
      <c r="E2" s="13">
        <v>44001.504953703705</v>
      </c>
      <c r="F2" s="13">
        <v>44001.576574074075</v>
      </c>
      <c r="H2">
        <v>16.38</v>
      </c>
      <c r="I2" t="s">
        <v>93</v>
      </c>
      <c r="J2" t="s">
        <v>95</v>
      </c>
      <c r="K2">
        <v>0</v>
      </c>
      <c r="L2">
        <v>0</v>
      </c>
      <c r="M2" t="s">
        <v>96</v>
      </c>
      <c r="N2" t="s">
        <v>96</v>
      </c>
    </row>
    <row r="3" spans="1:14">
      <c r="A3" t="s">
        <v>93</v>
      </c>
      <c r="B3" t="s">
        <v>94</v>
      </c>
      <c r="C3" t="s">
        <v>91</v>
      </c>
      <c r="D3" t="s">
        <v>92</v>
      </c>
      <c r="E3" s="13">
        <v>44001.694247685184</v>
      </c>
      <c r="F3" s="13">
        <v>44001.697129629632</v>
      </c>
      <c r="H3">
        <v>16.38</v>
      </c>
      <c r="I3" t="s">
        <v>93</v>
      </c>
      <c r="J3" t="s">
        <v>95</v>
      </c>
      <c r="K3">
        <v>0</v>
      </c>
      <c r="L3">
        <v>0</v>
      </c>
      <c r="M3" t="s">
        <v>96</v>
      </c>
      <c r="N3" t="s">
        <v>96</v>
      </c>
    </row>
    <row r="4" spans="1:14">
      <c r="E4" s="13"/>
      <c r="F4" s="13"/>
    </row>
    <row r="5" spans="1:14">
      <c r="E5" s="13"/>
      <c r="F5" s="13"/>
    </row>
    <row r="6" spans="1:14">
      <c r="E6" s="13"/>
      <c r="F6" s="13"/>
    </row>
    <row r="7" spans="1:14">
      <c r="E7" s="13"/>
      <c r="F7" s="13"/>
    </row>
    <row r="8" spans="1:14">
      <c r="E8" s="13"/>
      <c r="F8" s="1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D2:DMQ3000"/>
  <sheetViews>
    <sheetView workbookViewId="0"/>
  </sheetViews>
  <sheetFormatPr baseColWidth="10" defaultColWidth="8.83203125" defaultRowHeight="15"/>
  <sheetData>
    <row r="2" spans="4:5">
      <c r="E2" t="s">
        <v>91</v>
      </c>
    </row>
    <row r="3" spans="4:5">
      <c r="E3" t="s">
        <v>92</v>
      </c>
    </row>
    <row r="4" spans="4:5">
      <c r="D4" t="s">
        <v>49</v>
      </c>
      <c r="E4" t="s">
        <v>93</v>
      </c>
    </row>
    <row r="5" spans="4:5">
      <c r="D5" t="s">
        <v>63</v>
      </c>
      <c r="E5" t="s">
        <v>94</v>
      </c>
    </row>
    <row r="12" spans="4:5">
      <c r="D12" t="s">
        <v>64</v>
      </c>
      <c r="E12">
        <v>2</v>
      </c>
    </row>
    <row r="2013" spans="3044:3059">
      <c r="DMB2013" s="12"/>
      <c r="DMC2013" s="12"/>
      <c r="DMD2013" s="12"/>
      <c r="DME2013" s="12"/>
      <c r="DMF2013" s="12"/>
      <c r="DMG2013" s="12"/>
      <c r="DMH2013" s="12"/>
      <c r="DMI2013" s="12"/>
      <c r="DMJ2013" s="12"/>
      <c r="DMK2013" s="12"/>
      <c r="DML2013" s="12"/>
      <c r="DMM2013" s="12"/>
      <c r="DMN2013" s="12"/>
      <c r="DMO2013" s="12"/>
      <c r="DMP2013" s="12"/>
      <c r="DMQ2013" s="12"/>
    </row>
    <row r="2014" spans="3044:3059">
      <c r="DMB2014" s="12" t="s">
        <v>93</v>
      </c>
      <c r="DMC2014" s="12" t="s">
        <v>94</v>
      </c>
      <c r="DMD2014" s="12" t="s">
        <v>91</v>
      </c>
      <c r="DME2014" s="12" t="s">
        <v>92</v>
      </c>
      <c r="DMF2014" s="14">
        <v>44001.504953703705</v>
      </c>
      <c r="DMG2014" s="14">
        <v>44001.576574074075</v>
      </c>
      <c r="DMH2014" s="12"/>
      <c r="DMI2014" s="12">
        <v>16.38</v>
      </c>
      <c r="DMJ2014" s="12" t="s">
        <v>93</v>
      </c>
      <c r="DMK2014" s="12" t="s">
        <v>95</v>
      </c>
      <c r="DML2014" s="12">
        <v>0</v>
      </c>
      <c r="DMM2014" s="12">
        <v>0</v>
      </c>
      <c r="DMN2014" s="12" t="s">
        <v>96</v>
      </c>
      <c r="DMO2014" s="12"/>
      <c r="DMP2014" s="12"/>
      <c r="DMQ2014" s="12"/>
    </row>
    <row r="2015" spans="3044:3059">
      <c r="DMB2015" s="12" t="s">
        <v>93</v>
      </c>
      <c r="DMC2015" s="12" t="s">
        <v>94</v>
      </c>
      <c r="DMD2015" s="12" t="s">
        <v>91</v>
      </c>
      <c r="DME2015" s="12" t="s">
        <v>92</v>
      </c>
      <c r="DMF2015" s="14">
        <v>44001.694247685184</v>
      </c>
      <c r="DMG2015" s="14">
        <v>44001.694247685184</v>
      </c>
      <c r="DMH2015" s="12"/>
      <c r="DMI2015" s="12">
        <v>16.38</v>
      </c>
      <c r="DMJ2015" s="12"/>
      <c r="DMK2015" s="12" t="s">
        <v>95</v>
      </c>
      <c r="DML2015" s="12">
        <v>0</v>
      </c>
      <c r="DMM2015" s="12"/>
      <c r="DMN2015" s="12" t="s">
        <v>96</v>
      </c>
      <c r="DMO2015" s="12"/>
      <c r="DMP2015" s="12"/>
      <c r="DMQ2015" s="12"/>
    </row>
    <row r="2016" spans="3044:3059">
      <c r="DMB2016" s="12"/>
      <c r="DMC2016" s="12"/>
      <c r="DMD2016" s="12"/>
      <c r="DME2016" s="12"/>
      <c r="DMF2016" s="14"/>
      <c r="DMG2016" s="14"/>
      <c r="DMH2016" s="12"/>
      <c r="DMI2016" s="12"/>
      <c r="DMJ2016" s="12"/>
      <c r="DMK2016" s="12"/>
      <c r="DML2016" s="12"/>
      <c r="DMM2016" s="12"/>
      <c r="DMN2016" s="12"/>
      <c r="DMO2016" s="12"/>
      <c r="DMP2016" s="12"/>
      <c r="DMQ2016" s="12"/>
    </row>
    <row r="2017" spans="3044:3059">
      <c r="DMB2017" s="12"/>
      <c r="DMC2017" s="12"/>
      <c r="DMD2017" s="12"/>
      <c r="DME2017" s="12"/>
      <c r="DMF2017" s="14"/>
      <c r="DMG2017" s="14"/>
      <c r="DMH2017" s="12"/>
      <c r="DMI2017" s="12"/>
      <c r="DMJ2017" s="12"/>
      <c r="DMK2017" s="12"/>
      <c r="DML2017" s="12"/>
      <c r="DMM2017" s="12"/>
      <c r="DMN2017" s="12"/>
      <c r="DMO2017" s="12"/>
      <c r="DMP2017" s="12"/>
      <c r="DMQ2017" s="12"/>
    </row>
    <row r="2018" spans="3044:3059">
      <c r="DMB2018" s="12"/>
      <c r="DMC2018" s="12"/>
      <c r="DMD2018" s="12"/>
      <c r="DME2018" s="12"/>
      <c r="DMF2018" s="14"/>
      <c r="DMG2018" s="14"/>
      <c r="DMH2018" s="12"/>
      <c r="DMI2018" s="12"/>
      <c r="DMJ2018" s="12"/>
      <c r="DMK2018" s="12"/>
      <c r="DML2018" s="12"/>
      <c r="DMM2018" s="12"/>
      <c r="DMN2018" s="12"/>
      <c r="DMO2018" s="12"/>
      <c r="DMP2018" s="12"/>
      <c r="DMQ2018" s="12"/>
    </row>
    <row r="2019" spans="3044:3059">
      <c r="DMB2019" s="12"/>
      <c r="DMC2019" s="12"/>
      <c r="DMD2019" s="12"/>
      <c r="DME2019" s="12"/>
      <c r="DMF2019" s="14"/>
      <c r="DMG2019" s="14"/>
      <c r="DMH2019" s="12"/>
      <c r="DMI2019" s="12"/>
      <c r="DMJ2019" s="12"/>
      <c r="DMK2019" s="12"/>
      <c r="DML2019" s="12"/>
      <c r="DMM2019" s="12"/>
      <c r="DMN2019" s="12"/>
      <c r="DMO2019" s="12"/>
      <c r="DMP2019" s="12"/>
      <c r="DMQ2019" s="12"/>
    </row>
    <row r="2020" spans="3044:3059">
      <c r="DMB2020" s="12"/>
      <c r="DMC2020" s="12"/>
      <c r="DMD2020" s="12"/>
      <c r="DME2020" s="12"/>
      <c r="DMF2020" s="14"/>
      <c r="DMG2020" s="14"/>
      <c r="DMH2020" s="12"/>
      <c r="DMI2020" s="12"/>
      <c r="DMJ2020" s="12"/>
      <c r="DMK2020" s="12"/>
      <c r="DML2020" s="12"/>
      <c r="DMM2020" s="12"/>
      <c r="DMN2020" s="12"/>
      <c r="DMO2020" s="12"/>
      <c r="DMP2020" s="12"/>
      <c r="DMQ2020" s="12"/>
    </row>
    <row r="2021" spans="3044:3059">
      <c r="DMB2021" s="12"/>
      <c r="DMC2021" s="12"/>
      <c r="DMD2021" s="12"/>
      <c r="DME2021" s="12"/>
      <c r="DMF2021" s="12"/>
      <c r="DMG2021" s="12"/>
      <c r="DMH2021" s="12"/>
      <c r="DMI2021" s="12"/>
      <c r="DMJ2021" s="12"/>
      <c r="DMK2021" s="12"/>
      <c r="DML2021" s="12"/>
      <c r="DMM2021" s="12"/>
      <c r="DMN2021" s="12"/>
      <c r="DMO2021" s="12"/>
      <c r="DMP2021" s="12"/>
      <c r="DMQ2021" s="12"/>
    </row>
    <row r="2022" spans="3044:3059">
      <c r="DMB2022" s="12"/>
      <c r="DMC2022" s="12"/>
      <c r="DMD2022" s="12"/>
      <c r="DME2022" s="12"/>
      <c r="DMF2022" s="12"/>
      <c r="DMG2022" s="12"/>
      <c r="DMH2022" s="12"/>
      <c r="DMI2022" s="12"/>
      <c r="DMJ2022" s="12"/>
      <c r="DMK2022" s="12"/>
      <c r="DML2022" s="12"/>
      <c r="DMM2022" s="12"/>
      <c r="DMN2022" s="12"/>
      <c r="DMO2022" s="12"/>
      <c r="DMP2022" s="12"/>
      <c r="DMQ2022" s="12"/>
    </row>
    <row r="2023" spans="3044:3059">
      <c r="DMB2023" s="12"/>
      <c r="DMC2023" s="12"/>
      <c r="DMD2023" s="12"/>
      <c r="DME2023" s="12"/>
      <c r="DMF2023" s="12"/>
      <c r="DMG2023" s="12"/>
      <c r="DMH2023" s="12"/>
      <c r="DMI2023" s="12"/>
      <c r="DMJ2023" s="12"/>
      <c r="DMK2023" s="12"/>
      <c r="DML2023" s="12"/>
      <c r="DMM2023" s="12"/>
      <c r="DMN2023" s="12"/>
      <c r="DMO2023" s="12"/>
      <c r="DMP2023" s="12"/>
      <c r="DMQ2023" s="12"/>
    </row>
    <row r="2024" spans="3044:3059">
      <c r="DMB2024" s="12"/>
      <c r="DMC2024" s="12"/>
      <c r="DMD2024" s="12"/>
      <c r="DME2024" s="12"/>
      <c r="DMF2024" s="12"/>
      <c r="DMG2024" s="12"/>
      <c r="DMH2024" s="12"/>
      <c r="DMI2024" s="12"/>
      <c r="DMJ2024" s="12"/>
      <c r="DMK2024" s="12"/>
      <c r="DML2024" s="12"/>
      <c r="DMM2024" s="12"/>
      <c r="DMN2024" s="12"/>
      <c r="DMO2024" s="12"/>
      <c r="DMP2024" s="12"/>
      <c r="DMQ2024" s="12"/>
    </row>
    <row r="2025" spans="3044:3059">
      <c r="DMB2025" s="12"/>
      <c r="DMC2025" s="12"/>
      <c r="DMD2025" s="12"/>
      <c r="DME2025" s="12"/>
      <c r="DMF2025" s="12"/>
      <c r="DMG2025" s="12"/>
      <c r="DMH2025" s="12"/>
      <c r="DMI2025" s="12"/>
      <c r="DMJ2025" s="12"/>
      <c r="DMK2025" s="12"/>
      <c r="DML2025" s="12"/>
      <c r="DMM2025" s="12"/>
      <c r="DMN2025" s="12"/>
      <c r="DMO2025" s="12"/>
      <c r="DMP2025" s="12"/>
      <c r="DMQ2025" s="12"/>
    </row>
    <row r="2026" spans="3044:3059">
      <c r="DMB2026" s="12"/>
      <c r="DMC2026" s="12"/>
      <c r="DMD2026" s="12"/>
      <c r="DME2026" s="12"/>
      <c r="DMF2026" s="12"/>
      <c r="DMG2026" s="12"/>
      <c r="DMH2026" s="12"/>
      <c r="DMI2026" s="12"/>
      <c r="DMJ2026" s="12"/>
      <c r="DMK2026" s="12"/>
      <c r="DML2026" s="12"/>
      <c r="DMM2026" s="12"/>
      <c r="DMN2026" s="12"/>
      <c r="DMO2026" s="12"/>
      <c r="DMP2026" s="12"/>
      <c r="DMQ2026" s="12"/>
    </row>
    <row r="2027" spans="3044:3059">
      <c r="DMB2027" s="12"/>
      <c r="DMC2027" s="12"/>
      <c r="DMD2027" s="12"/>
      <c r="DME2027" s="12"/>
      <c r="DMF2027" s="12"/>
      <c r="DMG2027" s="12"/>
      <c r="DMH2027" s="12"/>
      <c r="DMI2027" s="12"/>
      <c r="DMJ2027" s="12"/>
      <c r="DMK2027" s="12"/>
      <c r="DML2027" s="12"/>
      <c r="DMM2027" s="12"/>
      <c r="DMN2027" s="12"/>
      <c r="DMO2027" s="12"/>
      <c r="DMP2027" s="12"/>
      <c r="DMQ2027" s="12"/>
    </row>
    <row r="2028" spans="3044:3059">
      <c r="DMB2028" s="12"/>
      <c r="DMC2028" s="12"/>
      <c r="DMD2028" s="12"/>
      <c r="DME2028" s="12"/>
      <c r="DMF2028" s="12"/>
      <c r="DMG2028" s="12"/>
      <c r="DMH2028" s="12"/>
      <c r="DMI2028" s="12"/>
      <c r="DMJ2028" s="12"/>
      <c r="DMK2028" s="12"/>
      <c r="DML2028" s="12"/>
      <c r="DMM2028" s="12"/>
      <c r="DMN2028" s="12"/>
      <c r="DMO2028" s="12"/>
      <c r="DMP2028" s="12"/>
      <c r="DMQ2028" s="12"/>
    </row>
    <row r="2029" spans="3044:3059">
      <c r="DMB2029" s="12"/>
      <c r="DMC2029" s="12"/>
      <c r="DMD2029" s="12"/>
      <c r="DME2029" s="12"/>
      <c r="DMF2029" s="12"/>
      <c r="DMG2029" s="12"/>
      <c r="DMH2029" s="12"/>
      <c r="DMI2029" s="12"/>
      <c r="DMJ2029" s="12"/>
      <c r="DMK2029" s="12"/>
      <c r="DML2029" s="12"/>
      <c r="DMM2029" s="12"/>
      <c r="DMN2029" s="12"/>
      <c r="DMO2029" s="12"/>
      <c r="DMP2029" s="12"/>
      <c r="DMQ2029" s="12"/>
    </row>
    <row r="2030" spans="3044:3059">
      <c r="DMB2030" s="12"/>
      <c r="DMC2030" s="12"/>
      <c r="DMD2030" s="12"/>
      <c r="DME2030" s="12"/>
      <c r="DMF2030" s="12"/>
      <c r="DMG2030" s="12"/>
      <c r="DMH2030" s="12"/>
      <c r="DMI2030" s="12"/>
      <c r="DMJ2030" s="12"/>
      <c r="DMK2030" s="12"/>
      <c r="DML2030" s="12"/>
      <c r="DMM2030" s="12"/>
      <c r="DMN2030" s="12"/>
      <c r="DMO2030" s="12"/>
      <c r="DMP2030" s="12"/>
      <c r="DMQ2030" s="12"/>
    </row>
    <row r="2031" spans="3044:3059">
      <c r="DMB2031" s="12"/>
      <c r="DMC2031" s="12"/>
      <c r="DMD2031" s="12"/>
      <c r="DME2031" s="12"/>
      <c r="DMF2031" s="12"/>
      <c r="DMG2031" s="12"/>
      <c r="DMH2031" s="12"/>
      <c r="DMI2031" s="12"/>
      <c r="DMJ2031" s="12"/>
      <c r="DMK2031" s="12"/>
      <c r="DML2031" s="12"/>
      <c r="DMM2031" s="12"/>
      <c r="DMN2031" s="12"/>
      <c r="DMO2031" s="12"/>
      <c r="DMP2031" s="12"/>
      <c r="DMQ2031" s="12"/>
    </row>
    <row r="2032" spans="3044:3059">
      <c r="DMB2032" s="12"/>
      <c r="DMC2032" s="12"/>
      <c r="DMD2032" s="12"/>
      <c r="DME2032" s="12"/>
      <c r="DMF2032" s="12"/>
      <c r="DMG2032" s="12"/>
      <c r="DMH2032" s="12"/>
      <c r="DMI2032" s="12"/>
      <c r="DMJ2032" s="12"/>
      <c r="DMK2032" s="12"/>
      <c r="DML2032" s="12"/>
      <c r="DMM2032" s="12"/>
      <c r="DMN2032" s="12"/>
      <c r="DMO2032" s="12"/>
      <c r="DMP2032" s="12"/>
      <c r="DMQ2032" s="12"/>
    </row>
    <row r="2033" spans="3044:3059">
      <c r="DMB2033" s="12"/>
      <c r="DMC2033" s="12"/>
      <c r="DMD2033" s="12"/>
      <c r="DME2033" s="12"/>
      <c r="DMF2033" s="12"/>
      <c r="DMG2033" s="12"/>
      <c r="DMH2033" s="12"/>
      <c r="DMI2033" s="12"/>
      <c r="DMJ2033" s="12"/>
      <c r="DMK2033" s="12"/>
      <c r="DML2033" s="12"/>
      <c r="DMM2033" s="12"/>
      <c r="DMN2033" s="12"/>
      <c r="DMO2033" s="12"/>
      <c r="DMP2033" s="12"/>
      <c r="DMQ2033" s="12"/>
    </row>
    <row r="2034" spans="3044:3059">
      <c r="DMB2034" s="12"/>
      <c r="DMC2034" s="12"/>
      <c r="DMD2034" s="12"/>
      <c r="DME2034" s="12"/>
      <c r="DMF2034" s="12"/>
      <c r="DMG2034" s="12"/>
      <c r="DMH2034" s="12"/>
      <c r="DMI2034" s="12"/>
      <c r="DMJ2034" s="12"/>
      <c r="DMK2034" s="12"/>
      <c r="DML2034" s="12"/>
      <c r="DMM2034" s="12"/>
      <c r="DMN2034" s="12"/>
      <c r="DMO2034" s="12"/>
      <c r="DMP2034" s="12"/>
      <c r="DMQ2034" s="12"/>
    </row>
    <row r="2035" spans="3044:3059">
      <c r="DMB2035" s="12"/>
      <c r="DMC2035" s="12"/>
      <c r="DMD2035" s="12"/>
      <c r="DME2035" s="12"/>
      <c r="DMF2035" s="12"/>
      <c r="DMG2035" s="12"/>
      <c r="DMH2035" s="12"/>
      <c r="DMI2035" s="12"/>
      <c r="DMJ2035" s="12"/>
      <c r="DMK2035" s="12"/>
      <c r="DML2035" s="12"/>
      <c r="DMM2035" s="12"/>
      <c r="DMN2035" s="12"/>
      <c r="DMO2035" s="12"/>
      <c r="DMP2035" s="12"/>
      <c r="DMQ2035" s="12"/>
    </row>
    <row r="2036" spans="3044:3059">
      <c r="DMB2036" s="12"/>
      <c r="DMC2036" s="12"/>
      <c r="DMD2036" s="12"/>
      <c r="DME2036" s="12"/>
      <c r="DMF2036" s="12"/>
      <c r="DMG2036" s="12"/>
      <c r="DMH2036" s="12"/>
      <c r="DMI2036" s="12"/>
      <c r="DMJ2036" s="12"/>
      <c r="DMK2036" s="12"/>
      <c r="DML2036" s="12"/>
      <c r="DMM2036" s="12"/>
      <c r="DMN2036" s="12"/>
      <c r="DMO2036" s="12"/>
      <c r="DMP2036" s="12"/>
      <c r="DMQ2036" s="12"/>
    </row>
    <row r="2037" spans="3044:3059">
      <c r="DMB2037" s="12"/>
      <c r="DMC2037" s="12"/>
      <c r="DMD2037" s="12"/>
      <c r="DME2037" s="12"/>
      <c r="DMF2037" s="12"/>
      <c r="DMG2037" s="12"/>
      <c r="DMH2037" s="12"/>
      <c r="DMI2037" s="12"/>
      <c r="DMJ2037" s="12"/>
      <c r="DMK2037" s="12"/>
      <c r="DML2037" s="12"/>
      <c r="DMM2037" s="12"/>
      <c r="DMN2037" s="12"/>
      <c r="DMO2037" s="12"/>
      <c r="DMP2037" s="12"/>
      <c r="DMQ2037" s="12"/>
    </row>
    <row r="2038" spans="3044:3059">
      <c r="DMB2038" s="12"/>
      <c r="DMC2038" s="12"/>
      <c r="DMD2038" s="12"/>
      <c r="DME2038" s="12"/>
      <c r="DMF2038" s="12"/>
      <c r="DMG2038" s="12"/>
      <c r="DMH2038" s="12"/>
      <c r="DMI2038" s="12"/>
      <c r="DMJ2038" s="12"/>
      <c r="DMK2038" s="12"/>
      <c r="DML2038" s="12"/>
      <c r="DMM2038" s="12"/>
      <c r="DMN2038" s="12"/>
      <c r="DMO2038" s="12"/>
      <c r="DMP2038" s="12"/>
      <c r="DMQ2038" s="12"/>
    </row>
    <row r="2039" spans="3044:3059">
      <c r="DMB2039" s="12"/>
      <c r="DMC2039" s="12"/>
      <c r="DMD2039" s="12"/>
      <c r="DME2039" s="12"/>
      <c r="DMF2039" s="12"/>
      <c r="DMG2039" s="12"/>
      <c r="DMH2039" s="12"/>
      <c r="DMI2039" s="12"/>
      <c r="DMJ2039" s="12"/>
      <c r="DMK2039" s="12"/>
      <c r="DML2039" s="12"/>
      <c r="DMM2039" s="12"/>
      <c r="DMN2039" s="12"/>
      <c r="DMO2039" s="12"/>
      <c r="DMP2039" s="12"/>
      <c r="DMQ2039" s="12"/>
    </row>
    <row r="2040" spans="3044:3059">
      <c r="DMB2040" s="12"/>
      <c r="DMC2040" s="12"/>
      <c r="DMD2040" s="12"/>
      <c r="DME2040" s="12"/>
      <c r="DMF2040" s="12"/>
      <c r="DMG2040" s="12"/>
      <c r="DMH2040" s="12"/>
      <c r="DMI2040" s="12"/>
      <c r="DMJ2040" s="12"/>
      <c r="DMK2040" s="12"/>
      <c r="DML2040" s="12"/>
      <c r="DMM2040" s="12"/>
      <c r="DMN2040" s="12"/>
      <c r="DMO2040" s="12"/>
      <c r="DMP2040" s="12"/>
      <c r="DMQ2040" s="12"/>
    </row>
    <row r="2041" spans="3044:3059">
      <c r="DMB2041" s="12"/>
      <c r="DMC2041" s="12"/>
      <c r="DMD2041" s="12"/>
      <c r="DME2041" s="12"/>
      <c r="DMF2041" s="12"/>
      <c r="DMG2041" s="12"/>
      <c r="DMH2041" s="12"/>
      <c r="DMI2041" s="12"/>
      <c r="DMJ2041" s="12"/>
      <c r="DMK2041" s="12"/>
      <c r="DML2041" s="12"/>
      <c r="DMM2041" s="12"/>
      <c r="DMN2041" s="12"/>
      <c r="DMO2041" s="12"/>
      <c r="DMP2041" s="12"/>
      <c r="DMQ2041" s="12"/>
    </row>
    <row r="2042" spans="3044:3059">
      <c r="DMB2042" s="12"/>
      <c r="DMC2042" s="12"/>
      <c r="DMD2042" s="12"/>
      <c r="DME2042" s="12"/>
      <c r="DMF2042" s="12"/>
      <c r="DMG2042" s="12"/>
      <c r="DMH2042" s="12"/>
      <c r="DMI2042" s="12"/>
      <c r="DMJ2042" s="12"/>
      <c r="DMK2042" s="12"/>
      <c r="DML2042" s="12"/>
      <c r="DMM2042" s="12"/>
      <c r="DMN2042" s="12"/>
      <c r="DMO2042" s="12"/>
      <c r="DMP2042" s="12"/>
      <c r="DMQ2042" s="12"/>
    </row>
    <row r="2043" spans="3044:3059">
      <c r="DMB2043" s="12"/>
      <c r="DMC2043" s="12"/>
      <c r="DMD2043" s="12"/>
      <c r="DME2043" s="12"/>
      <c r="DMF2043" s="12"/>
      <c r="DMG2043" s="12"/>
      <c r="DMH2043" s="12"/>
      <c r="DMI2043" s="12"/>
      <c r="DMJ2043" s="12"/>
      <c r="DMK2043" s="12"/>
      <c r="DML2043" s="12"/>
      <c r="DMM2043" s="12"/>
      <c r="DMN2043" s="12"/>
      <c r="DMO2043" s="12"/>
      <c r="DMP2043" s="12"/>
      <c r="DMQ2043" s="12"/>
    </row>
    <row r="2044" spans="3044:3059">
      <c r="DMB2044" s="12"/>
      <c r="DMC2044" s="12"/>
      <c r="DMD2044" s="12"/>
      <c r="DME2044" s="12"/>
      <c r="DMF2044" s="12"/>
      <c r="DMG2044" s="12"/>
      <c r="DMH2044" s="12"/>
      <c r="DMI2044" s="12"/>
      <c r="DMJ2044" s="12"/>
      <c r="DMK2044" s="12"/>
      <c r="DML2044" s="12"/>
      <c r="DMM2044" s="12"/>
      <c r="DMN2044" s="12"/>
      <c r="DMO2044" s="12"/>
      <c r="DMP2044" s="12"/>
      <c r="DMQ2044" s="12"/>
    </row>
    <row r="2045" spans="3044:3059">
      <c r="DMB2045" s="12"/>
      <c r="DMC2045" s="12"/>
      <c r="DMD2045" s="12"/>
      <c r="DME2045" s="12"/>
      <c r="DMF2045" s="12"/>
      <c r="DMG2045" s="12"/>
      <c r="DMH2045" s="12"/>
      <c r="DMI2045" s="12"/>
      <c r="DMJ2045" s="12"/>
      <c r="DMK2045" s="12"/>
      <c r="DML2045" s="12"/>
      <c r="DMM2045" s="12"/>
      <c r="DMN2045" s="12"/>
      <c r="DMO2045" s="12"/>
      <c r="DMP2045" s="12"/>
      <c r="DMQ2045" s="12"/>
    </row>
    <row r="2046" spans="3044:3059">
      <c r="DMB2046" s="12"/>
      <c r="DMC2046" s="12"/>
      <c r="DMD2046" s="12"/>
      <c r="DME2046" s="12"/>
      <c r="DMF2046" s="12"/>
      <c r="DMG2046" s="12"/>
      <c r="DMH2046" s="12"/>
      <c r="DMI2046" s="12"/>
      <c r="DMJ2046" s="12"/>
      <c r="DMK2046" s="12"/>
      <c r="DML2046" s="12"/>
      <c r="DMM2046" s="12"/>
      <c r="DMN2046" s="12"/>
      <c r="DMO2046" s="12"/>
      <c r="DMP2046" s="12"/>
      <c r="DMQ2046" s="12"/>
    </row>
    <row r="2047" spans="3044:3059">
      <c r="DMB2047" s="12"/>
      <c r="DMC2047" s="12"/>
      <c r="DMD2047" s="12"/>
      <c r="DME2047" s="12"/>
      <c r="DMF2047" s="12"/>
      <c r="DMG2047" s="12"/>
      <c r="DMH2047" s="12"/>
      <c r="DMI2047" s="12"/>
      <c r="DMJ2047" s="12"/>
      <c r="DMK2047" s="12"/>
      <c r="DML2047" s="12"/>
      <c r="DMM2047" s="12"/>
      <c r="DMN2047" s="12"/>
      <c r="DMO2047" s="12"/>
      <c r="DMP2047" s="12"/>
      <c r="DMQ2047" s="12"/>
    </row>
    <row r="2048" spans="3044:3059">
      <c r="DMB2048" s="12"/>
      <c r="DMC2048" s="12"/>
      <c r="DMD2048" s="12"/>
      <c r="DME2048" s="12"/>
      <c r="DMF2048" s="12"/>
      <c r="DMG2048" s="12"/>
      <c r="DMH2048" s="12"/>
      <c r="DMI2048" s="12"/>
      <c r="DMJ2048" s="12"/>
      <c r="DMK2048" s="12"/>
      <c r="DML2048" s="12"/>
      <c r="DMM2048" s="12"/>
      <c r="DMN2048" s="12"/>
      <c r="DMO2048" s="12"/>
      <c r="DMP2048" s="12"/>
      <c r="DMQ2048" s="12"/>
    </row>
    <row r="2049" spans="3044:3059">
      <c r="DMB2049" s="12"/>
      <c r="DMC2049" s="12"/>
      <c r="DMD2049" s="12"/>
      <c r="DME2049" s="12"/>
      <c r="DMF2049" s="12"/>
      <c r="DMG2049" s="12"/>
      <c r="DMH2049" s="12"/>
      <c r="DMI2049" s="12"/>
      <c r="DMJ2049" s="12"/>
      <c r="DMK2049" s="12"/>
      <c r="DML2049" s="12"/>
      <c r="DMM2049" s="12"/>
      <c r="DMN2049" s="12"/>
      <c r="DMO2049" s="12"/>
      <c r="DMP2049" s="12"/>
      <c r="DMQ2049" s="12"/>
    </row>
    <row r="2050" spans="3044:3059">
      <c r="DMB2050" s="12"/>
      <c r="DMC2050" s="12"/>
      <c r="DMD2050" s="12"/>
      <c r="DME2050" s="12"/>
      <c r="DMF2050" s="12"/>
      <c r="DMG2050" s="12"/>
      <c r="DMH2050" s="12"/>
      <c r="DMI2050" s="12"/>
      <c r="DMJ2050" s="12"/>
      <c r="DMK2050" s="12"/>
      <c r="DML2050" s="12"/>
      <c r="DMM2050" s="12"/>
      <c r="DMN2050" s="12"/>
      <c r="DMO2050" s="12"/>
      <c r="DMP2050" s="12"/>
      <c r="DMQ2050" s="12"/>
    </row>
    <row r="2051" spans="3044:3059">
      <c r="DMB2051" s="12"/>
      <c r="DMC2051" s="12"/>
      <c r="DMD2051" s="12"/>
      <c r="DME2051" s="12"/>
      <c r="DMF2051" s="12"/>
      <c r="DMG2051" s="12"/>
      <c r="DMH2051" s="12"/>
      <c r="DMI2051" s="12"/>
      <c r="DMJ2051" s="12"/>
      <c r="DMK2051" s="12"/>
      <c r="DML2051" s="12"/>
      <c r="DMM2051" s="12"/>
      <c r="DMN2051" s="12"/>
      <c r="DMO2051" s="12"/>
      <c r="DMP2051" s="12"/>
      <c r="DMQ2051" s="12"/>
    </row>
    <row r="2052" spans="3044:3059">
      <c r="DMB2052" s="12"/>
      <c r="DMC2052" s="12"/>
      <c r="DMD2052" s="12"/>
      <c r="DME2052" s="12"/>
      <c r="DMF2052" s="12"/>
      <c r="DMG2052" s="12"/>
      <c r="DMH2052" s="12"/>
      <c r="DMI2052" s="12"/>
      <c r="DMJ2052" s="12"/>
      <c r="DMK2052" s="12"/>
      <c r="DML2052" s="12"/>
      <c r="DMM2052" s="12"/>
      <c r="DMN2052" s="12"/>
      <c r="DMO2052" s="12"/>
      <c r="DMP2052" s="12"/>
      <c r="DMQ2052" s="12"/>
    </row>
    <row r="2053" spans="3044:3059">
      <c r="DMB2053" s="12"/>
      <c r="DMC2053" s="12"/>
      <c r="DMD2053" s="12"/>
      <c r="DME2053" s="12"/>
      <c r="DMF2053" s="12"/>
      <c r="DMG2053" s="12"/>
      <c r="DMH2053" s="12"/>
      <c r="DMI2053" s="12"/>
      <c r="DMJ2053" s="12"/>
      <c r="DMK2053" s="12"/>
      <c r="DML2053" s="12"/>
      <c r="DMM2053" s="12"/>
      <c r="DMN2053" s="12"/>
      <c r="DMO2053" s="12"/>
      <c r="DMP2053" s="12"/>
      <c r="DMQ2053" s="12"/>
    </row>
    <row r="2054" spans="3044:3059">
      <c r="DMB2054" s="12"/>
      <c r="DMC2054" s="12"/>
      <c r="DMD2054" s="12"/>
      <c r="DME2054" s="12"/>
      <c r="DMF2054" s="12"/>
      <c r="DMG2054" s="12"/>
      <c r="DMH2054" s="12"/>
      <c r="DMI2054" s="12"/>
      <c r="DMJ2054" s="12"/>
      <c r="DMK2054" s="12"/>
      <c r="DML2054" s="12"/>
      <c r="DMM2054" s="12"/>
      <c r="DMN2054" s="12"/>
      <c r="DMO2054" s="12"/>
      <c r="DMP2054" s="12"/>
      <c r="DMQ2054" s="12"/>
    </row>
    <row r="2055" spans="3044:3059">
      <c r="DMB2055" s="12"/>
      <c r="DMC2055" s="12"/>
      <c r="DMD2055" s="12"/>
      <c r="DME2055" s="12"/>
      <c r="DMF2055" s="12"/>
      <c r="DMG2055" s="12"/>
      <c r="DMH2055" s="12"/>
      <c r="DMI2055" s="12"/>
      <c r="DMJ2055" s="12"/>
      <c r="DMK2055" s="12"/>
      <c r="DML2055" s="12"/>
      <c r="DMM2055" s="12"/>
      <c r="DMN2055" s="12"/>
      <c r="DMO2055" s="12"/>
      <c r="DMP2055" s="12"/>
      <c r="DMQ2055" s="12"/>
    </row>
    <row r="2056" spans="3044:3059">
      <c r="DMB2056" s="12"/>
      <c r="DMC2056" s="12"/>
      <c r="DMD2056" s="12"/>
      <c r="DME2056" s="12"/>
      <c r="DMF2056" s="12"/>
      <c r="DMG2056" s="12"/>
      <c r="DMH2056" s="12"/>
      <c r="DMI2056" s="12"/>
      <c r="DMJ2056" s="12"/>
      <c r="DMK2056" s="12"/>
      <c r="DML2056" s="12"/>
      <c r="DMM2056" s="12"/>
      <c r="DMN2056" s="12"/>
      <c r="DMO2056" s="12"/>
      <c r="DMP2056" s="12"/>
      <c r="DMQ2056" s="12"/>
    </row>
    <row r="2057" spans="3044:3059">
      <c r="DMB2057" s="12"/>
      <c r="DMC2057" s="12"/>
      <c r="DMD2057" s="12"/>
      <c r="DME2057" s="12"/>
      <c r="DMF2057" s="12"/>
      <c r="DMG2057" s="12"/>
      <c r="DMH2057" s="12"/>
      <c r="DMI2057" s="12"/>
      <c r="DMJ2057" s="12"/>
      <c r="DMK2057" s="12"/>
      <c r="DML2057" s="12"/>
      <c r="DMM2057" s="12"/>
      <c r="DMN2057" s="12"/>
      <c r="DMO2057" s="12"/>
      <c r="DMP2057" s="12"/>
      <c r="DMQ2057" s="12"/>
    </row>
    <row r="2058" spans="3044:3059">
      <c r="DMB2058" s="12"/>
      <c r="DMC2058" s="12"/>
      <c r="DMD2058" s="12"/>
      <c r="DME2058" s="12"/>
      <c r="DMF2058" s="12"/>
      <c r="DMG2058" s="12"/>
      <c r="DMH2058" s="12"/>
      <c r="DMI2058" s="12"/>
      <c r="DMJ2058" s="12"/>
      <c r="DMK2058" s="12"/>
      <c r="DML2058" s="12"/>
      <c r="DMM2058" s="12"/>
      <c r="DMN2058" s="12"/>
      <c r="DMO2058" s="12"/>
      <c r="DMP2058" s="12"/>
      <c r="DMQ2058" s="12"/>
    </row>
    <row r="2059" spans="3044:3059">
      <c r="DMB2059" s="12"/>
      <c r="DMC2059" s="12"/>
      <c r="DMD2059" s="12"/>
      <c r="DME2059" s="12"/>
      <c r="DMF2059" s="12"/>
      <c r="DMG2059" s="12"/>
      <c r="DMH2059" s="12"/>
      <c r="DMI2059" s="12"/>
      <c r="DMJ2059" s="12"/>
      <c r="DMK2059" s="12"/>
      <c r="DML2059" s="12"/>
      <c r="DMM2059" s="12"/>
      <c r="DMN2059" s="12"/>
      <c r="DMO2059" s="12"/>
      <c r="DMP2059" s="12"/>
      <c r="DMQ2059" s="12"/>
    </row>
    <row r="2060" spans="3044:3059">
      <c r="DMB2060" s="12"/>
      <c r="DMC2060" s="12"/>
      <c r="DMD2060" s="12"/>
      <c r="DME2060" s="12"/>
      <c r="DMF2060" s="12"/>
      <c r="DMG2060" s="12"/>
      <c r="DMH2060" s="12"/>
      <c r="DMI2060" s="12"/>
      <c r="DMJ2060" s="12"/>
      <c r="DMK2060" s="12"/>
      <c r="DML2060" s="12"/>
      <c r="DMM2060" s="12"/>
      <c r="DMN2060" s="12"/>
      <c r="DMO2060" s="12"/>
      <c r="DMP2060" s="12"/>
      <c r="DMQ2060" s="12"/>
    </row>
    <row r="2061" spans="3044:3059">
      <c r="DMB2061" s="12"/>
      <c r="DMC2061" s="12"/>
      <c r="DMD2061" s="12"/>
      <c r="DME2061" s="12"/>
      <c r="DMF2061" s="12"/>
      <c r="DMG2061" s="12"/>
      <c r="DMH2061" s="12"/>
      <c r="DMI2061" s="12"/>
      <c r="DMJ2061" s="12"/>
      <c r="DMK2061" s="12"/>
      <c r="DML2061" s="12"/>
      <c r="DMM2061" s="12"/>
      <c r="DMN2061" s="12"/>
      <c r="DMO2061" s="12"/>
      <c r="DMP2061" s="12"/>
      <c r="DMQ2061" s="12"/>
    </row>
    <row r="2062" spans="3044:3059">
      <c r="DMB2062" s="12"/>
      <c r="DMC2062" s="12"/>
      <c r="DMD2062" s="12"/>
      <c r="DME2062" s="12"/>
      <c r="DMF2062" s="12"/>
      <c r="DMG2062" s="12"/>
      <c r="DMH2062" s="12"/>
      <c r="DMI2062" s="12"/>
      <c r="DMJ2062" s="12"/>
      <c r="DMK2062" s="12"/>
      <c r="DML2062" s="12"/>
      <c r="DMM2062" s="12"/>
      <c r="DMN2062" s="12"/>
      <c r="DMO2062" s="12"/>
      <c r="DMP2062" s="12"/>
      <c r="DMQ2062" s="12"/>
    </row>
    <row r="2063" spans="3044:3059">
      <c r="DMB2063" s="12"/>
      <c r="DMC2063" s="12"/>
      <c r="DMD2063" s="12"/>
      <c r="DME2063" s="12"/>
      <c r="DMF2063" s="12"/>
      <c r="DMG2063" s="12"/>
      <c r="DMH2063" s="12"/>
      <c r="DMI2063" s="12"/>
      <c r="DMJ2063" s="12"/>
      <c r="DMK2063" s="12"/>
      <c r="DML2063" s="12"/>
      <c r="DMM2063" s="12"/>
      <c r="DMN2063" s="12"/>
      <c r="DMO2063" s="12"/>
      <c r="DMP2063" s="12"/>
      <c r="DMQ2063" s="12"/>
    </row>
    <row r="2064" spans="3044:3059">
      <c r="DMB2064" s="12"/>
      <c r="DMC2064" s="12"/>
      <c r="DMD2064" s="12"/>
      <c r="DME2064" s="12"/>
      <c r="DMF2064" s="12"/>
      <c r="DMG2064" s="12"/>
      <c r="DMH2064" s="12"/>
      <c r="DMI2064" s="12"/>
      <c r="DMJ2064" s="12"/>
      <c r="DMK2064" s="12"/>
      <c r="DML2064" s="12"/>
      <c r="DMM2064" s="12"/>
      <c r="DMN2064" s="12"/>
      <c r="DMO2064" s="12"/>
      <c r="DMP2064" s="12"/>
      <c r="DMQ2064" s="12"/>
    </row>
    <row r="2065" spans="3044:3059">
      <c r="DMB2065" s="12"/>
      <c r="DMC2065" s="12"/>
      <c r="DMD2065" s="12"/>
      <c r="DME2065" s="12"/>
      <c r="DMF2065" s="12"/>
      <c r="DMG2065" s="12"/>
      <c r="DMH2065" s="12"/>
      <c r="DMI2065" s="12"/>
      <c r="DMJ2065" s="12"/>
      <c r="DMK2065" s="12"/>
      <c r="DML2065" s="12"/>
      <c r="DMM2065" s="12"/>
      <c r="DMN2065" s="12"/>
      <c r="DMO2065" s="12"/>
      <c r="DMP2065" s="12"/>
      <c r="DMQ2065" s="12"/>
    </row>
    <row r="2066" spans="3044:3059">
      <c r="DMB2066" s="12"/>
      <c r="DMC2066" s="12"/>
      <c r="DMD2066" s="12"/>
      <c r="DME2066" s="12"/>
      <c r="DMF2066" s="12"/>
      <c r="DMG2066" s="12"/>
      <c r="DMH2066" s="12"/>
      <c r="DMI2066" s="12"/>
      <c r="DMJ2066" s="12"/>
      <c r="DMK2066" s="12"/>
      <c r="DML2066" s="12"/>
      <c r="DMM2066" s="12"/>
      <c r="DMN2066" s="12"/>
      <c r="DMO2066" s="12"/>
      <c r="DMP2066" s="12"/>
      <c r="DMQ2066" s="12"/>
    </row>
    <row r="2067" spans="3044:3059">
      <c r="DMB2067" s="12"/>
      <c r="DMC2067" s="12"/>
      <c r="DMD2067" s="12"/>
      <c r="DME2067" s="12"/>
      <c r="DMF2067" s="12"/>
      <c r="DMG2067" s="12"/>
      <c r="DMH2067" s="12"/>
      <c r="DMI2067" s="12"/>
      <c r="DMJ2067" s="12"/>
      <c r="DMK2067" s="12"/>
      <c r="DML2067" s="12"/>
      <c r="DMM2067" s="12"/>
      <c r="DMN2067" s="12"/>
      <c r="DMO2067" s="12"/>
      <c r="DMP2067" s="12"/>
      <c r="DMQ2067" s="12"/>
    </row>
    <row r="2068" spans="3044:3059">
      <c r="DMB2068" s="12"/>
      <c r="DMC2068" s="12"/>
      <c r="DMD2068" s="12"/>
      <c r="DME2068" s="12"/>
      <c r="DMF2068" s="12"/>
      <c r="DMG2068" s="12"/>
      <c r="DMH2068" s="12"/>
      <c r="DMI2068" s="12"/>
      <c r="DMJ2068" s="12"/>
      <c r="DMK2068" s="12"/>
      <c r="DML2068" s="12"/>
      <c r="DMM2068" s="12"/>
      <c r="DMN2068" s="12"/>
      <c r="DMO2068" s="12"/>
      <c r="DMP2068" s="12"/>
      <c r="DMQ2068" s="12"/>
    </row>
    <row r="2069" spans="3044:3059">
      <c r="DMB2069" s="12"/>
      <c r="DMC2069" s="12"/>
      <c r="DMD2069" s="12"/>
      <c r="DME2069" s="12"/>
      <c r="DMF2069" s="12"/>
      <c r="DMG2069" s="12"/>
      <c r="DMH2069" s="12"/>
      <c r="DMI2069" s="12"/>
      <c r="DMJ2069" s="12"/>
      <c r="DMK2069" s="12"/>
      <c r="DML2069" s="12"/>
      <c r="DMM2069" s="12"/>
      <c r="DMN2069" s="12"/>
      <c r="DMO2069" s="12"/>
      <c r="DMP2069" s="12"/>
      <c r="DMQ2069" s="12"/>
    </row>
    <row r="2070" spans="3044:3059">
      <c r="DMB2070" s="12"/>
      <c r="DMC2070" s="12"/>
      <c r="DMD2070" s="12"/>
      <c r="DME2070" s="12"/>
      <c r="DMF2070" s="12"/>
      <c r="DMG2070" s="12"/>
      <c r="DMH2070" s="12"/>
      <c r="DMI2070" s="12"/>
      <c r="DMJ2070" s="12"/>
      <c r="DMK2070" s="12"/>
      <c r="DML2070" s="12"/>
      <c r="DMM2070" s="12"/>
      <c r="DMN2070" s="12"/>
      <c r="DMO2070" s="12"/>
      <c r="DMP2070" s="12"/>
      <c r="DMQ2070" s="12"/>
    </row>
    <row r="2071" spans="3044:3059">
      <c r="DMB2071" s="12"/>
      <c r="DMC2071" s="12"/>
      <c r="DMD2071" s="12"/>
      <c r="DME2071" s="12"/>
      <c r="DMF2071" s="12"/>
      <c r="DMG2071" s="12"/>
      <c r="DMH2071" s="12"/>
      <c r="DMI2071" s="12"/>
      <c r="DMJ2071" s="12"/>
      <c r="DMK2071" s="12"/>
      <c r="DML2071" s="12"/>
      <c r="DMM2071" s="12"/>
      <c r="DMN2071" s="12"/>
      <c r="DMO2071" s="12"/>
      <c r="DMP2071" s="12"/>
      <c r="DMQ2071" s="12"/>
    </row>
    <row r="2072" spans="3044:3059">
      <c r="DMB2072" s="12"/>
      <c r="DMC2072" s="12"/>
      <c r="DMD2072" s="12"/>
      <c r="DME2072" s="12"/>
      <c r="DMF2072" s="12"/>
      <c r="DMG2072" s="12"/>
      <c r="DMH2072" s="12"/>
      <c r="DMI2072" s="12"/>
      <c r="DMJ2072" s="12"/>
      <c r="DMK2072" s="12"/>
      <c r="DML2072" s="12"/>
      <c r="DMM2072" s="12"/>
      <c r="DMN2072" s="12"/>
      <c r="DMO2072" s="12"/>
      <c r="DMP2072" s="12"/>
      <c r="DMQ2072" s="12"/>
    </row>
    <row r="2073" spans="3044:3059">
      <c r="DMB2073" s="12"/>
      <c r="DMC2073" s="12"/>
      <c r="DMD2073" s="12"/>
      <c r="DME2073" s="12"/>
      <c r="DMF2073" s="12"/>
      <c r="DMG2073" s="12"/>
      <c r="DMH2073" s="12"/>
      <c r="DMI2073" s="12"/>
      <c r="DMJ2073" s="12"/>
      <c r="DMK2073" s="12"/>
      <c r="DML2073" s="12"/>
      <c r="DMM2073" s="12"/>
      <c r="DMN2073" s="12"/>
      <c r="DMO2073" s="12"/>
      <c r="DMP2073" s="12"/>
      <c r="DMQ2073" s="12"/>
    </row>
    <row r="2074" spans="3044:3059">
      <c r="DMB2074" s="12"/>
      <c r="DMC2074" s="12"/>
      <c r="DMD2074" s="12"/>
      <c r="DME2074" s="12"/>
      <c r="DMF2074" s="12"/>
      <c r="DMG2074" s="12"/>
      <c r="DMH2074" s="12"/>
      <c r="DMI2074" s="12"/>
      <c r="DMJ2074" s="12"/>
      <c r="DMK2074" s="12"/>
      <c r="DML2074" s="12"/>
      <c r="DMM2074" s="12"/>
      <c r="DMN2074" s="12"/>
      <c r="DMO2074" s="12"/>
      <c r="DMP2074" s="12"/>
      <c r="DMQ2074" s="12"/>
    </row>
    <row r="2075" spans="3044:3059">
      <c r="DMB2075" s="12"/>
      <c r="DMC2075" s="12"/>
      <c r="DMD2075" s="12"/>
      <c r="DME2075" s="12"/>
      <c r="DMF2075" s="12"/>
      <c r="DMG2075" s="12"/>
      <c r="DMH2075" s="12"/>
      <c r="DMI2075" s="12"/>
      <c r="DMJ2075" s="12"/>
      <c r="DMK2075" s="12"/>
      <c r="DML2075" s="12"/>
      <c r="DMM2075" s="12"/>
      <c r="DMN2075" s="12"/>
      <c r="DMO2075" s="12"/>
      <c r="DMP2075" s="12"/>
      <c r="DMQ2075" s="12"/>
    </row>
    <row r="2076" spans="3044:3059">
      <c r="DMB2076" s="12"/>
      <c r="DMC2076" s="12"/>
      <c r="DMD2076" s="12"/>
      <c r="DME2076" s="12"/>
      <c r="DMF2076" s="12"/>
      <c r="DMG2076" s="12"/>
      <c r="DMH2076" s="12"/>
      <c r="DMI2076" s="12"/>
      <c r="DMJ2076" s="12"/>
      <c r="DMK2076" s="12"/>
      <c r="DML2076" s="12"/>
      <c r="DMM2076" s="12"/>
      <c r="DMN2076" s="12"/>
      <c r="DMO2076" s="12"/>
      <c r="DMP2076" s="12"/>
      <c r="DMQ2076" s="12"/>
    </row>
    <row r="2077" spans="3044:3059">
      <c r="DMB2077" s="12"/>
      <c r="DMC2077" s="12"/>
      <c r="DMD2077" s="12"/>
      <c r="DME2077" s="12"/>
      <c r="DMF2077" s="12"/>
      <c r="DMG2077" s="12"/>
      <c r="DMH2077" s="12"/>
      <c r="DMI2077" s="12"/>
      <c r="DMJ2077" s="12"/>
      <c r="DMK2077" s="12"/>
      <c r="DML2077" s="12"/>
      <c r="DMM2077" s="12"/>
      <c r="DMN2077" s="12"/>
      <c r="DMO2077" s="12"/>
      <c r="DMP2077" s="12"/>
      <c r="DMQ2077" s="12"/>
    </row>
    <row r="2078" spans="3044:3059">
      <c r="DMB2078" s="12"/>
      <c r="DMC2078" s="12"/>
      <c r="DMD2078" s="12"/>
      <c r="DME2078" s="12"/>
      <c r="DMF2078" s="12"/>
      <c r="DMG2078" s="12"/>
      <c r="DMH2078" s="12"/>
      <c r="DMI2078" s="12"/>
      <c r="DMJ2078" s="12"/>
      <c r="DMK2078" s="12"/>
      <c r="DML2078" s="12"/>
      <c r="DMM2078" s="12"/>
      <c r="DMN2078" s="12"/>
      <c r="DMO2078" s="12"/>
      <c r="DMP2078" s="12"/>
      <c r="DMQ2078" s="12"/>
    </row>
    <row r="2079" spans="3044:3059">
      <c r="DMB2079" s="12"/>
      <c r="DMC2079" s="12"/>
      <c r="DMD2079" s="12"/>
      <c r="DME2079" s="12"/>
      <c r="DMF2079" s="12"/>
      <c r="DMG2079" s="12"/>
      <c r="DMH2079" s="12"/>
      <c r="DMI2079" s="12"/>
      <c r="DMJ2079" s="12"/>
      <c r="DMK2079" s="12"/>
      <c r="DML2079" s="12"/>
      <c r="DMM2079" s="12"/>
      <c r="DMN2079" s="12"/>
      <c r="DMO2079" s="12"/>
      <c r="DMP2079" s="12"/>
      <c r="DMQ2079" s="12"/>
    </row>
    <row r="2080" spans="3044:3059">
      <c r="DMB2080" s="12"/>
      <c r="DMC2080" s="12"/>
      <c r="DMD2080" s="12"/>
      <c r="DME2080" s="12"/>
      <c r="DMF2080" s="12"/>
      <c r="DMG2080" s="12"/>
      <c r="DMH2080" s="12"/>
      <c r="DMI2080" s="12"/>
      <c r="DMJ2080" s="12"/>
      <c r="DMK2080" s="12"/>
      <c r="DML2080" s="12"/>
      <c r="DMM2080" s="12"/>
      <c r="DMN2080" s="12"/>
      <c r="DMO2080" s="12"/>
      <c r="DMP2080" s="12"/>
      <c r="DMQ2080" s="12"/>
    </row>
    <row r="2081" spans="3044:3059">
      <c r="DMB2081" s="12"/>
      <c r="DMC2081" s="12"/>
      <c r="DMD2081" s="12"/>
      <c r="DME2081" s="12"/>
      <c r="DMF2081" s="12"/>
      <c r="DMG2081" s="12"/>
      <c r="DMH2081" s="12"/>
      <c r="DMI2081" s="12"/>
      <c r="DMJ2081" s="12"/>
      <c r="DMK2081" s="12"/>
      <c r="DML2081" s="12"/>
      <c r="DMM2081" s="12"/>
      <c r="DMN2081" s="12"/>
      <c r="DMO2081" s="12"/>
      <c r="DMP2081" s="12"/>
      <c r="DMQ2081" s="12"/>
    </row>
    <row r="2082" spans="3044:3059">
      <c r="DMB2082" s="12"/>
      <c r="DMC2082" s="12"/>
      <c r="DMD2082" s="12"/>
      <c r="DME2082" s="12"/>
      <c r="DMF2082" s="12"/>
      <c r="DMG2082" s="12"/>
      <c r="DMH2082" s="12"/>
      <c r="DMI2082" s="12"/>
      <c r="DMJ2082" s="12"/>
      <c r="DMK2082" s="12"/>
      <c r="DML2082" s="12"/>
      <c r="DMM2082" s="12"/>
      <c r="DMN2082" s="12"/>
      <c r="DMO2082" s="12"/>
      <c r="DMP2082" s="12"/>
      <c r="DMQ2082" s="12"/>
    </row>
    <row r="2083" spans="3044:3059">
      <c r="DMB2083" s="12"/>
      <c r="DMC2083" s="12"/>
      <c r="DMD2083" s="12"/>
      <c r="DME2083" s="12"/>
      <c r="DMF2083" s="12"/>
      <c r="DMG2083" s="12"/>
      <c r="DMH2083" s="12"/>
      <c r="DMI2083" s="12"/>
      <c r="DMJ2083" s="12"/>
      <c r="DMK2083" s="12"/>
      <c r="DML2083" s="12"/>
      <c r="DMM2083" s="12"/>
      <c r="DMN2083" s="12"/>
      <c r="DMO2083" s="12"/>
      <c r="DMP2083" s="12"/>
      <c r="DMQ2083" s="12"/>
    </row>
    <row r="2084" spans="3044:3059">
      <c r="DMB2084" s="12"/>
      <c r="DMC2084" s="12"/>
      <c r="DMD2084" s="12"/>
      <c r="DME2084" s="12"/>
      <c r="DMF2084" s="12"/>
      <c r="DMG2084" s="12"/>
      <c r="DMH2084" s="12"/>
      <c r="DMI2084" s="12"/>
      <c r="DMJ2084" s="12"/>
      <c r="DMK2084" s="12"/>
      <c r="DML2084" s="12"/>
      <c r="DMM2084" s="12"/>
      <c r="DMN2084" s="12"/>
      <c r="DMO2084" s="12"/>
      <c r="DMP2084" s="12"/>
      <c r="DMQ2084" s="12"/>
    </row>
    <row r="2085" spans="3044:3059">
      <c r="DMB2085" s="12"/>
      <c r="DMC2085" s="12"/>
      <c r="DMD2085" s="12"/>
      <c r="DME2085" s="12"/>
      <c r="DMF2085" s="12"/>
      <c r="DMG2085" s="12"/>
      <c r="DMH2085" s="12"/>
      <c r="DMI2085" s="12"/>
      <c r="DMJ2085" s="12"/>
      <c r="DMK2085" s="12"/>
      <c r="DML2085" s="12"/>
      <c r="DMM2085" s="12"/>
      <c r="DMN2085" s="12"/>
      <c r="DMO2085" s="12"/>
      <c r="DMP2085" s="12"/>
      <c r="DMQ2085" s="12"/>
    </row>
    <row r="2086" spans="3044:3059">
      <c r="DMB2086" s="12"/>
      <c r="DMC2086" s="12"/>
      <c r="DMD2086" s="12"/>
      <c r="DME2086" s="12"/>
      <c r="DMF2086" s="12"/>
      <c r="DMG2086" s="12"/>
      <c r="DMH2086" s="12"/>
      <c r="DMI2086" s="12"/>
      <c r="DMJ2086" s="12"/>
      <c r="DMK2086" s="12"/>
      <c r="DML2086" s="12"/>
      <c r="DMM2086" s="12"/>
      <c r="DMN2086" s="12"/>
      <c r="DMO2086" s="12"/>
      <c r="DMP2086" s="12"/>
      <c r="DMQ2086" s="12"/>
    </row>
    <row r="2087" spans="3044:3059">
      <c r="DMB2087" s="12"/>
      <c r="DMC2087" s="12"/>
      <c r="DMD2087" s="12"/>
      <c r="DME2087" s="12"/>
      <c r="DMF2087" s="12"/>
      <c r="DMG2087" s="12"/>
      <c r="DMH2087" s="12"/>
      <c r="DMI2087" s="12"/>
      <c r="DMJ2087" s="12"/>
      <c r="DMK2087" s="12"/>
      <c r="DML2087" s="12"/>
      <c r="DMM2087" s="12"/>
      <c r="DMN2087" s="12"/>
      <c r="DMO2087" s="12"/>
      <c r="DMP2087" s="12"/>
      <c r="DMQ2087" s="12"/>
    </row>
    <row r="2088" spans="3044:3059">
      <c r="DMB2088" s="12"/>
      <c r="DMC2088" s="12"/>
      <c r="DMD2088" s="12"/>
      <c r="DME2088" s="12"/>
      <c r="DMF2088" s="12"/>
      <c r="DMG2088" s="12"/>
      <c r="DMH2088" s="12"/>
      <c r="DMI2088" s="12"/>
      <c r="DMJ2088" s="12"/>
      <c r="DMK2088" s="12"/>
      <c r="DML2088" s="12"/>
      <c r="DMM2088" s="12"/>
      <c r="DMN2088" s="12"/>
      <c r="DMO2088" s="12"/>
      <c r="DMP2088" s="12"/>
      <c r="DMQ2088" s="12"/>
    </row>
    <row r="2089" spans="3044:3059">
      <c r="DMB2089" s="12"/>
      <c r="DMC2089" s="12"/>
      <c r="DMD2089" s="12"/>
      <c r="DME2089" s="12"/>
      <c r="DMF2089" s="12"/>
      <c r="DMG2089" s="12"/>
      <c r="DMH2089" s="12"/>
      <c r="DMI2089" s="12"/>
      <c r="DMJ2089" s="12"/>
      <c r="DMK2089" s="12"/>
      <c r="DML2089" s="12"/>
      <c r="DMM2089" s="12"/>
      <c r="DMN2089" s="12"/>
      <c r="DMO2089" s="12"/>
      <c r="DMP2089" s="12"/>
      <c r="DMQ2089" s="12"/>
    </row>
    <row r="2090" spans="3044:3059">
      <c r="DMB2090" s="12"/>
      <c r="DMC2090" s="12"/>
      <c r="DMD2090" s="12"/>
      <c r="DME2090" s="12"/>
      <c r="DMF2090" s="12"/>
      <c r="DMG2090" s="12"/>
      <c r="DMH2090" s="12"/>
      <c r="DMI2090" s="12"/>
      <c r="DMJ2090" s="12"/>
      <c r="DMK2090" s="12"/>
      <c r="DML2090" s="12"/>
      <c r="DMM2090" s="12"/>
      <c r="DMN2090" s="12"/>
      <c r="DMO2090" s="12"/>
      <c r="DMP2090" s="12"/>
      <c r="DMQ2090" s="12"/>
    </row>
    <row r="2091" spans="3044:3059">
      <c r="DMB2091" s="12"/>
      <c r="DMC2091" s="12"/>
      <c r="DMD2091" s="12"/>
      <c r="DME2091" s="12"/>
      <c r="DMF2091" s="12"/>
      <c r="DMG2091" s="12"/>
      <c r="DMH2091" s="12"/>
      <c r="DMI2091" s="12"/>
      <c r="DMJ2091" s="12"/>
      <c r="DMK2091" s="12"/>
      <c r="DML2091" s="12"/>
      <c r="DMM2091" s="12"/>
      <c r="DMN2091" s="12"/>
      <c r="DMO2091" s="12"/>
      <c r="DMP2091" s="12"/>
      <c r="DMQ2091" s="12"/>
    </row>
    <row r="2092" spans="3044:3059">
      <c r="DMB2092" s="12"/>
      <c r="DMC2092" s="12"/>
      <c r="DMD2092" s="12"/>
      <c r="DME2092" s="12"/>
      <c r="DMF2092" s="12"/>
      <c r="DMG2092" s="12"/>
      <c r="DMH2092" s="12"/>
      <c r="DMI2092" s="12"/>
      <c r="DMJ2092" s="12"/>
      <c r="DMK2092" s="12"/>
      <c r="DML2092" s="12"/>
      <c r="DMM2092" s="12"/>
      <c r="DMN2092" s="12"/>
      <c r="DMO2092" s="12"/>
      <c r="DMP2092" s="12"/>
      <c r="DMQ2092" s="12"/>
    </row>
    <row r="2093" spans="3044:3059">
      <c r="DMB2093" s="12"/>
      <c r="DMC2093" s="12"/>
      <c r="DMD2093" s="12"/>
      <c r="DME2093" s="12"/>
      <c r="DMF2093" s="12"/>
      <c r="DMG2093" s="12"/>
      <c r="DMH2093" s="12"/>
      <c r="DMI2093" s="12"/>
      <c r="DMJ2093" s="12"/>
      <c r="DMK2093" s="12"/>
      <c r="DML2093" s="12"/>
      <c r="DMM2093" s="12"/>
      <c r="DMN2093" s="12"/>
      <c r="DMO2093" s="12"/>
      <c r="DMP2093" s="12"/>
      <c r="DMQ2093" s="12"/>
    </row>
    <row r="2094" spans="3044:3059">
      <c r="DMB2094" s="12"/>
      <c r="DMC2094" s="12"/>
      <c r="DMD2094" s="12"/>
      <c r="DME2094" s="12"/>
      <c r="DMF2094" s="12"/>
      <c r="DMG2094" s="12"/>
      <c r="DMH2094" s="12"/>
      <c r="DMI2094" s="12"/>
      <c r="DMJ2094" s="12"/>
      <c r="DMK2094" s="12"/>
      <c r="DML2094" s="12"/>
      <c r="DMM2094" s="12"/>
      <c r="DMN2094" s="12"/>
      <c r="DMO2094" s="12"/>
      <c r="DMP2094" s="12"/>
      <c r="DMQ2094" s="12"/>
    </row>
    <row r="2095" spans="3044:3059">
      <c r="DMB2095" s="12"/>
      <c r="DMC2095" s="12"/>
      <c r="DMD2095" s="12"/>
      <c r="DME2095" s="12"/>
      <c r="DMF2095" s="12"/>
      <c r="DMG2095" s="12"/>
      <c r="DMH2095" s="12"/>
      <c r="DMI2095" s="12"/>
      <c r="DMJ2095" s="12"/>
      <c r="DMK2095" s="12"/>
      <c r="DML2095" s="12"/>
      <c r="DMM2095" s="12"/>
      <c r="DMN2095" s="12"/>
      <c r="DMO2095" s="12"/>
      <c r="DMP2095" s="12"/>
      <c r="DMQ2095" s="12"/>
    </row>
    <row r="2096" spans="3044:3059">
      <c r="DMB2096" s="12"/>
      <c r="DMC2096" s="12"/>
      <c r="DMD2096" s="12"/>
      <c r="DME2096" s="12"/>
      <c r="DMF2096" s="12"/>
      <c r="DMG2096" s="12"/>
      <c r="DMH2096" s="12"/>
      <c r="DMI2096" s="12"/>
      <c r="DMJ2096" s="12"/>
      <c r="DMK2096" s="12"/>
      <c r="DML2096" s="12"/>
      <c r="DMM2096" s="12"/>
      <c r="DMN2096" s="12"/>
      <c r="DMO2096" s="12"/>
      <c r="DMP2096" s="12"/>
      <c r="DMQ2096" s="12"/>
    </row>
    <row r="2097" spans="3044:3059">
      <c r="DMB2097" s="12"/>
      <c r="DMC2097" s="12"/>
      <c r="DMD2097" s="12"/>
      <c r="DME2097" s="12"/>
      <c r="DMF2097" s="12"/>
      <c r="DMG2097" s="12"/>
      <c r="DMH2097" s="12"/>
      <c r="DMI2097" s="12"/>
      <c r="DMJ2097" s="12"/>
      <c r="DMK2097" s="12"/>
      <c r="DML2097" s="12"/>
      <c r="DMM2097" s="12"/>
      <c r="DMN2097" s="12"/>
      <c r="DMO2097" s="12"/>
      <c r="DMP2097" s="12"/>
      <c r="DMQ2097" s="12"/>
    </row>
    <row r="2098" spans="3044:3059">
      <c r="DMB2098" s="12"/>
      <c r="DMC2098" s="12"/>
      <c r="DMD2098" s="12"/>
      <c r="DME2098" s="12"/>
      <c r="DMF2098" s="12"/>
      <c r="DMG2098" s="12"/>
      <c r="DMH2098" s="12"/>
      <c r="DMI2098" s="12"/>
      <c r="DMJ2098" s="12"/>
      <c r="DMK2098" s="12"/>
      <c r="DML2098" s="12"/>
      <c r="DMM2098" s="12"/>
      <c r="DMN2098" s="12"/>
      <c r="DMO2098" s="12"/>
      <c r="DMP2098" s="12"/>
      <c r="DMQ2098" s="12"/>
    </row>
    <row r="2099" spans="3044:3059">
      <c r="DMB2099" s="12"/>
      <c r="DMC2099" s="12"/>
      <c r="DMD2099" s="12"/>
      <c r="DME2099" s="12"/>
      <c r="DMF2099" s="12"/>
      <c r="DMG2099" s="12"/>
      <c r="DMH2099" s="12"/>
      <c r="DMI2099" s="12"/>
      <c r="DMJ2099" s="12"/>
      <c r="DMK2099" s="12"/>
      <c r="DML2099" s="12"/>
      <c r="DMM2099" s="12"/>
      <c r="DMN2099" s="12"/>
      <c r="DMO2099" s="12"/>
      <c r="DMP2099" s="12"/>
      <c r="DMQ2099" s="12"/>
    </row>
    <row r="2100" spans="3044:3059">
      <c r="DMB2100" s="12"/>
      <c r="DMC2100" s="12"/>
      <c r="DMD2100" s="12"/>
      <c r="DME2100" s="12"/>
      <c r="DMF2100" s="12"/>
      <c r="DMG2100" s="12"/>
      <c r="DMH2100" s="12"/>
      <c r="DMI2100" s="12"/>
      <c r="DMJ2100" s="12"/>
      <c r="DMK2100" s="12"/>
      <c r="DML2100" s="12"/>
      <c r="DMM2100" s="12"/>
      <c r="DMN2100" s="12"/>
      <c r="DMO2100" s="12"/>
      <c r="DMP2100" s="12"/>
      <c r="DMQ2100" s="12"/>
    </row>
    <row r="2101" spans="3044:3059">
      <c r="DMB2101" s="12"/>
      <c r="DMC2101" s="12"/>
      <c r="DMD2101" s="12"/>
      <c r="DME2101" s="12"/>
      <c r="DMF2101" s="12"/>
      <c r="DMG2101" s="12"/>
      <c r="DMH2101" s="12"/>
      <c r="DMI2101" s="12"/>
      <c r="DMJ2101" s="12"/>
      <c r="DMK2101" s="12"/>
      <c r="DML2101" s="12"/>
      <c r="DMM2101" s="12"/>
      <c r="DMN2101" s="12"/>
      <c r="DMO2101" s="12"/>
      <c r="DMP2101" s="12"/>
      <c r="DMQ2101" s="12"/>
    </row>
    <row r="2102" spans="3044:3059">
      <c r="DMB2102" s="12"/>
      <c r="DMC2102" s="12"/>
      <c r="DMD2102" s="12"/>
      <c r="DME2102" s="12"/>
      <c r="DMF2102" s="12"/>
      <c r="DMG2102" s="12"/>
      <c r="DMH2102" s="12"/>
      <c r="DMI2102" s="12"/>
      <c r="DMJ2102" s="12"/>
      <c r="DMK2102" s="12"/>
      <c r="DML2102" s="12"/>
      <c r="DMM2102" s="12"/>
      <c r="DMN2102" s="12"/>
      <c r="DMO2102" s="12"/>
      <c r="DMP2102" s="12"/>
      <c r="DMQ2102" s="12"/>
    </row>
    <row r="2103" spans="3044:3059">
      <c r="DMB2103" s="12"/>
      <c r="DMC2103" s="12"/>
      <c r="DMD2103" s="12"/>
      <c r="DME2103" s="12"/>
      <c r="DMF2103" s="12"/>
      <c r="DMG2103" s="12"/>
      <c r="DMH2103" s="12"/>
      <c r="DMI2103" s="12"/>
      <c r="DMJ2103" s="12"/>
      <c r="DMK2103" s="12"/>
      <c r="DML2103" s="12"/>
      <c r="DMM2103" s="12"/>
      <c r="DMN2103" s="12"/>
      <c r="DMO2103" s="12"/>
      <c r="DMP2103" s="12"/>
      <c r="DMQ2103" s="12"/>
    </row>
    <row r="2104" spans="3044:3059">
      <c r="DMB2104" s="12"/>
      <c r="DMC2104" s="12"/>
      <c r="DMD2104" s="12"/>
      <c r="DME2104" s="12"/>
      <c r="DMF2104" s="12"/>
      <c r="DMG2104" s="12"/>
      <c r="DMH2104" s="12"/>
      <c r="DMI2104" s="12"/>
      <c r="DMJ2104" s="12"/>
      <c r="DMK2104" s="12"/>
      <c r="DML2104" s="12"/>
      <c r="DMM2104" s="12"/>
      <c r="DMN2104" s="12"/>
      <c r="DMO2104" s="12"/>
      <c r="DMP2104" s="12"/>
      <c r="DMQ2104" s="12"/>
    </row>
    <row r="2105" spans="3044:3059">
      <c r="DMB2105" s="12"/>
      <c r="DMC2105" s="12"/>
      <c r="DMD2105" s="12"/>
      <c r="DME2105" s="12"/>
      <c r="DMF2105" s="12"/>
      <c r="DMG2105" s="12"/>
      <c r="DMH2105" s="12"/>
      <c r="DMI2105" s="12"/>
      <c r="DMJ2105" s="12"/>
      <c r="DMK2105" s="12"/>
      <c r="DML2105" s="12"/>
      <c r="DMM2105" s="12"/>
      <c r="DMN2105" s="12"/>
      <c r="DMO2105" s="12"/>
      <c r="DMP2105" s="12"/>
      <c r="DMQ2105" s="12"/>
    </row>
    <row r="2106" spans="3044:3059">
      <c r="DMB2106" s="12"/>
      <c r="DMC2106" s="12"/>
      <c r="DMD2106" s="12"/>
      <c r="DME2106" s="12"/>
      <c r="DMF2106" s="12"/>
      <c r="DMG2106" s="12"/>
      <c r="DMH2106" s="12"/>
      <c r="DMI2106" s="12"/>
      <c r="DMJ2106" s="12"/>
      <c r="DMK2106" s="12"/>
      <c r="DML2106" s="12"/>
      <c r="DMM2106" s="12"/>
      <c r="DMN2106" s="12"/>
      <c r="DMO2106" s="12"/>
      <c r="DMP2106" s="12"/>
      <c r="DMQ2106" s="12"/>
    </row>
    <row r="2107" spans="3044:3059">
      <c r="DMB2107" s="12"/>
      <c r="DMC2107" s="12"/>
      <c r="DMD2107" s="12"/>
      <c r="DME2107" s="12"/>
      <c r="DMF2107" s="12"/>
      <c r="DMG2107" s="12"/>
      <c r="DMH2107" s="12"/>
      <c r="DMI2107" s="12"/>
      <c r="DMJ2107" s="12"/>
      <c r="DMK2107" s="12"/>
      <c r="DML2107" s="12"/>
      <c r="DMM2107" s="12"/>
      <c r="DMN2107" s="12"/>
      <c r="DMO2107" s="12"/>
      <c r="DMP2107" s="12"/>
      <c r="DMQ2107" s="12"/>
    </row>
    <row r="2108" spans="3044:3059">
      <c r="DMB2108" s="12"/>
      <c r="DMC2108" s="12"/>
      <c r="DMD2108" s="12"/>
      <c r="DME2108" s="12"/>
      <c r="DMF2108" s="12"/>
      <c r="DMG2108" s="12"/>
      <c r="DMH2108" s="12"/>
      <c r="DMI2108" s="12"/>
      <c r="DMJ2108" s="12"/>
      <c r="DMK2108" s="12"/>
      <c r="DML2108" s="12"/>
      <c r="DMM2108" s="12"/>
      <c r="DMN2108" s="12"/>
      <c r="DMO2108" s="12"/>
      <c r="DMP2108" s="12"/>
      <c r="DMQ2108" s="12"/>
    </row>
    <row r="2109" spans="3044:3059">
      <c r="DMB2109" s="12"/>
      <c r="DMC2109" s="12"/>
      <c r="DMD2109" s="12"/>
      <c r="DME2109" s="12"/>
      <c r="DMF2109" s="12"/>
      <c r="DMG2109" s="12"/>
      <c r="DMH2109" s="12"/>
      <c r="DMI2109" s="12"/>
      <c r="DMJ2109" s="12"/>
      <c r="DMK2109" s="12"/>
      <c r="DML2109" s="12"/>
      <c r="DMM2109" s="12"/>
      <c r="DMN2109" s="12"/>
      <c r="DMO2109" s="12"/>
      <c r="DMP2109" s="12"/>
      <c r="DMQ2109" s="12"/>
    </row>
    <row r="2110" spans="3044:3059">
      <c r="DMB2110" s="12"/>
      <c r="DMC2110" s="12"/>
      <c r="DMD2110" s="12"/>
      <c r="DME2110" s="12"/>
      <c r="DMF2110" s="12"/>
      <c r="DMG2110" s="12"/>
      <c r="DMH2110" s="12"/>
      <c r="DMI2110" s="12"/>
      <c r="DMJ2110" s="12"/>
      <c r="DMK2110" s="12"/>
      <c r="DML2110" s="12"/>
      <c r="DMM2110" s="12"/>
      <c r="DMN2110" s="12"/>
      <c r="DMO2110" s="12"/>
      <c r="DMP2110" s="12"/>
      <c r="DMQ2110" s="12"/>
    </row>
    <row r="2111" spans="3044:3059">
      <c r="DMB2111" s="12"/>
      <c r="DMC2111" s="12"/>
      <c r="DMD2111" s="12"/>
      <c r="DME2111" s="12"/>
      <c r="DMF2111" s="12"/>
      <c r="DMG2111" s="12"/>
      <c r="DMH2111" s="12"/>
      <c r="DMI2111" s="12"/>
      <c r="DMJ2111" s="12"/>
      <c r="DMK2111" s="12"/>
      <c r="DML2111" s="12"/>
      <c r="DMM2111" s="12"/>
      <c r="DMN2111" s="12"/>
      <c r="DMO2111" s="12"/>
      <c r="DMP2111" s="12"/>
      <c r="DMQ2111" s="12"/>
    </row>
    <row r="2112" spans="3044:3059">
      <c r="DMB2112" s="12"/>
      <c r="DMC2112" s="12"/>
      <c r="DMD2112" s="12"/>
      <c r="DME2112" s="12"/>
      <c r="DMF2112" s="12"/>
      <c r="DMG2112" s="12"/>
      <c r="DMH2112" s="12"/>
      <c r="DMI2112" s="12"/>
      <c r="DMJ2112" s="12"/>
      <c r="DMK2112" s="12"/>
      <c r="DML2112" s="12"/>
      <c r="DMM2112" s="12"/>
      <c r="DMN2112" s="12"/>
      <c r="DMO2112" s="12"/>
      <c r="DMP2112" s="12"/>
      <c r="DMQ2112" s="12"/>
    </row>
    <row r="2113" spans="3044:3059">
      <c r="DMB2113" s="12"/>
      <c r="DMC2113" s="12"/>
      <c r="DMD2113" s="12"/>
      <c r="DME2113" s="12"/>
      <c r="DMF2113" s="12"/>
      <c r="DMG2113" s="12"/>
      <c r="DMH2113" s="12"/>
      <c r="DMI2113" s="12"/>
      <c r="DMJ2113" s="12"/>
      <c r="DMK2113" s="12"/>
      <c r="DML2113" s="12"/>
      <c r="DMM2113" s="12"/>
      <c r="DMN2113" s="12"/>
      <c r="DMO2113" s="12"/>
      <c r="DMP2113" s="12"/>
      <c r="DMQ2113" s="12"/>
    </row>
    <row r="2114" spans="3044:3059">
      <c r="DMB2114" s="12"/>
      <c r="DMC2114" s="12"/>
      <c r="DMD2114" s="12"/>
      <c r="DME2114" s="12"/>
      <c r="DMF2114" s="12"/>
      <c r="DMG2114" s="12"/>
      <c r="DMH2114" s="12"/>
      <c r="DMI2114" s="12"/>
      <c r="DMJ2114" s="12"/>
      <c r="DMK2114" s="12"/>
      <c r="DML2114" s="12"/>
      <c r="DMM2114" s="12"/>
      <c r="DMN2114" s="12"/>
      <c r="DMO2114" s="12"/>
      <c r="DMP2114" s="12"/>
      <c r="DMQ2114" s="12"/>
    </row>
    <row r="2115" spans="3044:3059">
      <c r="DMB2115" s="12"/>
      <c r="DMC2115" s="12"/>
      <c r="DMD2115" s="12"/>
      <c r="DME2115" s="12"/>
      <c r="DMF2115" s="12"/>
      <c r="DMG2115" s="12"/>
      <c r="DMH2115" s="12"/>
      <c r="DMI2115" s="12"/>
      <c r="DMJ2115" s="12"/>
      <c r="DMK2115" s="12"/>
      <c r="DML2115" s="12"/>
      <c r="DMM2115" s="12"/>
      <c r="DMN2115" s="12"/>
      <c r="DMO2115" s="12"/>
      <c r="DMP2115" s="12"/>
      <c r="DMQ2115" s="12"/>
    </row>
    <row r="2116" spans="3044:3059">
      <c r="DMB2116" s="12"/>
      <c r="DMC2116" s="12"/>
      <c r="DMD2116" s="12"/>
      <c r="DME2116" s="12"/>
      <c r="DMF2116" s="12"/>
      <c r="DMG2116" s="12"/>
      <c r="DMH2116" s="12"/>
      <c r="DMI2116" s="12"/>
      <c r="DMJ2116" s="12"/>
      <c r="DMK2116" s="12"/>
      <c r="DML2116" s="12"/>
      <c r="DMM2116" s="12"/>
      <c r="DMN2116" s="12"/>
      <c r="DMO2116" s="12"/>
      <c r="DMP2116" s="12"/>
      <c r="DMQ2116" s="12"/>
    </row>
    <row r="2117" spans="3044:3059">
      <c r="DMB2117" s="12"/>
      <c r="DMC2117" s="12"/>
      <c r="DMD2117" s="12"/>
      <c r="DME2117" s="12"/>
      <c r="DMF2117" s="12"/>
      <c r="DMG2117" s="12"/>
      <c r="DMH2117" s="12"/>
      <c r="DMI2117" s="12"/>
      <c r="DMJ2117" s="12"/>
      <c r="DMK2117" s="12"/>
      <c r="DML2117" s="12"/>
      <c r="DMM2117" s="12"/>
      <c r="DMN2117" s="12"/>
      <c r="DMO2117" s="12"/>
      <c r="DMP2117" s="12"/>
      <c r="DMQ2117" s="12"/>
    </row>
    <row r="2118" spans="3044:3059">
      <c r="DMB2118" s="12"/>
      <c r="DMC2118" s="12"/>
      <c r="DMD2118" s="12"/>
      <c r="DME2118" s="12"/>
      <c r="DMF2118" s="12"/>
      <c r="DMG2118" s="12"/>
      <c r="DMH2118" s="12"/>
      <c r="DMI2118" s="12"/>
      <c r="DMJ2118" s="12"/>
      <c r="DMK2118" s="12"/>
      <c r="DML2118" s="12"/>
      <c r="DMM2118" s="12"/>
      <c r="DMN2118" s="12"/>
      <c r="DMO2118" s="12"/>
      <c r="DMP2118" s="12"/>
      <c r="DMQ2118" s="12"/>
    </row>
    <row r="2119" spans="3044:3059">
      <c r="DMB2119" s="12"/>
      <c r="DMC2119" s="12"/>
      <c r="DMD2119" s="12"/>
      <c r="DME2119" s="12"/>
      <c r="DMF2119" s="12"/>
      <c r="DMG2119" s="12"/>
      <c r="DMH2119" s="12"/>
      <c r="DMI2119" s="12"/>
      <c r="DMJ2119" s="12"/>
      <c r="DMK2119" s="12"/>
      <c r="DML2119" s="12"/>
      <c r="DMM2119" s="12"/>
      <c r="DMN2119" s="12"/>
      <c r="DMO2119" s="12"/>
      <c r="DMP2119" s="12"/>
      <c r="DMQ2119" s="12"/>
    </row>
    <row r="2120" spans="3044:3059">
      <c r="DMB2120" s="12"/>
      <c r="DMC2120" s="12"/>
      <c r="DMD2120" s="12"/>
      <c r="DME2120" s="12"/>
      <c r="DMF2120" s="12"/>
      <c r="DMG2120" s="12"/>
      <c r="DMH2120" s="12"/>
      <c r="DMI2120" s="12"/>
      <c r="DMJ2120" s="12"/>
      <c r="DMK2120" s="12"/>
      <c r="DML2120" s="12"/>
      <c r="DMM2120" s="12"/>
      <c r="DMN2120" s="12"/>
      <c r="DMO2120" s="12"/>
      <c r="DMP2120" s="12"/>
      <c r="DMQ2120" s="12"/>
    </row>
    <row r="2121" spans="3044:3059">
      <c r="DMB2121" s="12"/>
      <c r="DMC2121" s="12"/>
      <c r="DMD2121" s="12"/>
      <c r="DME2121" s="12"/>
      <c r="DMF2121" s="12"/>
      <c r="DMG2121" s="12"/>
      <c r="DMH2121" s="12"/>
      <c r="DMI2121" s="12"/>
      <c r="DMJ2121" s="12"/>
      <c r="DMK2121" s="12"/>
      <c r="DML2121" s="12"/>
      <c r="DMM2121" s="12"/>
      <c r="DMN2121" s="12"/>
      <c r="DMO2121" s="12"/>
      <c r="DMP2121" s="12"/>
      <c r="DMQ2121" s="12"/>
    </row>
    <row r="2122" spans="3044:3059">
      <c r="DMB2122" s="12"/>
      <c r="DMC2122" s="12"/>
      <c r="DMD2122" s="12"/>
      <c r="DME2122" s="12"/>
      <c r="DMF2122" s="12"/>
      <c r="DMG2122" s="12"/>
      <c r="DMH2122" s="12"/>
      <c r="DMI2122" s="12"/>
      <c r="DMJ2122" s="12"/>
      <c r="DMK2122" s="12"/>
      <c r="DML2122" s="12"/>
      <c r="DMM2122" s="12"/>
      <c r="DMN2122" s="12"/>
      <c r="DMO2122" s="12"/>
      <c r="DMP2122" s="12"/>
      <c r="DMQ2122" s="12"/>
    </row>
    <row r="2123" spans="3044:3059">
      <c r="DMB2123" s="12"/>
      <c r="DMC2123" s="12"/>
      <c r="DMD2123" s="12"/>
      <c r="DME2123" s="12"/>
      <c r="DMF2123" s="12"/>
      <c r="DMG2123" s="12"/>
      <c r="DMH2123" s="12"/>
      <c r="DMI2123" s="12"/>
      <c r="DMJ2123" s="12"/>
      <c r="DMK2123" s="12"/>
      <c r="DML2123" s="12"/>
      <c r="DMM2123" s="12"/>
      <c r="DMN2123" s="12"/>
      <c r="DMO2123" s="12"/>
      <c r="DMP2123" s="12"/>
      <c r="DMQ2123" s="12"/>
    </row>
    <row r="2124" spans="3044:3059">
      <c r="DMB2124" s="12"/>
      <c r="DMC2124" s="12"/>
      <c r="DMD2124" s="12"/>
      <c r="DME2124" s="12"/>
      <c r="DMF2124" s="12"/>
      <c r="DMG2124" s="12"/>
      <c r="DMH2124" s="12"/>
      <c r="DMI2124" s="12"/>
      <c r="DMJ2124" s="12"/>
      <c r="DMK2124" s="12"/>
      <c r="DML2124" s="12"/>
      <c r="DMM2124" s="12"/>
      <c r="DMN2124" s="12"/>
      <c r="DMO2124" s="12"/>
      <c r="DMP2124" s="12"/>
      <c r="DMQ2124" s="12"/>
    </row>
    <row r="2125" spans="3044:3059">
      <c r="DMB2125" s="12"/>
      <c r="DMC2125" s="12"/>
      <c r="DMD2125" s="12"/>
      <c r="DME2125" s="12"/>
      <c r="DMF2125" s="12"/>
      <c r="DMG2125" s="12"/>
      <c r="DMH2125" s="12"/>
      <c r="DMI2125" s="12"/>
      <c r="DMJ2125" s="12"/>
      <c r="DMK2125" s="12"/>
      <c r="DML2125" s="12"/>
      <c r="DMM2125" s="12"/>
      <c r="DMN2125" s="12"/>
      <c r="DMO2125" s="12"/>
      <c r="DMP2125" s="12"/>
      <c r="DMQ2125" s="12"/>
    </row>
    <row r="2126" spans="3044:3059">
      <c r="DMB2126" s="12"/>
      <c r="DMC2126" s="12"/>
      <c r="DMD2126" s="12"/>
      <c r="DME2126" s="12"/>
      <c r="DMF2126" s="12"/>
      <c r="DMG2126" s="12"/>
      <c r="DMH2126" s="12"/>
      <c r="DMI2126" s="12"/>
      <c r="DMJ2126" s="12"/>
      <c r="DMK2126" s="12"/>
      <c r="DML2126" s="12"/>
      <c r="DMM2126" s="12"/>
      <c r="DMN2126" s="12"/>
      <c r="DMO2126" s="12"/>
      <c r="DMP2126" s="12"/>
      <c r="DMQ2126" s="12"/>
    </row>
    <row r="2127" spans="3044:3059">
      <c r="DMB2127" s="12"/>
      <c r="DMC2127" s="12"/>
      <c r="DMD2127" s="12"/>
      <c r="DME2127" s="12"/>
      <c r="DMF2127" s="12"/>
      <c r="DMG2127" s="12"/>
      <c r="DMH2127" s="12"/>
      <c r="DMI2127" s="12"/>
      <c r="DMJ2127" s="12"/>
      <c r="DMK2127" s="12"/>
      <c r="DML2127" s="12"/>
      <c r="DMM2127" s="12"/>
      <c r="DMN2127" s="12"/>
      <c r="DMO2127" s="12"/>
      <c r="DMP2127" s="12"/>
      <c r="DMQ2127" s="12"/>
    </row>
    <row r="2128" spans="3044:3059">
      <c r="DMB2128" s="12"/>
      <c r="DMC2128" s="12"/>
      <c r="DMD2128" s="12"/>
      <c r="DME2128" s="12"/>
      <c r="DMF2128" s="12"/>
      <c r="DMG2128" s="12"/>
      <c r="DMH2128" s="12"/>
      <c r="DMI2128" s="12"/>
      <c r="DMJ2128" s="12"/>
      <c r="DMK2128" s="12"/>
      <c r="DML2128" s="12"/>
      <c r="DMM2128" s="12"/>
      <c r="DMN2128" s="12"/>
      <c r="DMO2128" s="12"/>
      <c r="DMP2128" s="12"/>
      <c r="DMQ2128" s="12"/>
    </row>
    <row r="2129" spans="3044:3059">
      <c r="DMB2129" s="12"/>
      <c r="DMC2129" s="12"/>
      <c r="DMD2129" s="12"/>
      <c r="DME2129" s="12"/>
      <c r="DMF2129" s="12"/>
      <c r="DMG2129" s="12"/>
      <c r="DMH2129" s="12"/>
      <c r="DMI2129" s="12"/>
      <c r="DMJ2129" s="12"/>
      <c r="DMK2129" s="12"/>
      <c r="DML2129" s="12"/>
      <c r="DMM2129" s="12"/>
      <c r="DMN2129" s="12"/>
      <c r="DMO2129" s="12"/>
      <c r="DMP2129" s="12"/>
      <c r="DMQ2129" s="12"/>
    </row>
    <row r="2130" spans="3044:3059">
      <c r="DMB2130" s="12"/>
      <c r="DMC2130" s="12"/>
      <c r="DMD2130" s="12"/>
      <c r="DME2130" s="12"/>
      <c r="DMF2130" s="12"/>
      <c r="DMG2130" s="12"/>
      <c r="DMH2130" s="12"/>
      <c r="DMI2130" s="12"/>
      <c r="DMJ2130" s="12"/>
      <c r="DMK2130" s="12"/>
      <c r="DML2130" s="12"/>
      <c r="DMM2130" s="12"/>
      <c r="DMN2130" s="12"/>
      <c r="DMO2130" s="12"/>
      <c r="DMP2130" s="12"/>
      <c r="DMQ2130" s="12"/>
    </row>
    <row r="2131" spans="3044:3059">
      <c r="DMB2131" s="12"/>
      <c r="DMC2131" s="12"/>
      <c r="DMD2131" s="12"/>
      <c r="DME2131" s="12"/>
      <c r="DMF2131" s="12"/>
      <c r="DMG2131" s="12"/>
      <c r="DMH2131" s="12"/>
      <c r="DMI2131" s="12"/>
      <c r="DMJ2131" s="12"/>
      <c r="DMK2131" s="12"/>
      <c r="DML2131" s="12"/>
      <c r="DMM2131" s="12"/>
      <c r="DMN2131" s="12"/>
      <c r="DMO2131" s="12"/>
      <c r="DMP2131" s="12"/>
      <c r="DMQ2131" s="12"/>
    </row>
    <row r="2132" spans="3044:3059">
      <c r="DMB2132" s="12"/>
      <c r="DMC2132" s="12"/>
      <c r="DMD2132" s="12"/>
      <c r="DME2132" s="12"/>
      <c r="DMF2132" s="12"/>
      <c r="DMG2132" s="12"/>
      <c r="DMH2132" s="12"/>
      <c r="DMI2132" s="12"/>
      <c r="DMJ2132" s="12"/>
      <c r="DMK2132" s="12"/>
      <c r="DML2132" s="12"/>
      <c r="DMM2132" s="12"/>
      <c r="DMN2132" s="12"/>
      <c r="DMO2132" s="12"/>
      <c r="DMP2132" s="12"/>
      <c r="DMQ2132" s="12"/>
    </row>
    <row r="2133" spans="3044:3059">
      <c r="DMB2133" s="12"/>
      <c r="DMC2133" s="12"/>
      <c r="DMD2133" s="12"/>
      <c r="DME2133" s="12"/>
      <c r="DMF2133" s="12"/>
      <c r="DMG2133" s="12"/>
      <c r="DMH2133" s="12"/>
      <c r="DMI2133" s="12"/>
      <c r="DMJ2133" s="12"/>
      <c r="DMK2133" s="12"/>
      <c r="DML2133" s="12"/>
      <c r="DMM2133" s="12"/>
      <c r="DMN2133" s="12"/>
      <c r="DMO2133" s="12"/>
      <c r="DMP2133" s="12"/>
      <c r="DMQ2133" s="12"/>
    </row>
    <row r="2134" spans="3044:3059">
      <c r="DMB2134" s="12"/>
      <c r="DMC2134" s="12"/>
      <c r="DMD2134" s="12"/>
      <c r="DME2134" s="12"/>
      <c r="DMF2134" s="12"/>
      <c r="DMG2134" s="12"/>
      <c r="DMH2134" s="12"/>
      <c r="DMI2134" s="12"/>
      <c r="DMJ2134" s="12"/>
      <c r="DMK2134" s="12"/>
      <c r="DML2134" s="12"/>
      <c r="DMM2134" s="12"/>
      <c r="DMN2134" s="12"/>
      <c r="DMO2134" s="12"/>
      <c r="DMP2134" s="12"/>
      <c r="DMQ2134" s="12"/>
    </row>
    <row r="2135" spans="3044:3059">
      <c r="DMB2135" s="12"/>
      <c r="DMC2135" s="12"/>
      <c r="DMD2135" s="12"/>
      <c r="DME2135" s="12"/>
      <c r="DMF2135" s="12"/>
      <c r="DMG2135" s="12"/>
      <c r="DMH2135" s="12"/>
      <c r="DMI2135" s="12"/>
      <c r="DMJ2135" s="12"/>
      <c r="DMK2135" s="12"/>
      <c r="DML2135" s="12"/>
      <c r="DMM2135" s="12"/>
      <c r="DMN2135" s="12"/>
      <c r="DMO2135" s="12"/>
      <c r="DMP2135" s="12"/>
      <c r="DMQ2135" s="12"/>
    </row>
    <row r="2136" spans="3044:3059">
      <c r="DMB2136" s="12"/>
      <c r="DMC2136" s="12"/>
      <c r="DMD2136" s="12"/>
      <c r="DME2136" s="12"/>
      <c r="DMF2136" s="12"/>
      <c r="DMG2136" s="12"/>
      <c r="DMH2136" s="12"/>
      <c r="DMI2136" s="12"/>
      <c r="DMJ2136" s="12"/>
      <c r="DMK2136" s="12"/>
      <c r="DML2136" s="12"/>
      <c r="DMM2136" s="12"/>
      <c r="DMN2136" s="12"/>
      <c r="DMO2136" s="12"/>
      <c r="DMP2136" s="12"/>
      <c r="DMQ2136" s="12"/>
    </row>
    <row r="2137" spans="3044:3059">
      <c r="DMB2137" s="12"/>
      <c r="DMC2137" s="12"/>
      <c r="DMD2137" s="12"/>
      <c r="DME2137" s="12"/>
      <c r="DMF2137" s="12"/>
      <c r="DMG2137" s="12"/>
      <c r="DMH2137" s="12"/>
      <c r="DMI2137" s="12"/>
      <c r="DMJ2137" s="12"/>
      <c r="DMK2137" s="12"/>
      <c r="DML2137" s="12"/>
      <c r="DMM2137" s="12"/>
      <c r="DMN2137" s="12"/>
      <c r="DMO2137" s="12"/>
      <c r="DMP2137" s="12"/>
      <c r="DMQ2137" s="12"/>
    </row>
    <row r="2138" spans="3044:3059">
      <c r="DMB2138" s="12"/>
      <c r="DMC2138" s="12"/>
      <c r="DMD2138" s="12"/>
      <c r="DME2138" s="12"/>
      <c r="DMF2138" s="12"/>
      <c r="DMG2138" s="12"/>
      <c r="DMH2138" s="12"/>
      <c r="DMI2138" s="12"/>
      <c r="DMJ2138" s="12"/>
      <c r="DMK2138" s="12"/>
      <c r="DML2138" s="12"/>
      <c r="DMM2138" s="12"/>
      <c r="DMN2138" s="12"/>
      <c r="DMO2138" s="12"/>
      <c r="DMP2138" s="12"/>
      <c r="DMQ2138" s="12"/>
    </row>
    <row r="2139" spans="3044:3059">
      <c r="DMB2139" s="12"/>
      <c r="DMC2139" s="12"/>
      <c r="DMD2139" s="12"/>
      <c r="DME2139" s="12"/>
      <c r="DMF2139" s="12"/>
      <c r="DMG2139" s="12"/>
      <c r="DMH2139" s="12"/>
      <c r="DMI2139" s="12"/>
      <c r="DMJ2139" s="12"/>
      <c r="DMK2139" s="12"/>
      <c r="DML2139" s="12"/>
      <c r="DMM2139" s="12"/>
      <c r="DMN2139" s="12"/>
      <c r="DMO2139" s="12"/>
      <c r="DMP2139" s="12"/>
      <c r="DMQ2139" s="12"/>
    </row>
    <row r="2140" spans="3044:3059">
      <c r="DMB2140" s="12"/>
      <c r="DMC2140" s="12"/>
      <c r="DMD2140" s="12"/>
      <c r="DME2140" s="12"/>
      <c r="DMF2140" s="12"/>
      <c r="DMG2140" s="12"/>
      <c r="DMH2140" s="12"/>
      <c r="DMI2140" s="12"/>
      <c r="DMJ2140" s="12"/>
      <c r="DMK2140" s="12"/>
      <c r="DML2140" s="12"/>
      <c r="DMM2140" s="12"/>
      <c r="DMN2140" s="12"/>
      <c r="DMO2140" s="12"/>
      <c r="DMP2140" s="12"/>
      <c r="DMQ2140" s="12"/>
    </row>
    <row r="2141" spans="3044:3059">
      <c r="DMB2141" s="12"/>
      <c r="DMC2141" s="12"/>
      <c r="DMD2141" s="12"/>
      <c r="DME2141" s="12"/>
      <c r="DMF2141" s="12"/>
      <c r="DMG2141" s="12"/>
      <c r="DMH2141" s="12"/>
      <c r="DMI2141" s="12"/>
      <c r="DMJ2141" s="12"/>
      <c r="DMK2141" s="12"/>
      <c r="DML2141" s="12"/>
      <c r="DMM2141" s="12"/>
      <c r="DMN2141" s="12"/>
      <c r="DMO2141" s="12"/>
      <c r="DMP2141" s="12"/>
      <c r="DMQ2141" s="12"/>
    </row>
    <row r="2142" spans="3044:3059">
      <c r="DMB2142" s="12"/>
      <c r="DMC2142" s="12"/>
      <c r="DMD2142" s="12"/>
      <c r="DME2142" s="12"/>
      <c r="DMF2142" s="12"/>
      <c r="DMG2142" s="12"/>
      <c r="DMH2142" s="12"/>
      <c r="DMI2142" s="12"/>
      <c r="DMJ2142" s="12"/>
      <c r="DMK2142" s="12"/>
      <c r="DML2142" s="12"/>
      <c r="DMM2142" s="12"/>
      <c r="DMN2142" s="12"/>
      <c r="DMO2142" s="12"/>
      <c r="DMP2142" s="12"/>
      <c r="DMQ2142" s="12"/>
    </row>
    <row r="2143" spans="3044:3059">
      <c r="DMB2143" s="12"/>
      <c r="DMC2143" s="12"/>
      <c r="DMD2143" s="12"/>
      <c r="DME2143" s="12"/>
      <c r="DMF2143" s="12"/>
      <c r="DMG2143" s="12"/>
      <c r="DMH2143" s="12"/>
      <c r="DMI2143" s="12"/>
      <c r="DMJ2143" s="12"/>
      <c r="DMK2143" s="12"/>
      <c r="DML2143" s="12"/>
      <c r="DMM2143" s="12"/>
      <c r="DMN2143" s="12"/>
      <c r="DMO2143" s="12"/>
      <c r="DMP2143" s="12"/>
      <c r="DMQ2143" s="12"/>
    </row>
    <row r="2144" spans="3044:3059">
      <c r="DMB2144" s="12"/>
      <c r="DMC2144" s="12"/>
      <c r="DMD2144" s="12"/>
      <c r="DME2144" s="12"/>
      <c r="DMF2144" s="12"/>
      <c r="DMG2144" s="12"/>
      <c r="DMH2144" s="12"/>
      <c r="DMI2144" s="12"/>
      <c r="DMJ2144" s="12"/>
      <c r="DMK2144" s="12"/>
      <c r="DML2144" s="12"/>
      <c r="DMM2144" s="12"/>
      <c r="DMN2144" s="12"/>
      <c r="DMO2144" s="12"/>
      <c r="DMP2144" s="12"/>
      <c r="DMQ2144" s="12"/>
    </row>
    <row r="2145" spans="3044:3059">
      <c r="DMB2145" s="12"/>
      <c r="DMC2145" s="12"/>
      <c r="DMD2145" s="12"/>
      <c r="DME2145" s="12"/>
      <c r="DMF2145" s="12"/>
      <c r="DMG2145" s="12"/>
      <c r="DMH2145" s="12"/>
      <c r="DMI2145" s="12"/>
      <c r="DMJ2145" s="12"/>
      <c r="DMK2145" s="12"/>
      <c r="DML2145" s="12"/>
      <c r="DMM2145" s="12"/>
      <c r="DMN2145" s="12"/>
      <c r="DMO2145" s="12"/>
      <c r="DMP2145" s="12"/>
      <c r="DMQ2145" s="12"/>
    </row>
    <row r="2146" spans="3044:3059">
      <c r="DMB2146" s="12"/>
      <c r="DMC2146" s="12"/>
      <c r="DMD2146" s="12"/>
      <c r="DME2146" s="12"/>
      <c r="DMF2146" s="12"/>
      <c r="DMG2146" s="12"/>
      <c r="DMH2146" s="12"/>
      <c r="DMI2146" s="12"/>
      <c r="DMJ2146" s="12"/>
      <c r="DMK2146" s="12"/>
      <c r="DML2146" s="12"/>
      <c r="DMM2146" s="12"/>
      <c r="DMN2146" s="12"/>
      <c r="DMO2146" s="12"/>
      <c r="DMP2146" s="12"/>
      <c r="DMQ2146" s="12"/>
    </row>
    <row r="2147" spans="3044:3059">
      <c r="DMB2147" s="12"/>
      <c r="DMC2147" s="12"/>
      <c r="DMD2147" s="12"/>
      <c r="DME2147" s="12"/>
      <c r="DMF2147" s="12"/>
      <c r="DMG2147" s="12"/>
      <c r="DMH2147" s="12"/>
      <c r="DMI2147" s="12"/>
      <c r="DMJ2147" s="12"/>
      <c r="DMK2147" s="12"/>
      <c r="DML2147" s="12"/>
      <c r="DMM2147" s="12"/>
      <c r="DMN2147" s="12"/>
      <c r="DMO2147" s="12"/>
      <c r="DMP2147" s="12"/>
      <c r="DMQ2147" s="12"/>
    </row>
    <row r="2148" spans="3044:3059">
      <c r="DMB2148" s="12"/>
      <c r="DMC2148" s="12"/>
      <c r="DMD2148" s="12"/>
      <c r="DME2148" s="12"/>
      <c r="DMF2148" s="12"/>
      <c r="DMG2148" s="12"/>
      <c r="DMH2148" s="12"/>
      <c r="DMI2148" s="12"/>
      <c r="DMJ2148" s="12"/>
      <c r="DMK2148" s="12"/>
      <c r="DML2148" s="12"/>
      <c r="DMM2148" s="12"/>
      <c r="DMN2148" s="12"/>
      <c r="DMO2148" s="12"/>
      <c r="DMP2148" s="12"/>
      <c r="DMQ2148" s="12"/>
    </row>
    <row r="2149" spans="3044:3059">
      <c r="DMB2149" s="12"/>
      <c r="DMC2149" s="12"/>
      <c r="DMD2149" s="12"/>
      <c r="DME2149" s="12"/>
      <c r="DMF2149" s="12"/>
      <c r="DMG2149" s="12"/>
      <c r="DMH2149" s="12"/>
      <c r="DMI2149" s="12"/>
      <c r="DMJ2149" s="12"/>
      <c r="DMK2149" s="12"/>
      <c r="DML2149" s="12"/>
      <c r="DMM2149" s="12"/>
      <c r="DMN2149" s="12"/>
      <c r="DMO2149" s="12"/>
      <c r="DMP2149" s="12"/>
      <c r="DMQ2149" s="12"/>
    </row>
    <row r="2150" spans="3044:3059">
      <c r="DMB2150" s="12"/>
      <c r="DMC2150" s="12"/>
      <c r="DMD2150" s="12"/>
      <c r="DME2150" s="12"/>
      <c r="DMF2150" s="12"/>
      <c r="DMG2150" s="12"/>
      <c r="DMH2150" s="12"/>
      <c r="DMI2150" s="12"/>
      <c r="DMJ2150" s="12"/>
      <c r="DMK2150" s="12"/>
      <c r="DML2150" s="12"/>
      <c r="DMM2150" s="12"/>
      <c r="DMN2150" s="12"/>
      <c r="DMO2150" s="12"/>
      <c r="DMP2150" s="12"/>
      <c r="DMQ2150" s="12"/>
    </row>
    <row r="2151" spans="3044:3059">
      <c r="DMB2151" s="12"/>
      <c r="DMC2151" s="12"/>
      <c r="DMD2151" s="12"/>
      <c r="DME2151" s="12"/>
      <c r="DMF2151" s="12"/>
      <c r="DMG2151" s="12"/>
      <c r="DMH2151" s="12"/>
      <c r="DMI2151" s="12"/>
      <c r="DMJ2151" s="12"/>
      <c r="DMK2151" s="12"/>
      <c r="DML2151" s="12"/>
      <c r="DMM2151" s="12"/>
      <c r="DMN2151" s="12"/>
      <c r="DMO2151" s="12"/>
      <c r="DMP2151" s="12"/>
      <c r="DMQ2151" s="12"/>
    </row>
    <row r="2152" spans="3044:3059">
      <c r="DMB2152" s="12"/>
      <c r="DMC2152" s="12"/>
      <c r="DMD2152" s="12"/>
      <c r="DME2152" s="12"/>
      <c r="DMF2152" s="12"/>
      <c r="DMG2152" s="12"/>
      <c r="DMH2152" s="12"/>
      <c r="DMI2152" s="12"/>
      <c r="DMJ2152" s="12"/>
      <c r="DMK2152" s="12"/>
      <c r="DML2152" s="12"/>
      <c r="DMM2152" s="12"/>
      <c r="DMN2152" s="12"/>
      <c r="DMO2152" s="12"/>
      <c r="DMP2152" s="12"/>
      <c r="DMQ2152" s="12"/>
    </row>
    <row r="2153" spans="3044:3059">
      <c r="DMB2153" s="12"/>
      <c r="DMC2153" s="12"/>
      <c r="DMD2153" s="12"/>
      <c r="DME2153" s="12"/>
      <c r="DMF2153" s="12"/>
      <c r="DMG2153" s="12"/>
      <c r="DMH2153" s="12"/>
      <c r="DMI2153" s="12"/>
      <c r="DMJ2153" s="12"/>
      <c r="DMK2153" s="12"/>
      <c r="DML2153" s="12"/>
      <c r="DMM2153" s="12"/>
      <c r="DMN2153" s="12"/>
      <c r="DMO2153" s="12"/>
      <c r="DMP2153" s="12"/>
      <c r="DMQ2153" s="12"/>
    </row>
    <row r="2154" spans="3044:3059">
      <c r="DMB2154" s="12"/>
      <c r="DMC2154" s="12"/>
      <c r="DMD2154" s="12"/>
      <c r="DME2154" s="12"/>
      <c r="DMF2154" s="12"/>
      <c r="DMG2154" s="12"/>
      <c r="DMH2154" s="12"/>
      <c r="DMI2154" s="12"/>
      <c r="DMJ2154" s="12"/>
      <c r="DMK2154" s="12"/>
      <c r="DML2154" s="12"/>
      <c r="DMM2154" s="12"/>
      <c r="DMN2154" s="12"/>
      <c r="DMO2154" s="12"/>
      <c r="DMP2154" s="12"/>
      <c r="DMQ2154" s="12"/>
    </row>
    <row r="2155" spans="3044:3059">
      <c r="DMB2155" s="12"/>
      <c r="DMC2155" s="12"/>
      <c r="DMD2155" s="12"/>
      <c r="DME2155" s="12"/>
      <c r="DMF2155" s="12"/>
      <c r="DMG2155" s="12"/>
      <c r="DMH2155" s="12"/>
      <c r="DMI2155" s="12"/>
      <c r="DMJ2155" s="12"/>
      <c r="DMK2155" s="12"/>
      <c r="DML2155" s="12"/>
      <c r="DMM2155" s="12"/>
      <c r="DMN2155" s="12"/>
      <c r="DMO2155" s="12"/>
      <c r="DMP2155" s="12"/>
      <c r="DMQ2155" s="12"/>
    </row>
    <row r="2156" spans="3044:3059">
      <c r="DMB2156" s="12"/>
      <c r="DMC2156" s="12"/>
      <c r="DMD2156" s="12"/>
      <c r="DME2156" s="12"/>
      <c r="DMF2156" s="12"/>
      <c r="DMG2156" s="12"/>
      <c r="DMH2156" s="12"/>
      <c r="DMI2156" s="12"/>
      <c r="DMJ2156" s="12"/>
      <c r="DMK2156" s="12"/>
      <c r="DML2156" s="12"/>
      <c r="DMM2156" s="12"/>
      <c r="DMN2156" s="12"/>
      <c r="DMO2156" s="12"/>
      <c r="DMP2156" s="12"/>
      <c r="DMQ2156" s="12"/>
    </row>
    <row r="2157" spans="3044:3059">
      <c r="DMB2157" s="12"/>
      <c r="DMC2157" s="12"/>
      <c r="DMD2157" s="12"/>
      <c r="DME2157" s="12"/>
      <c r="DMF2157" s="12"/>
      <c r="DMG2157" s="12"/>
      <c r="DMH2157" s="12"/>
      <c r="DMI2157" s="12"/>
      <c r="DMJ2157" s="12"/>
      <c r="DMK2157" s="12"/>
      <c r="DML2157" s="12"/>
      <c r="DMM2157" s="12"/>
      <c r="DMN2157" s="12"/>
      <c r="DMO2157" s="12"/>
      <c r="DMP2157" s="12"/>
      <c r="DMQ2157" s="12"/>
    </row>
    <row r="2158" spans="3044:3059">
      <c r="DMB2158" s="12"/>
      <c r="DMC2158" s="12"/>
      <c r="DMD2158" s="12"/>
      <c r="DME2158" s="12"/>
      <c r="DMF2158" s="12"/>
      <c r="DMG2158" s="12"/>
      <c r="DMH2158" s="12"/>
      <c r="DMI2158" s="12"/>
      <c r="DMJ2158" s="12"/>
      <c r="DMK2158" s="12"/>
      <c r="DML2158" s="12"/>
      <c r="DMM2158" s="12"/>
      <c r="DMN2158" s="12"/>
      <c r="DMO2158" s="12"/>
      <c r="DMP2158" s="12"/>
      <c r="DMQ2158" s="12"/>
    </row>
    <row r="2159" spans="3044:3059">
      <c r="DMB2159" s="12"/>
      <c r="DMC2159" s="12"/>
      <c r="DMD2159" s="12"/>
      <c r="DME2159" s="12"/>
      <c r="DMF2159" s="12"/>
      <c r="DMG2159" s="12"/>
      <c r="DMH2159" s="12"/>
      <c r="DMI2159" s="12"/>
      <c r="DMJ2159" s="12"/>
      <c r="DMK2159" s="12"/>
      <c r="DML2159" s="12"/>
      <c r="DMM2159" s="12"/>
      <c r="DMN2159" s="12"/>
      <c r="DMO2159" s="12"/>
      <c r="DMP2159" s="12"/>
      <c r="DMQ2159" s="12"/>
    </row>
    <row r="2160" spans="3044:3059">
      <c r="DMB2160" s="12"/>
      <c r="DMC2160" s="12"/>
      <c r="DMD2160" s="12"/>
      <c r="DME2160" s="12"/>
      <c r="DMF2160" s="12"/>
      <c r="DMG2160" s="12"/>
      <c r="DMH2160" s="12"/>
      <c r="DMI2160" s="12"/>
      <c r="DMJ2160" s="12"/>
      <c r="DMK2160" s="12"/>
      <c r="DML2160" s="12"/>
      <c r="DMM2160" s="12"/>
      <c r="DMN2160" s="12"/>
      <c r="DMO2160" s="12"/>
      <c r="DMP2160" s="12"/>
      <c r="DMQ2160" s="12"/>
    </row>
    <row r="2161" spans="3044:3059">
      <c r="DMB2161" s="12"/>
      <c r="DMC2161" s="12"/>
      <c r="DMD2161" s="12"/>
      <c r="DME2161" s="12"/>
      <c r="DMF2161" s="12"/>
      <c r="DMG2161" s="12"/>
      <c r="DMH2161" s="12"/>
      <c r="DMI2161" s="12"/>
      <c r="DMJ2161" s="12"/>
      <c r="DMK2161" s="12"/>
      <c r="DML2161" s="12"/>
      <c r="DMM2161" s="12"/>
      <c r="DMN2161" s="12"/>
      <c r="DMO2161" s="12"/>
      <c r="DMP2161" s="12"/>
      <c r="DMQ2161" s="12"/>
    </row>
    <row r="2162" spans="3044:3059">
      <c r="DMB2162" s="12"/>
      <c r="DMC2162" s="12"/>
      <c r="DMD2162" s="12"/>
      <c r="DME2162" s="12"/>
      <c r="DMF2162" s="12"/>
      <c r="DMG2162" s="12"/>
      <c r="DMH2162" s="12"/>
      <c r="DMI2162" s="12"/>
      <c r="DMJ2162" s="12"/>
      <c r="DMK2162" s="12"/>
      <c r="DML2162" s="12"/>
      <c r="DMM2162" s="12"/>
      <c r="DMN2162" s="12"/>
      <c r="DMO2162" s="12"/>
      <c r="DMP2162" s="12"/>
      <c r="DMQ2162" s="12"/>
    </row>
    <row r="2163" spans="3044:3059">
      <c r="DMB2163" s="12"/>
      <c r="DMC2163" s="12"/>
      <c r="DMD2163" s="12"/>
      <c r="DME2163" s="12"/>
      <c r="DMF2163" s="12"/>
      <c r="DMG2163" s="12"/>
      <c r="DMH2163" s="12"/>
      <c r="DMI2163" s="12"/>
      <c r="DMJ2163" s="12"/>
      <c r="DMK2163" s="12"/>
      <c r="DML2163" s="12"/>
      <c r="DMM2163" s="12"/>
      <c r="DMN2163" s="12"/>
      <c r="DMO2163" s="12"/>
      <c r="DMP2163" s="12"/>
      <c r="DMQ2163" s="12"/>
    </row>
    <row r="2164" spans="3044:3059">
      <c r="DMB2164" s="12"/>
      <c r="DMC2164" s="12"/>
      <c r="DMD2164" s="12"/>
      <c r="DME2164" s="12"/>
      <c r="DMF2164" s="12"/>
      <c r="DMG2164" s="12"/>
      <c r="DMH2164" s="12"/>
      <c r="DMI2164" s="12"/>
      <c r="DMJ2164" s="12"/>
      <c r="DMK2164" s="12"/>
      <c r="DML2164" s="12"/>
      <c r="DMM2164" s="12"/>
      <c r="DMN2164" s="12"/>
      <c r="DMO2164" s="12"/>
      <c r="DMP2164" s="12"/>
      <c r="DMQ2164" s="12"/>
    </row>
    <row r="2165" spans="3044:3059">
      <c r="DMB2165" s="12"/>
      <c r="DMC2165" s="12"/>
      <c r="DMD2165" s="12"/>
      <c r="DME2165" s="12"/>
      <c r="DMF2165" s="12"/>
      <c r="DMG2165" s="12"/>
      <c r="DMH2165" s="12"/>
      <c r="DMI2165" s="12"/>
      <c r="DMJ2165" s="12"/>
      <c r="DMK2165" s="12"/>
      <c r="DML2165" s="12"/>
      <c r="DMM2165" s="12"/>
      <c r="DMN2165" s="12"/>
      <c r="DMO2165" s="12"/>
      <c r="DMP2165" s="12"/>
      <c r="DMQ2165" s="12"/>
    </row>
    <row r="2166" spans="3044:3059">
      <c r="DMB2166" s="12"/>
      <c r="DMC2166" s="12"/>
      <c r="DMD2166" s="12"/>
      <c r="DME2166" s="12"/>
      <c r="DMF2166" s="12"/>
      <c r="DMG2166" s="12"/>
      <c r="DMH2166" s="12"/>
      <c r="DMI2166" s="12"/>
      <c r="DMJ2166" s="12"/>
      <c r="DMK2166" s="12"/>
      <c r="DML2166" s="12"/>
      <c r="DMM2166" s="12"/>
      <c r="DMN2166" s="12"/>
      <c r="DMO2166" s="12"/>
      <c r="DMP2166" s="12"/>
      <c r="DMQ2166" s="12"/>
    </row>
    <row r="2167" spans="3044:3059">
      <c r="DMB2167" s="12"/>
      <c r="DMC2167" s="12"/>
      <c r="DMD2167" s="12"/>
      <c r="DME2167" s="12"/>
      <c r="DMF2167" s="12"/>
      <c r="DMG2167" s="12"/>
      <c r="DMH2167" s="12"/>
      <c r="DMI2167" s="12"/>
      <c r="DMJ2167" s="12"/>
      <c r="DMK2167" s="12"/>
      <c r="DML2167" s="12"/>
      <c r="DMM2167" s="12"/>
      <c r="DMN2167" s="12"/>
      <c r="DMO2167" s="12"/>
      <c r="DMP2167" s="12"/>
      <c r="DMQ2167" s="12"/>
    </row>
    <row r="2168" spans="3044:3059">
      <c r="DMB2168" s="12"/>
      <c r="DMC2168" s="12"/>
      <c r="DMD2168" s="12"/>
      <c r="DME2168" s="12"/>
      <c r="DMF2168" s="12"/>
      <c r="DMG2168" s="12"/>
      <c r="DMH2168" s="12"/>
      <c r="DMI2168" s="12"/>
      <c r="DMJ2168" s="12"/>
      <c r="DMK2168" s="12"/>
      <c r="DML2168" s="12"/>
      <c r="DMM2168" s="12"/>
      <c r="DMN2168" s="12"/>
      <c r="DMO2168" s="12"/>
      <c r="DMP2168" s="12"/>
      <c r="DMQ2168" s="12"/>
    </row>
    <row r="2169" spans="3044:3059">
      <c r="DMB2169" s="12"/>
      <c r="DMC2169" s="12"/>
      <c r="DMD2169" s="12"/>
      <c r="DME2169" s="12"/>
      <c r="DMF2169" s="12"/>
      <c r="DMG2169" s="12"/>
      <c r="DMH2169" s="12"/>
      <c r="DMI2169" s="12"/>
      <c r="DMJ2169" s="12"/>
      <c r="DMK2169" s="12"/>
      <c r="DML2169" s="12"/>
      <c r="DMM2169" s="12"/>
      <c r="DMN2169" s="12"/>
      <c r="DMO2169" s="12"/>
      <c r="DMP2169" s="12"/>
      <c r="DMQ2169" s="12"/>
    </row>
    <row r="2170" spans="3044:3059">
      <c r="DMB2170" s="12"/>
      <c r="DMC2170" s="12"/>
      <c r="DMD2170" s="12"/>
      <c r="DME2170" s="12"/>
      <c r="DMF2170" s="12"/>
      <c r="DMG2170" s="12"/>
      <c r="DMH2170" s="12"/>
      <c r="DMI2170" s="12"/>
      <c r="DMJ2170" s="12"/>
      <c r="DMK2170" s="12"/>
      <c r="DML2170" s="12"/>
      <c r="DMM2170" s="12"/>
      <c r="DMN2170" s="12"/>
      <c r="DMO2170" s="12"/>
      <c r="DMP2170" s="12"/>
      <c r="DMQ2170" s="12"/>
    </row>
    <row r="2171" spans="3044:3059">
      <c r="DMB2171" s="12"/>
      <c r="DMC2171" s="12"/>
      <c r="DMD2171" s="12"/>
      <c r="DME2171" s="12"/>
      <c r="DMF2171" s="12"/>
      <c r="DMG2171" s="12"/>
      <c r="DMH2171" s="12"/>
      <c r="DMI2171" s="12"/>
      <c r="DMJ2171" s="12"/>
      <c r="DMK2171" s="12"/>
      <c r="DML2171" s="12"/>
      <c r="DMM2171" s="12"/>
      <c r="DMN2171" s="12"/>
      <c r="DMO2171" s="12"/>
      <c r="DMP2171" s="12"/>
      <c r="DMQ2171" s="12"/>
    </row>
    <row r="2172" spans="3044:3059">
      <c r="DMB2172" s="12"/>
      <c r="DMC2172" s="12"/>
      <c r="DMD2172" s="12"/>
      <c r="DME2172" s="12"/>
      <c r="DMF2172" s="12"/>
      <c r="DMG2172" s="12"/>
      <c r="DMH2172" s="12"/>
      <c r="DMI2172" s="12"/>
      <c r="DMJ2172" s="12"/>
      <c r="DMK2172" s="12"/>
      <c r="DML2172" s="12"/>
      <c r="DMM2172" s="12"/>
      <c r="DMN2172" s="12"/>
      <c r="DMO2172" s="12"/>
      <c r="DMP2172" s="12"/>
      <c r="DMQ2172" s="12"/>
    </row>
    <row r="2173" spans="3044:3059">
      <c r="DMB2173" s="12"/>
      <c r="DMC2173" s="12"/>
      <c r="DMD2173" s="12"/>
      <c r="DME2173" s="12"/>
      <c r="DMF2173" s="12"/>
      <c r="DMG2173" s="12"/>
      <c r="DMH2173" s="12"/>
      <c r="DMI2173" s="12"/>
      <c r="DMJ2173" s="12"/>
      <c r="DMK2173" s="12"/>
      <c r="DML2173" s="12"/>
      <c r="DMM2173" s="12"/>
      <c r="DMN2173" s="12"/>
      <c r="DMO2173" s="12"/>
      <c r="DMP2173" s="12"/>
      <c r="DMQ2173" s="12"/>
    </row>
    <row r="2174" spans="3044:3059">
      <c r="DMB2174" s="12"/>
      <c r="DMC2174" s="12"/>
      <c r="DMD2174" s="12"/>
      <c r="DME2174" s="12"/>
      <c r="DMF2174" s="12"/>
      <c r="DMG2174" s="12"/>
      <c r="DMH2174" s="12"/>
      <c r="DMI2174" s="12"/>
      <c r="DMJ2174" s="12"/>
      <c r="DMK2174" s="12"/>
      <c r="DML2174" s="12"/>
      <c r="DMM2174" s="12"/>
      <c r="DMN2174" s="12"/>
      <c r="DMO2174" s="12"/>
      <c r="DMP2174" s="12"/>
      <c r="DMQ2174" s="12"/>
    </row>
    <row r="2175" spans="3044:3059">
      <c r="DMB2175" s="12"/>
      <c r="DMC2175" s="12"/>
      <c r="DMD2175" s="12"/>
      <c r="DME2175" s="12"/>
      <c r="DMF2175" s="12"/>
      <c r="DMG2175" s="12"/>
      <c r="DMH2175" s="12"/>
      <c r="DMI2175" s="12"/>
      <c r="DMJ2175" s="12"/>
      <c r="DMK2175" s="12"/>
      <c r="DML2175" s="12"/>
      <c r="DMM2175" s="12"/>
      <c r="DMN2175" s="12"/>
      <c r="DMO2175" s="12"/>
      <c r="DMP2175" s="12"/>
      <c r="DMQ2175" s="12"/>
    </row>
    <row r="2176" spans="3044:3059">
      <c r="DMB2176" s="12"/>
      <c r="DMC2176" s="12"/>
      <c r="DMD2176" s="12"/>
      <c r="DME2176" s="12"/>
      <c r="DMF2176" s="12"/>
      <c r="DMG2176" s="12"/>
      <c r="DMH2176" s="12"/>
      <c r="DMI2176" s="12"/>
      <c r="DMJ2176" s="12"/>
      <c r="DMK2176" s="12"/>
      <c r="DML2176" s="12"/>
      <c r="DMM2176" s="12"/>
      <c r="DMN2176" s="12"/>
      <c r="DMO2176" s="12"/>
      <c r="DMP2176" s="12"/>
      <c r="DMQ2176" s="12"/>
    </row>
    <row r="2177" spans="3044:3059">
      <c r="DMB2177" s="12"/>
      <c r="DMC2177" s="12"/>
      <c r="DMD2177" s="12"/>
      <c r="DME2177" s="12"/>
      <c r="DMF2177" s="12"/>
      <c r="DMG2177" s="12"/>
      <c r="DMH2177" s="12"/>
      <c r="DMI2177" s="12"/>
      <c r="DMJ2177" s="12"/>
      <c r="DMK2177" s="12"/>
      <c r="DML2177" s="12"/>
      <c r="DMM2177" s="12"/>
      <c r="DMN2177" s="12"/>
      <c r="DMO2177" s="12"/>
      <c r="DMP2177" s="12"/>
      <c r="DMQ2177" s="12"/>
    </row>
    <row r="2178" spans="3044:3059">
      <c r="DMB2178" s="12"/>
      <c r="DMC2178" s="12"/>
      <c r="DMD2178" s="12"/>
      <c r="DME2178" s="12"/>
      <c r="DMF2178" s="12"/>
      <c r="DMG2178" s="12"/>
      <c r="DMH2178" s="12"/>
      <c r="DMI2178" s="12"/>
      <c r="DMJ2178" s="12"/>
      <c r="DMK2178" s="12"/>
      <c r="DML2178" s="12"/>
      <c r="DMM2178" s="12"/>
      <c r="DMN2178" s="12"/>
      <c r="DMO2178" s="12"/>
      <c r="DMP2178" s="12"/>
      <c r="DMQ2178" s="12"/>
    </row>
    <row r="2179" spans="3044:3059">
      <c r="DMB2179" s="12"/>
      <c r="DMC2179" s="12"/>
      <c r="DMD2179" s="12"/>
      <c r="DME2179" s="12"/>
      <c r="DMF2179" s="12"/>
      <c r="DMG2179" s="12"/>
      <c r="DMH2179" s="12"/>
      <c r="DMI2179" s="12"/>
      <c r="DMJ2179" s="12"/>
      <c r="DMK2179" s="12"/>
      <c r="DML2179" s="12"/>
      <c r="DMM2179" s="12"/>
      <c r="DMN2179" s="12"/>
      <c r="DMO2179" s="12"/>
      <c r="DMP2179" s="12"/>
      <c r="DMQ2179" s="12"/>
    </row>
    <row r="2180" spans="3044:3059">
      <c r="DMB2180" s="12"/>
      <c r="DMC2180" s="12"/>
      <c r="DMD2180" s="12"/>
      <c r="DME2180" s="12"/>
      <c r="DMF2180" s="12"/>
      <c r="DMG2180" s="12"/>
      <c r="DMH2180" s="12"/>
      <c r="DMI2180" s="12"/>
      <c r="DMJ2180" s="12"/>
      <c r="DMK2180" s="12"/>
      <c r="DML2180" s="12"/>
      <c r="DMM2180" s="12"/>
      <c r="DMN2180" s="12"/>
      <c r="DMO2180" s="12"/>
      <c r="DMP2180" s="12"/>
      <c r="DMQ2180" s="12"/>
    </row>
    <row r="2181" spans="3044:3059">
      <c r="DMB2181" s="12"/>
      <c r="DMC2181" s="12"/>
      <c r="DMD2181" s="12"/>
      <c r="DME2181" s="12"/>
      <c r="DMF2181" s="12"/>
      <c r="DMG2181" s="12"/>
      <c r="DMH2181" s="12"/>
      <c r="DMI2181" s="12"/>
      <c r="DMJ2181" s="12"/>
      <c r="DMK2181" s="12"/>
      <c r="DML2181" s="12"/>
      <c r="DMM2181" s="12"/>
      <c r="DMN2181" s="12"/>
      <c r="DMO2181" s="12"/>
      <c r="DMP2181" s="12"/>
      <c r="DMQ2181" s="12"/>
    </row>
    <row r="2182" spans="3044:3059">
      <c r="DMB2182" s="12"/>
      <c r="DMC2182" s="12"/>
      <c r="DMD2182" s="12"/>
      <c r="DME2182" s="12"/>
      <c r="DMF2182" s="12"/>
      <c r="DMG2182" s="12"/>
      <c r="DMH2182" s="12"/>
      <c r="DMI2182" s="12"/>
      <c r="DMJ2182" s="12"/>
      <c r="DMK2182" s="12"/>
      <c r="DML2182" s="12"/>
      <c r="DMM2182" s="12"/>
      <c r="DMN2182" s="12"/>
      <c r="DMO2182" s="12"/>
      <c r="DMP2182" s="12"/>
      <c r="DMQ2182" s="12"/>
    </row>
    <row r="2183" spans="3044:3059">
      <c r="DMB2183" s="12"/>
      <c r="DMC2183" s="12"/>
      <c r="DMD2183" s="12"/>
      <c r="DME2183" s="12"/>
      <c r="DMF2183" s="12"/>
      <c r="DMG2183" s="12"/>
      <c r="DMH2183" s="12"/>
      <c r="DMI2183" s="12"/>
      <c r="DMJ2183" s="12"/>
      <c r="DMK2183" s="12"/>
      <c r="DML2183" s="12"/>
      <c r="DMM2183" s="12"/>
      <c r="DMN2183" s="12"/>
      <c r="DMO2183" s="12"/>
      <c r="DMP2183" s="12"/>
      <c r="DMQ2183" s="12"/>
    </row>
    <row r="2184" spans="3044:3059">
      <c r="DMB2184" s="12"/>
      <c r="DMC2184" s="12"/>
      <c r="DMD2184" s="12"/>
      <c r="DME2184" s="12"/>
      <c r="DMF2184" s="12"/>
      <c r="DMG2184" s="12"/>
      <c r="DMH2184" s="12"/>
      <c r="DMI2184" s="12"/>
      <c r="DMJ2184" s="12"/>
      <c r="DMK2184" s="12"/>
      <c r="DML2184" s="12"/>
      <c r="DMM2184" s="12"/>
      <c r="DMN2184" s="12"/>
      <c r="DMO2184" s="12"/>
      <c r="DMP2184" s="12"/>
      <c r="DMQ2184" s="12"/>
    </row>
    <row r="2185" spans="3044:3059">
      <c r="DMB2185" s="12"/>
      <c r="DMC2185" s="12"/>
      <c r="DMD2185" s="12"/>
      <c r="DME2185" s="12"/>
      <c r="DMF2185" s="12"/>
      <c r="DMG2185" s="12"/>
      <c r="DMH2185" s="12"/>
      <c r="DMI2185" s="12"/>
      <c r="DMJ2185" s="12"/>
      <c r="DMK2185" s="12"/>
      <c r="DML2185" s="12"/>
      <c r="DMM2185" s="12"/>
      <c r="DMN2185" s="12"/>
      <c r="DMO2185" s="12"/>
      <c r="DMP2185" s="12"/>
      <c r="DMQ2185" s="12"/>
    </row>
    <row r="2186" spans="3044:3059">
      <c r="DMB2186" s="12"/>
      <c r="DMC2186" s="12"/>
      <c r="DMD2186" s="12"/>
      <c r="DME2186" s="12"/>
      <c r="DMF2186" s="12"/>
      <c r="DMG2186" s="12"/>
      <c r="DMH2186" s="12"/>
      <c r="DMI2186" s="12"/>
      <c r="DMJ2186" s="12"/>
      <c r="DMK2186" s="12"/>
      <c r="DML2186" s="12"/>
      <c r="DMM2186" s="12"/>
      <c r="DMN2186" s="12"/>
      <c r="DMO2186" s="12"/>
      <c r="DMP2186" s="12"/>
      <c r="DMQ2186" s="12"/>
    </row>
    <row r="2187" spans="3044:3059">
      <c r="DMB2187" s="12"/>
      <c r="DMC2187" s="12"/>
      <c r="DMD2187" s="12"/>
      <c r="DME2187" s="12"/>
      <c r="DMF2187" s="12"/>
      <c r="DMG2187" s="12"/>
      <c r="DMH2187" s="12"/>
      <c r="DMI2187" s="12"/>
      <c r="DMJ2187" s="12"/>
      <c r="DMK2187" s="12"/>
      <c r="DML2187" s="12"/>
      <c r="DMM2187" s="12"/>
      <c r="DMN2187" s="12"/>
      <c r="DMO2187" s="12"/>
      <c r="DMP2187" s="12"/>
      <c r="DMQ2187" s="12"/>
    </row>
    <row r="2188" spans="3044:3059">
      <c r="DMB2188" s="12"/>
      <c r="DMC2188" s="12"/>
      <c r="DMD2188" s="12"/>
      <c r="DME2188" s="12"/>
      <c r="DMF2188" s="12"/>
      <c r="DMG2188" s="12"/>
      <c r="DMH2188" s="12"/>
      <c r="DMI2188" s="12"/>
      <c r="DMJ2188" s="12"/>
      <c r="DMK2188" s="12"/>
      <c r="DML2188" s="12"/>
      <c r="DMM2188" s="12"/>
      <c r="DMN2188" s="12"/>
      <c r="DMO2188" s="12"/>
      <c r="DMP2188" s="12"/>
      <c r="DMQ2188" s="12"/>
    </row>
    <row r="2189" spans="3044:3059">
      <c r="DMB2189" s="12"/>
      <c r="DMC2189" s="12"/>
      <c r="DMD2189" s="12"/>
      <c r="DME2189" s="12"/>
      <c r="DMF2189" s="12"/>
      <c r="DMG2189" s="12"/>
      <c r="DMH2189" s="12"/>
      <c r="DMI2189" s="12"/>
      <c r="DMJ2189" s="12"/>
      <c r="DMK2189" s="12"/>
      <c r="DML2189" s="12"/>
      <c r="DMM2189" s="12"/>
      <c r="DMN2189" s="12"/>
      <c r="DMO2189" s="12"/>
      <c r="DMP2189" s="12"/>
      <c r="DMQ2189" s="12"/>
    </row>
    <row r="2190" spans="3044:3059">
      <c r="DMB2190" s="12"/>
      <c r="DMC2190" s="12"/>
      <c r="DMD2190" s="12"/>
      <c r="DME2190" s="12"/>
      <c r="DMF2190" s="12"/>
      <c r="DMG2190" s="12"/>
      <c r="DMH2190" s="12"/>
      <c r="DMI2190" s="12"/>
      <c r="DMJ2190" s="12"/>
      <c r="DMK2190" s="12"/>
      <c r="DML2190" s="12"/>
      <c r="DMM2190" s="12"/>
      <c r="DMN2190" s="12"/>
      <c r="DMO2190" s="12"/>
      <c r="DMP2190" s="12"/>
      <c r="DMQ2190" s="12"/>
    </row>
    <row r="2191" spans="3044:3059">
      <c r="DMB2191" s="12"/>
      <c r="DMC2191" s="12"/>
      <c r="DMD2191" s="12"/>
      <c r="DME2191" s="12"/>
      <c r="DMF2191" s="12"/>
      <c r="DMG2191" s="12"/>
      <c r="DMH2191" s="12"/>
      <c r="DMI2191" s="12"/>
      <c r="DMJ2191" s="12"/>
      <c r="DMK2191" s="12"/>
      <c r="DML2191" s="12"/>
      <c r="DMM2191" s="12"/>
      <c r="DMN2191" s="12"/>
      <c r="DMO2191" s="12"/>
      <c r="DMP2191" s="12"/>
      <c r="DMQ2191" s="12"/>
    </row>
    <row r="2192" spans="3044:3059">
      <c r="DMB2192" s="12"/>
      <c r="DMC2192" s="12"/>
      <c r="DMD2192" s="12"/>
      <c r="DME2192" s="12"/>
      <c r="DMF2192" s="12"/>
      <c r="DMG2192" s="12"/>
      <c r="DMH2192" s="12"/>
      <c r="DMI2192" s="12"/>
      <c r="DMJ2192" s="12"/>
      <c r="DMK2192" s="12"/>
      <c r="DML2192" s="12"/>
      <c r="DMM2192" s="12"/>
      <c r="DMN2192" s="12"/>
      <c r="DMO2192" s="12"/>
      <c r="DMP2192" s="12"/>
      <c r="DMQ2192" s="12"/>
    </row>
    <row r="2193" spans="3044:3059">
      <c r="DMB2193" s="12"/>
      <c r="DMC2193" s="12"/>
      <c r="DMD2193" s="12"/>
      <c r="DME2193" s="12"/>
      <c r="DMF2193" s="12"/>
      <c r="DMG2193" s="12"/>
      <c r="DMH2193" s="12"/>
      <c r="DMI2193" s="12"/>
      <c r="DMJ2193" s="12"/>
      <c r="DMK2193" s="12"/>
      <c r="DML2193" s="12"/>
      <c r="DMM2193" s="12"/>
      <c r="DMN2193" s="12"/>
      <c r="DMO2193" s="12"/>
      <c r="DMP2193" s="12"/>
      <c r="DMQ2193" s="12"/>
    </row>
    <row r="2194" spans="3044:3059">
      <c r="DMB2194" s="12"/>
      <c r="DMC2194" s="12"/>
      <c r="DMD2194" s="12"/>
      <c r="DME2194" s="12"/>
      <c r="DMF2194" s="12"/>
      <c r="DMG2194" s="12"/>
      <c r="DMH2194" s="12"/>
      <c r="DMI2194" s="12"/>
      <c r="DMJ2194" s="12"/>
      <c r="DMK2194" s="12"/>
      <c r="DML2194" s="12"/>
      <c r="DMM2194" s="12"/>
      <c r="DMN2194" s="12"/>
      <c r="DMO2194" s="12"/>
      <c r="DMP2194" s="12"/>
      <c r="DMQ2194" s="12"/>
    </row>
    <row r="2195" spans="3044:3059">
      <c r="DMB2195" s="12"/>
      <c r="DMC2195" s="12"/>
      <c r="DMD2195" s="12"/>
      <c r="DME2195" s="12"/>
      <c r="DMF2195" s="12"/>
      <c r="DMG2195" s="12"/>
      <c r="DMH2195" s="12"/>
      <c r="DMI2195" s="12"/>
      <c r="DMJ2195" s="12"/>
      <c r="DMK2195" s="12"/>
      <c r="DML2195" s="12"/>
      <c r="DMM2195" s="12"/>
      <c r="DMN2195" s="12"/>
      <c r="DMO2195" s="12"/>
      <c r="DMP2195" s="12"/>
      <c r="DMQ2195" s="12"/>
    </row>
    <row r="2196" spans="3044:3059">
      <c r="DMB2196" s="12"/>
      <c r="DMC2196" s="12"/>
      <c r="DMD2196" s="12"/>
      <c r="DME2196" s="12"/>
      <c r="DMF2196" s="12"/>
      <c r="DMG2196" s="12"/>
      <c r="DMH2196" s="12"/>
      <c r="DMI2196" s="12"/>
      <c r="DMJ2196" s="12"/>
      <c r="DMK2196" s="12"/>
      <c r="DML2196" s="12"/>
      <c r="DMM2196" s="12"/>
      <c r="DMN2196" s="12"/>
      <c r="DMO2196" s="12"/>
      <c r="DMP2196" s="12"/>
      <c r="DMQ2196" s="12"/>
    </row>
    <row r="2197" spans="3044:3059">
      <c r="DMB2197" s="12"/>
      <c r="DMC2197" s="12"/>
      <c r="DMD2197" s="12"/>
      <c r="DME2197" s="12"/>
      <c r="DMF2197" s="12"/>
      <c r="DMG2197" s="12"/>
      <c r="DMH2197" s="12"/>
      <c r="DMI2197" s="12"/>
      <c r="DMJ2197" s="12"/>
      <c r="DMK2197" s="12"/>
      <c r="DML2197" s="12"/>
      <c r="DMM2197" s="12"/>
      <c r="DMN2197" s="12"/>
      <c r="DMO2197" s="12"/>
      <c r="DMP2197" s="12"/>
      <c r="DMQ2197" s="12"/>
    </row>
    <row r="2198" spans="3044:3059">
      <c r="DMB2198" s="12"/>
      <c r="DMC2198" s="12"/>
      <c r="DMD2198" s="12"/>
      <c r="DME2198" s="12"/>
      <c r="DMF2198" s="12"/>
      <c r="DMG2198" s="12"/>
      <c r="DMH2198" s="12"/>
      <c r="DMI2198" s="12"/>
      <c r="DMJ2198" s="12"/>
      <c r="DMK2198" s="12"/>
      <c r="DML2198" s="12"/>
      <c r="DMM2198" s="12"/>
      <c r="DMN2198" s="12"/>
      <c r="DMO2198" s="12"/>
      <c r="DMP2198" s="12"/>
      <c r="DMQ2198" s="12"/>
    </row>
    <row r="2199" spans="3044:3059">
      <c r="DMB2199" s="12"/>
      <c r="DMC2199" s="12"/>
      <c r="DMD2199" s="12"/>
      <c r="DME2199" s="12"/>
      <c r="DMF2199" s="12"/>
      <c r="DMG2199" s="12"/>
      <c r="DMH2199" s="12"/>
      <c r="DMI2199" s="12"/>
      <c r="DMJ2199" s="12"/>
      <c r="DMK2199" s="12"/>
      <c r="DML2199" s="12"/>
      <c r="DMM2199" s="12"/>
      <c r="DMN2199" s="12"/>
      <c r="DMO2199" s="12"/>
      <c r="DMP2199" s="12"/>
      <c r="DMQ2199" s="12"/>
    </row>
    <row r="2200" spans="3044:3059">
      <c r="DMB2200" s="12"/>
      <c r="DMC2200" s="12"/>
      <c r="DMD2200" s="12"/>
      <c r="DME2200" s="12"/>
      <c r="DMF2200" s="12"/>
      <c r="DMG2200" s="12"/>
      <c r="DMH2200" s="12"/>
      <c r="DMI2200" s="12"/>
      <c r="DMJ2200" s="12"/>
      <c r="DMK2200" s="12"/>
      <c r="DML2200" s="12"/>
      <c r="DMM2200" s="12"/>
      <c r="DMN2200" s="12"/>
      <c r="DMO2200" s="12"/>
      <c r="DMP2200" s="12"/>
      <c r="DMQ2200" s="12"/>
    </row>
    <row r="2201" spans="3044:3059">
      <c r="DMB2201" s="12"/>
      <c r="DMC2201" s="12"/>
      <c r="DMD2201" s="12"/>
      <c r="DME2201" s="12"/>
      <c r="DMF2201" s="12"/>
      <c r="DMG2201" s="12"/>
      <c r="DMH2201" s="12"/>
      <c r="DMI2201" s="12"/>
      <c r="DMJ2201" s="12"/>
      <c r="DMK2201" s="12"/>
      <c r="DML2201" s="12"/>
      <c r="DMM2201" s="12"/>
      <c r="DMN2201" s="12"/>
      <c r="DMO2201" s="12"/>
      <c r="DMP2201" s="12"/>
      <c r="DMQ2201" s="12"/>
    </row>
    <row r="2202" spans="3044:3059">
      <c r="DMB2202" s="12"/>
      <c r="DMC2202" s="12"/>
      <c r="DMD2202" s="12"/>
      <c r="DME2202" s="12"/>
      <c r="DMF2202" s="12"/>
      <c r="DMG2202" s="12"/>
      <c r="DMH2202" s="12"/>
      <c r="DMI2202" s="12"/>
      <c r="DMJ2202" s="12"/>
      <c r="DMK2202" s="12"/>
      <c r="DML2202" s="12"/>
      <c r="DMM2202" s="12"/>
      <c r="DMN2202" s="12"/>
      <c r="DMO2202" s="12"/>
      <c r="DMP2202" s="12"/>
      <c r="DMQ2202" s="12"/>
    </row>
    <row r="2203" spans="3044:3059">
      <c r="DMB2203" s="12"/>
      <c r="DMC2203" s="12"/>
      <c r="DMD2203" s="12"/>
      <c r="DME2203" s="12"/>
      <c r="DMF2203" s="12"/>
      <c r="DMG2203" s="12"/>
      <c r="DMH2203" s="12"/>
      <c r="DMI2203" s="12"/>
      <c r="DMJ2203" s="12"/>
      <c r="DMK2203" s="12"/>
      <c r="DML2203" s="12"/>
      <c r="DMM2203" s="12"/>
      <c r="DMN2203" s="12"/>
      <c r="DMO2203" s="12"/>
      <c r="DMP2203" s="12"/>
      <c r="DMQ2203" s="12"/>
    </row>
    <row r="2204" spans="3044:3059">
      <c r="DMB2204" s="12"/>
      <c r="DMC2204" s="12"/>
      <c r="DMD2204" s="12"/>
      <c r="DME2204" s="12"/>
      <c r="DMF2204" s="12"/>
      <c r="DMG2204" s="12"/>
      <c r="DMH2204" s="12"/>
      <c r="DMI2204" s="12"/>
      <c r="DMJ2204" s="12"/>
      <c r="DMK2204" s="12"/>
      <c r="DML2204" s="12"/>
      <c r="DMM2204" s="12"/>
      <c r="DMN2204" s="12"/>
      <c r="DMO2204" s="12"/>
      <c r="DMP2204" s="12"/>
      <c r="DMQ2204" s="12"/>
    </row>
    <row r="2205" spans="3044:3059">
      <c r="DMB2205" s="12"/>
      <c r="DMC2205" s="12"/>
      <c r="DMD2205" s="12"/>
      <c r="DME2205" s="12"/>
      <c r="DMF2205" s="12"/>
      <c r="DMG2205" s="12"/>
      <c r="DMH2205" s="12"/>
      <c r="DMI2205" s="12"/>
      <c r="DMJ2205" s="12"/>
      <c r="DMK2205" s="12"/>
      <c r="DML2205" s="12"/>
      <c r="DMM2205" s="12"/>
      <c r="DMN2205" s="12"/>
      <c r="DMO2205" s="12"/>
      <c r="DMP2205" s="12"/>
      <c r="DMQ2205" s="12"/>
    </row>
    <row r="2206" spans="3044:3059">
      <c r="DMB2206" s="12"/>
      <c r="DMC2206" s="12"/>
      <c r="DMD2206" s="12"/>
      <c r="DME2206" s="12"/>
      <c r="DMF2206" s="12"/>
      <c r="DMG2206" s="12"/>
      <c r="DMH2206" s="12"/>
      <c r="DMI2206" s="12"/>
      <c r="DMJ2206" s="12"/>
      <c r="DMK2206" s="12"/>
      <c r="DML2206" s="12"/>
      <c r="DMM2206" s="12"/>
      <c r="DMN2206" s="12"/>
      <c r="DMO2206" s="12"/>
      <c r="DMP2206" s="12"/>
      <c r="DMQ2206" s="12"/>
    </row>
    <row r="2207" spans="3044:3059">
      <c r="DMB2207" s="12"/>
      <c r="DMC2207" s="12"/>
      <c r="DMD2207" s="12"/>
      <c r="DME2207" s="12"/>
      <c r="DMF2207" s="12"/>
      <c r="DMG2207" s="12"/>
      <c r="DMH2207" s="12"/>
      <c r="DMI2207" s="12"/>
      <c r="DMJ2207" s="12"/>
      <c r="DMK2207" s="12"/>
      <c r="DML2207" s="12"/>
      <c r="DMM2207" s="12"/>
      <c r="DMN2207" s="12"/>
      <c r="DMO2207" s="12"/>
      <c r="DMP2207" s="12"/>
      <c r="DMQ2207" s="12"/>
    </row>
    <row r="2208" spans="3044:3059">
      <c r="DMB2208" s="12"/>
      <c r="DMC2208" s="12"/>
      <c r="DMD2208" s="12"/>
      <c r="DME2208" s="12"/>
      <c r="DMF2208" s="12"/>
      <c r="DMG2208" s="12"/>
      <c r="DMH2208" s="12"/>
      <c r="DMI2208" s="12"/>
      <c r="DMJ2208" s="12"/>
      <c r="DMK2208" s="12"/>
      <c r="DML2208" s="12"/>
      <c r="DMM2208" s="12"/>
      <c r="DMN2208" s="12"/>
      <c r="DMO2208" s="12"/>
      <c r="DMP2208" s="12"/>
      <c r="DMQ2208" s="12"/>
    </row>
    <row r="2209" spans="3044:3059">
      <c r="DMB2209" s="12"/>
      <c r="DMC2209" s="12"/>
      <c r="DMD2209" s="12"/>
      <c r="DME2209" s="12"/>
      <c r="DMF2209" s="12"/>
      <c r="DMG2209" s="12"/>
      <c r="DMH2209" s="12"/>
      <c r="DMI2209" s="12"/>
      <c r="DMJ2209" s="12"/>
      <c r="DMK2209" s="12"/>
      <c r="DML2209" s="12"/>
      <c r="DMM2209" s="12"/>
      <c r="DMN2209" s="12"/>
      <c r="DMO2209" s="12"/>
      <c r="DMP2209" s="12"/>
      <c r="DMQ2209" s="12"/>
    </row>
    <row r="2210" spans="3044:3059">
      <c r="DMB2210" s="12"/>
      <c r="DMC2210" s="12"/>
      <c r="DMD2210" s="12"/>
      <c r="DME2210" s="12"/>
      <c r="DMF2210" s="12"/>
      <c r="DMG2210" s="12"/>
      <c r="DMH2210" s="12"/>
      <c r="DMI2210" s="12"/>
      <c r="DMJ2210" s="12"/>
      <c r="DMK2210" s="12"/>
      <c r="DML2210" s="12"/>
      <c r="DMM2210" s="12"/>
      <c r="DMN2210" s="12"/>
      <c r="DMO2210" s="12"/>
      <c r="DMP2210" s="12"/>
      <c r="DMQ2210" s="12"/>
    </row>
    <row r="2211" spans="3044:3059">
      <c r="DMB2211" s="12"/>
      <c r="DMC2211" s="12"/>
      <c r="DMD2211" s="12"/>
      <c r="DME2211" s="12"/>
      <c r="DMF2211" s="12"/>
      <c r="DMG2211" s="12"/>
      <c r="DMH2211" s="12"/>
      <c r="DMI2211" s="12"/>
      <c r="DMJ2211" s="12"/>
      <c r="DMK2211" s="12"/>
      <c r="DML2211" s="12"/>
      <c r="DMM2211" s="12"/>
      <c r="DMN2211" s="12"/>
      <c r="DMO2211" s="12"/>
      <c r="DMP2211" s="12"/>
      <c r="DMQ2211" s="12"/>
    </row>
    <row r="2212" spans="3044:3059">
      <c r="DMB2212" s="12"/>
      <c r="DMC2212" s="12"/>
      <c r="DMD2212" s="12"/>
      <c r="DME2212" s="12"/>
      <c r="DMF2212" s="12"/>
      <c r="DMG2212" s="12"/>
      <c r="DMH2212" s="12"/>
      <c r="DMI2212" s="12"/>
      <c r="DMJ2212" s="12"/>
      <c r="DMK2212" s="12"/>
      <c r="DML2212" s="12"/>
      <c r="DMM2212" s="12"/>
      <c r="DMN2212" s="12"/>
      <c r="DMO2212" s="12"/>
      <c r="DMP2212" s="12"/>
      <c r="DMQ2212" s="12"/>
    </row>
    <row r="2213" spans="3044:3059">
      <c r="DMB2213" s="12"/>
      <c r="DMC2213" s="12"/>
      <c r="DMD2213" s="12"/>
      <c r="DME2213" s="12"/>
      <c r="DMF2213" s="12"/>
      <c r="DMG2213" s="12"/>
      <c r="DMH2213" s="12"/>
      <c r="DMI2213" s="12"/>
      <c r="DMJ2213" s="12"/>
      <c r="DMK2213" s="12"/>
      <c r="DML2213" s="12"/>
      <c r="DMM2213" s="12"/>
      <c r="DMN2213" s="12"/>
      <c r="DMO2213" s="12"/>
      <c r="DMP2213" s="12"/>
      <c r="DMQ2213" s="12"/>
    </row>
    <row r="2214" spans="3044:3059">
      <c r="DMB2214" s="12"/>
      <c r="DMC2214" s="12"/>
      <c r="DMD2214" s="12"/>
      <c r="DME2214" s="12"/>
      <c r="DMF2214" s="12"/>
      <c r="DMG2214" s="12"/>
      <c r="DMH2214" s="12"/>
      <c r="DMI2214" s="12"/>
      <c r="DMJ2214" s="12"/>
      <c r="DMK2214" s="12"/>
      <c r="DML2214" s="12"/>
      <c r="DMM2214" s="12"/>
      <c r="DMN2214" s="12"/>
      <c r="DMO2214" s="12"/>
      <c r="DMP2214" s="12"/>
      <c r="DMQ2214" s="12"/>
    </row>
    <row r="2215" spans="3044:3059">
      <c r="DMB2215" s="12"/>
      <c r="DMC2215" s="12"/>
      <c r="DMD2215" s="12"/>
      <c r="DME2215" s="12"/>
      <c r="DMF2215" s="12"/>
      <c r="DMG2215" s="12"/>
      <c r="DMH2215" s="12"/>
      <c r="DMI2215" s="12"/>
      <c r="DMJ2215" s="12"/>
      <c r="DMK2215" s="12"/>
      <c r="DML2215" s="12"/>
      <c r="DMM2215" s="12"/>
      <c r="DMN2215" s="12"/>
      <c r="DMO2215" s="12"/>
      <c r="DMP2215" s="12"/>
      <c r="DMQ2215" s="12"/>
    </row>
    <row r="2216" spans="3044:3059">
      <c r="DMB2216" s="12"/>
      <c r="DMC2216" s="12"/>
      <c r="DMD2216" s="12"/>
      <c r="DME2216" s="12"/>
      <c r="DMF2216" s="12"/>
      <c r="DMG2216" s="12"/>
      <c r="DMH2216" s="12"/>
      <c r="DMI2216" s="12"/>
      <c r="DMJ2216" s="12"/>
      <c r="DMK2216" s="12"/>
      <c r="DML2216" s="12"/>
      <c r="DMM2216" s="12"/>
      <c r="DMN2216" s="12"/>
      <c r="DMO2216" s="12"/>
      <c r="DMP2216" s="12"/>
      <c r="DMQ2216" s="12"/>
    </row>
    <row r="2217" spans="3044:3059">
      <c r="DMB2217" s="12"/>
      <c r="DMC2217" s="12"/>
      <c r="DMD2217" s="12"/>
      <c r="DME2217" s="12"/>
      <c r="DMF2217" s="12"/>
      <c r="DMG2217" s="12"/>
      <c r="DMH2217" s="12"/>
      <c r="DMI2217" s="12"/>
      <c r="DMJ2217" s="12"/>
      <c r="DMK2217" s="12"/>
      <c r="DML2217" s="12"/>
      <c r="DMM2217" s="12"/>
      <c r="DMN2217" s="12"/>
      <c r="DMO2217" s="12"/>
      <c r="DMP2217" s="12"/>
      <c r="DMQ2217" s="12"/>
    </row>
    <row r="2218" spans="3044:3059">
      <c r="DMB2218" s="12"/>
      <c r="DMC2218" s="12"/>
      <c r="DMD2218" s="12"/>
      <c r="DME2218" s="12"/>
      <c r="DMF2218" s="12"/>
      <c r="DMG2218" s="12"/>
      <c r="DMH2218" s="12"/>
      <c r="DMI2218" s="12"/>
      <c r="DMJ2218" s="12"/>
      <c r="DMK2218" s="12"/>
      <c r="DML2218" s="12"/>
      <c r="DMM2218" s="12"/>
      <c r="DMN2218" s="12"/>
      <c r="DMO2218" s="12"/>
      <c r="DMP2218" s="12"/>
      <c r="DMQ2218" s="12"/>
    </row>
    <row r="2219" spans="3044:3059">
      <c r="DMB2219" s="12"/>
      <c r="DMC2219" s="12"/>
      <c r="DMD2219" s="12"/>
      <c r="DME2219" s="12"/>
      <c r="DMF2219" s="12"/>
      <c r="DMG2219" s="12"/>
      <c r="DMH2219" s="12"/>
      <c r="DMI2219" s="12"/>
      <c r="DMJ2219" s="12"/>
      <c r="DMK2219" s="12"/>
      <c r="DML2219" s="12"/>
      <c r="DMM2219" s="12"/>
      <c r="DMN2219" s="12"/>
      <c r="DMO2219" s="12"/>
      <c r="DMP2219" s="12"/>
      <c r="DMQ2219" s="12"/>
    </row>
    <row r="2220" spans="3044:3059">
      <c r="DMB2220" s="12"/>
      <c r="DMC2220" s="12"/>
      <c r="DMD2220" s="12"/>
      <c r="DME2220" s="12"/>
      <c r="DMF2220" s="12"/>
      <c r="DMG2220" s="12"/>
      <c r="DMH2220" s="12"/>
      <c r="DMI2220" s="12"/>
      <c r="DMJ2220" s="12"/>
      <c r="DMK2220" s="12"/>
      <c r="DML2220" s="12"/>
      <c r="DMM2220" s="12"/>
      <c r="DMN2220" s="12"/>
      <c r="DMO2220" s="12"/>
      <c r="DMP2220" s="12"/>
      <c r="DMQ2220" s="12"/>
    </row>
    <row r="2221" spans="3044:3059">
      <c r="DMB2221" s="12"/>
      <c r="DMC2221" s="12"/>
      <c r="DMD2221" s="12"/>
      <c r="DME2221" s="12"/>
      <c r="DMF2221" s="12"/>
      <c r="DMG2221" s="12"/>
      <c r="DMH2221" s="12"/>
      <c r="DMI2221" s="12"/>
      <c r="DMJ2221" s="12"/>
      <c r="DMK2221" s="12"/>
      <c r="DML2221" s="12"/>
      <c r="DMM2221" s="12"/>
      <c r="DMN2221" s="12"/>
      <c r="DMO2221" s="12"/>
      <c r="DMP2221" s="12"/>
      <c r="DMQ2221" s="12"/>
    </row>
    <row r="2222" spans="3044:3059">
      <c r="DMB2222" s="12"/>
      <c r="DMC2222" s="12"/>
      <c r="DMD2222" s="12"/>
      <c r="DME2222" s="12"/>
      <c r="DMF2222" s="12"/>
      <c r="DMG2222" s="12"/>
      <c r="DMH2222" s="12"/>
      <c r="DMI2222" s="12"/>
      <c r="DMJ2222" s="12"/>
      <c r="DMK2222" s="12"/>
      <c r="DML2222" s="12"/>
      <c r="DMM2222" s="12"/>
      <c r="DMN2222" s="12"/>
      <c r="DMO2222" s="12"/>
      <c r="DMP2222" s="12"/>
      <c r="DMQ2222" s="12"/>
    </row>
    <row r="2223" spans="3044:3059">
      <c r="DMB2223" s="12"/>
      <c r="DMC2223" s="12"/>
      <c r="DMD2223" s="12"/>
      <c r="DME2223" s="12"/>
      <c r="DMF2223" s="12"/>
      <c r="DMG2223" s="12"/>
      <c r="DMH2223" s="12"/>
      <c r="DMI2223" s="12"/>
      <c r="DMJ2223" s="12"/>
      <c r="DMK2223" s="12"/>
      <c r="DML2223" s="12"/>
      <c r="DMM2223" s="12"/>
      <c r="DMN2223" s="12"/>
      <c r="DMO2223" s="12"/>
      <c r="DMP2223" s="12"/>
      <c r="DMQ2223" s="12"/>
    </row>
    <row r="2224" spans="3044:3059">
      <c r="DMB2224" s="12"/>
      <c r="DMC2224" s="12"/>
      <c r="DMD2224" s="12"/>
      <c r="DME2224" s="12"/>
      <c r="DMF2224" s="12"/>
      <c r="DMG2224" s="12"/>
      <c r="DMH2224" s="12"/>
      <c r="DMI2224" s="12"/>
      <c r="DMJ2224" s="12"/>
      <c r="DMK2224" s="12"/>
      <c r="DML2224" s="12"/>
      <c r="DMM2224" s="12"/>
      <c r="DMN2224" s="12"/>
      <c r="DMO2224" s="12"/>
      <c r="DMP2224" s="12"/>
      <c r="DMQ2224" s="12"/>
    </row>
    <row r="2225" spans="3044:3059">
      <c r="DMB2225" s="12"/>
      <c r="DMC2225" s="12"/>
      <c r="DMD2225" s="12"/>
      <c r="DME2225" s="12"/>
      <c r="DMF2225" s="12"/>
      <c r="DMG2225" s="12"/>
      <c r="DMH2225" s="12"/>
      <c r="DMI2225" s="12"/>
      <c r="DMJ2225" s="12"/>
      <c r="DMK2225" s="12"/>
      <c r="DML2225" s="12"/>
      <c r="DMM2225" s="12"/>
      <c r="DMN2225" s="12"/>
      <c r="DMO2225" s="12"/>
      <c r="DMP2225" s="12"/>
      <c r="DMQ2225" s="12"/>
    </row>
    <row r="2226" spans="3044:3059">
      <c r="DMB2226" s="12"/>
      <c r="DMC2226" s="12"/>
      <c r="DMD2226" s="12"/>
      <c r="DME2226" s="12"/>
      <c r="DMF2226" s="12"/>
      <c r="DMG2226" s="12"/>
      <c r="DMH2226" s="12"/>
      <c r="DMI2226" s="12"/>
      <c r="DMJ2226" s="12"/>
      <c r="DMK2226" s="12"/>
      <c r="DML2226" s="12"/>
      <c r="DMM2226" s="12"/>
      <c r="DMN2226" s="12"/>
      <c r="DMO2226" s="12"/>
      <c r="DMP2226" s="12"/>
      <c r="DMQ2226" s="12"/>
    </row>
    <row r="2227" spans="3044:3059">
      <c r="DMB2227" s="12"/>
      <c r="DMC2227" s="12"/>
      <c r="DMD2227" s="12"/>
      <c r="DME2227" s="12"/>
      <c r="DMF2227" s="12"/>
      <c r="DMG2227" s="12"/>
      <c r="DMH2227" s="12"/>
      <c r="DMI2227" s="12"/>
      <c r="DMJ2227" s="12"/>
      <c r="DMK2227" s="12"/>
      <c r="DML2227" s="12"/>
      <c r="DMM2227" s="12"/>
      <c r="DMN2227" s="12"/>
      <c r="DMO2227" s="12"/>
      <c r="DMP2227" s="12"/>
      <c r="DMQ2227" s="12"/>
    </row>
    <row r="2228" spans="3044:3059">
      <c r="DMB2228" s="12"/>
      <c r="DMC2228" s="12"/>
      <c r="DMD2228" s="12"/>
      <c r="DME2228" s="12"/>
      <c r="DMF2228" s="12"/>
      <c r="DMG2228" s="12"/>
      <c r="DMH2228" s="12"/>
      <c r="DMI2228" s="12"/>
      <c r="DMJ2228" s="12"/>
      <c r="DMK2228" s="12"/>
      <c r="DML2228" s="12"/>
      <c r="DMM2228" s="12"/>
      <c r="DMN2228" s="12"/>
      <c r="DMO2228" s="12"/>
      <c r="DMP2228" s="12"/>
      <c r="DMQ2228" s="12"/>
    </row>
    <row r="2229" spans="3044:3059">
      <c r="DMB2229" s="12"/>
      <c r="DMC2229" s="12"/>
      <c r="DMD2229" s="12"/>
      <c r="DME2229" s="12"/>
      <c r="DMF2229" s="12"/>
      <c r="DMG2229" s="12"/>
      <c r="DMH2229" s="12"/>
      <c r="DMI2229" s="12"/>
      <c r="DMJ2229" s="12"/>
      <c r="DMK2229" s="12"/>
      <c r="DML2229" s="12"/>
      <c r="DMM2229" s="12"/>
      <c r="DMN2229" s="12"/>
      <c r="DMO2229" s="12"/>
      <c r="DMP2229" s="12"/>
      <c r="DMQ2229" s="12"/>
    </row>
    <row r="2230" spans="3044:3059">
      <c r="DMB2230" s="12"/>
      <c r="DMC2230" s="12"/>
      <c r="DMD2230" s="12"/>
      <c r="DME2230" s="12"/>
      <c r="DMF2230" s="12"/>
      <c r="DMG2230" s="12"/>
      <c r="DMH2230" s="12"/>
      <c r="DMI2230" s="12"/>
      <c r="DMJ2230" s="12"/>
      <c r="DMK2230" s="12"/>
      <c r="DML2230" s="12"/>
      <c r="DMM2230" s="12"/>
      <c r="DMN2230" s="12"/>
      <c r="DMO2230" s="12"/>
      <c r="DMP2230" s="12"/>
      <c r="DMQ2230" s="12"/>
    </row>
    <row r="2231" spans="3044:3059">
      <c r="DMB2231" s="12"/>
      <c r="DMC2231" s="12"/>
      <c r="DMD2231" s="12"/>
      <c r="DME2231" s="12"/>
      <c r="DMF2231" s="12"/>
      <c r="DMG2231" s="12"/>
      <c r="DMH2231" s="12"/>
      <c r="DMI2231" s="12"/>
      <c r="DMJ2231" s="12"/>
      <c r="DMK2231" s="12"/>
      <c r="DML2231" s="12"/>
      <c r="DMM2231" s="12"/>
      <c r="DMN2231" s="12"/>
      <c r="DMO2231" s="12"/>
      <c r="DMP2231" s="12"/>
      <c r="DMQ2231" s="12"/>
    </row>
    <row r="2232" spans="3044:3059">
      <c r="DMB2232" s="12"/>
      <c r="DMC2232" s="12"/>
      <c r="DMD2232" s="12"/>
      <c r="DME2232" s="12"/>
      <c r="DMF2232" s="12"/>
      <c r="DMG2232" s="12"/>
      <c r="DMH2232" s="12"/>
      <c r="DMI2232" s="12"/>
      <c r="DMJ2232" s="12"/>
      <c r="DMK2232" s="12"/>
      <c r="DML2232" s="12"/>
      <c r="DMM2232" s="12"/>
      <c r="DMN2232" s="12"/>
      <c r="DMO2232" s="12"/>
      <c r="DMP2232" s="12"/>
      <c r="DMQ2232" s="12"/>
    </row>
    <row r="2233" spans="3044:3059">
      <c r="DMB2233" s="12"/>
      <c r="DMC2233" s="12"/>
      <c r="DMD2233" s="12"/>
      <c r="DME2233" s="12"/>
      <c r="DMF2233" s="12"/>
      <c r="DMG2233" s="12"/>
      <c r="DMH2233" s="12"/>
      <c r="DMI2233" s="12"/>
      <c r="DMJ2233" s="12"/>
      <c r="DMK2233" s="12"/>
      <c r="DML2233" s="12"/>
      <c r="DMM2233" s="12"/>
      <c r="DMN2233" s="12"/>
      <c r="DMO2233" s="12"/>
      <c r="DMP2233" s="12"/>
      <c r="DMQ2233" s="12"/>
    </row>
    <row r="2234" spans="3044:3059">
      <c r="DMB2234" s="12"/>
      <c r="DMC2234" s="12"/>
      <c r="DMD2234" s="12"/>
      <c r="DME2234" s="12"/>
      <c r="DMF2234" s="12"/>
      <c r="DMG2234" s="12"/>
      <c r="DMH2234" s="12"/>
      <c r="DMI2234" s="12"/>
      <c r="DMJ2234" s="12"/>
      <c r="DMK2234" s="12"/>
      <c r="DML2234" s="12"/>
      <c r="DMM2234" s="12"/>
      <c r="DMN2234" s="12"/>
      <c r="DMO2234" s="12"/>
      <c r="DMP2234" s="12"/>
      <c r="DMQ2234" s="12"/>
    </row>
    <row r="2235" spans="3044:3059">
      <c r="DMB2235" s="12"/>
      <c r="DMC2235" s="12"/>
      <c r="DMD2235" s="12"/>
      <c r="DME2235" s="12"/>
      <c r="DMF2235" s="12"/>
      <c r="DMG2235" s="12"/>
      <c r="DMH2235" s="12"/>
      <c r="DMI2235" s="12"/>
      <c r="DMJ2235" s="12"/>
      <c r="DMK2235" s="12"/>
      <c r="DML2235" s="12"/>
      <c r="DMM2235" s="12"/>
      <c r="DMN2235" s="12"/>
      <c r="DMO2235" s="12"/>
      <c r="DMP2235" s="12"/>
      <c r="DMQ2235" s="12"/>
    </row>
    <row r="2236" spans="3044:3059">
      <c r="DMB2236" s="12"/>
      <c r="DMC2236" s="12"/>
      <c r="DMD2236" s="12"/>
      <c r="DME2236" s="12"/>
      <c r="DMF2236" s="12"/>
      <c r="DMG2236" s="12"/>
      <c r="DMH2236" s="12"/>
      <c r="DMI2236" s="12"/>
      <c r="DMJ2236" s="12"/>
      <c r="DMK2236" s="12"/>
      <c r="DML2236" s="12"/>
      <c r="DMM2236" s="12"/>
      <c r="DMN2236" s="12"/>
      <c r="DMO2236" s="12"/>
      <c r="DMP2236" s="12"/>
      <c r="DMQ2236" s="12"/>
    </row>
    <row r="2237" spans="3044:3059">
      <c r="DMB2237" s="12"/>
      <c r="DMC2237" s="12"/>
      <c r="DMD2237" s="12"/>
      <c r="DME2237" s="12"/>
      <c r="DMF2237" s="12"/>
      <c r="DMG2237" s="12"/>
      <c r="DMH2237" s="12"/>
      <c r="DMI2237" s="12"/>
      <c r="DMJ2237" s="12"/>
      <c r="DMK2237" s="12"/>
      <c r="DML2237" s="12"/>
      <c r="DMM2237" s="12"/>
      <c r="DMN2237" s="12"/>
      <c r="DMO2237" s="12"/>
      <c r="DMP2237" s="12"/>
      <c r="DMQ2237" s="12"/>
    </row>
    <row r="2238" spans="3044:3059">
      <c r="DMB2238" s="12"/>
      <c r="DMC2238" s="12"/>
      <c r="DMD2238" s="12"/>
      <c r="DME2238" s="12"/>
      <c r="DMF2238" s="12"/>
      <c r="DMG2238" s="12"/>
      <c r="DMH2238" s="12"/>
      <c r="DMI2238" s="12"/>
      <c r="DMJ2238" s="12"/>
      <c r="DMK2238" s="12"/>
      <c r="DML2238" s="12"/>
      <c r="DMM2238" s="12"/>
      <c r="DMN2238" s="12"/>
      <c r="DMO2238" s="12"/>
      <c r="DMP2238" s="12"/>
      <c r="DMQ2238" s="12"/>
    </row>
    <row r="2239" spans="3044:3059">
      <c r="DMB2239" s="12"/>
      <c r="DMC2239" s="12"/>
      <c r="DMD2239" s="12"/>
      <c r="DME2239" s="12"/>
      <c r="DMF2239" s="12"/>
      <c r="DMG2239" s="12"/>
      <c r="DMH2239" s="12"/>
      <c r="DMI2239" s="12"/>
      <c r="DMJ2239" s="12"/>
      <c r="DMK2239" s="12"/>
      <c r="DML2239" s="12"/>
      <c r="DMM2239" s="12"/>
      <c r="DMN2239" s="12"/>
      <c r="DMO2239" s="12"/>
      <c r="DMP2239" s="12"/>
      <c r="DMQ2239" s="12"/>
    </row>
    <row r="2240" spans="3044:3059">
      <c r="DMB2240" s="12"/>
      <c r="DMC2240" s="12"/>
      <c r="DMD2240" s="12"/>
      <c r="DME2240" s="12"/>
      <c r="DMF2240" s="12"/>
      <c r="DMG2240" s="12"/>
      <c r="DMH2240" s="12"/>
      <c r="DMI2240" s="12"/>
      <c r="DMJ2240" s="12"/>
      <c r="DMK2240" s="12"/>
      <c r="DML2240" s="12"/>
      <c r="DMM2240" s="12"/>
      <c r="DMN2240" s="12"/>
      <c r="DMO2240" s="12"/>
      <c r="DMP2240" s="12"/>
      <c r="DMQ2240" s="12"/>
    </row>
    <row r="2241" spans="3044:3059">
      <c r="DMB2241" s="12"/>
      <c r="DMC2241" s="12"/>
      <c r="DMD2241" s="12"/>
      <c r="DME2241" s="12"/>
      <c r="DMF2241" s="12"/>
      <c r="DMG2241" s="12"/>
      <c r="DMH2241" s="12"/>
      <c r="DMI2241" s="12"/>
      <c r="DMJ2241" s="12"/>
      <c r="DMK2241" s="12"/>
      <c r="DML2241" s="12"/>
      <c r="DMM2241" s="12"/>
      <c r="DMN2241" s="12"/>
      <c r="DMO2241" s="12"/>
      <c r="DMP2241" s="12"/>
      <c r="DMQ2241" s="12"/>
    </row>
    <row r="2242" spans="3044:3059">
      <c r="DMB2242" s="12"/>
      <c r="DMC2242" s="12"/>
      <c r="DMD2242" s="12"/>
      <c r="DME2242" s="12"/>
      <c r="DMF2242" s="12"/>
      <c r="DMG2242" s="12"/>
      <c r="DMH2242" s="12"/>
      <c r="DMI2242" s="12"/>
      <c r="DMJ2242" s="12"/>
      <c r="DMK2242" s="12"/>
      <c r="DML2242" s="12"/>
      <c r="DMM2242" s="12"/>
      <c r="DMN2242" s="12"/>
      <c r="DMO2242" s="12"/>
      <c r="DMP2242" s="12"/>
      <c r="DMQ2242" s="12"/>
    </row>
    <row r="2243" spans="3044:3059">
      <c r="DMB2243" s="12"/>
      <c r="DMC2243" s="12"/>
      <c r="DMD2243" s="12"/>
      <c r="DME2243" s="12"/>
      <c r="DMF2243" s="12"/>
      <c r="DMG2243" s="12"/>
      <c r="DMH2243" s="12"/>
      <c r="DMI2243" s="12"/>
      <c r="DMJ2243" s="12"/>
      <c r="DMK2243" s="12"/>
      <c r="DML2243" s="12"/>
      <c r="DMM2243" s="12"/>
      <c r="DMN2243" s="12"/>
      <c r="DMO2243" s="12"/>
      <c r="DMP2243" s="12"/>
      <c r="DMQ2243" s="12"/>
    </row>
    <row r="2244" spans="3044:3059">
      <c r="DMB2244" s="12"/>
      <c r="DMC2244" s="12"/>
      <c r="DMD2244" s="12"/>
      <c r="DME2244" s="12"/>
      <c r="DMF2244" s="12"/>
      <c r="DMG2244" s="12"/>
      <c r="DMH2244" s="12"/>
      <c r="DMI2244" s="12"/>
      <c r="DMJ2244" s="12"/>
      <c r="DMK2244" s="12"/>
      <c r="DML2244" s="12"/>
      <c r="DMM2244" s="12"/>
      <c r="DMN2244" s="12"/>
      <c r="DMO2244" s="12"/>
      <c r="DMP2244" s="12"/>
      <c r="DMQ2244" s="12"/>
    </row>
    <row r="2245" spans="3044:3059">
      <c r="DMB2245" s="12"/>
      <c r="DMC2245" s="12"/>
      <c r="DMD2245" s="12"/>
      <c r="DME2245" s="12"/>
      <c r="DMF2245" s="12"/>
      <c r="DMG2245" s="12"/>
      <c r="DMH2245" s="12"/>
      <c r="DMI2245" s="12"/>
      <c r="DMJ2245" s="12"/>
      <c r="DMK2245" s="12"/>
      <c r="DML2245" s="12"/>
      <c r="DMM2245" s="12"/>
      <c r="DMN2245" s="12"/>
      <c r="DMO2245" s="12"/>
      <c r="DMP2245" s="12"/>
      <c r="DMQ2245" s="12"/>
    </row>
    <row r="2246" spans="3044:3059">
      <c r="DMB2246" s="12"/>
      <c r="DMC2246" s="12"/>
      <c r="DMD2246" s="12"/>
      <c r="DME2246" s="12"/>
      <c r="DMF2246" s="12"/>
      <c r="DMG2246" s="12"/>
      <c r="DMH2246" s="12"/>
      <c r="DMI2246" s="12"/>
      <c r="DMJ2246" s="12"/>
      <c r="DMK2246" s="12"/>
      <c r="DML2246" s="12"/>
      <c r="DMM2246" s="12"/>
      <c r="DMN2246" s="12"/>
      <c r="DMO2246" s="12"/>
      <c r="DMP2246" s="12"/>
      <c r="DMQ2246" s="12"/>
    </row>
    <row r="2247" spans="3044:3059">
      <c r="DMB2247" s="12"/>
      <c r="DMC2247" s="12"/>
      <c r="DMD2247" s="12"/>
      <c r="DME2247" s="12"/>
      <c r="DMF2247" s="12"/>
      <c r="DMG2247" s="12"/>
      <c r="DMH2247" s="12"/>
      <c r="DMI2247" s="12"/>
      <c r="DMJ2247" s="12"/>
      <c r="DMK2247" s="12"/>
      <c r="DML2247" s="12"/>
      <c r="DMM2247" s="12"/>
      <c r="DMN2247" s="12"/>
      <c r="DMO2247" s="12"/>
      <c r="DMP2247" s="12"/>
      <c r="DMQ2247" s="12"/>
    </row>
    <row r="2248" spans="3044:3059">
      <c r="DMB2248" s="12"/>
      <c r="DMC2248" s="12"/>
      <c r="DMD2248" s="12"/>
      <c r="DME2248" s="12"/>
      <c r="DMF2248" s="12"/>
      <c r="DMG2248" s="12"/>
      <c r="DMH2248" s="12"/>
      <c r="DMI2248" s="12"/>
      <c r="DMJ2248" s="12"/>
      <c r="DMK2248" s="12"/>
      <c r="DML2248" s="12"/>
      <c r="DMM2248" s="12"/>
      <c r="DMN2248" s="12"/>
      <c r="DMO2248" s="12"/>
      <c r="DMP2248" s="12"/>
      <c r="DMQ2248" s="12"/>
    </row>
    <row r="2249" spans="3044:3059">
      <c r="DMB2249" s="12"/>
      <c r="DMC2249" s="12"/>
      <c r="DMD2249" s="12"/>
      <c r="DME2249" s="12"/>
      <c r="DMF2249" s="12"/>
      <c r="DMG2249" s="12"/>
      <c r="DMH2249" s="12"/>
      <c r="DMI2249" s="12"/>
      <c r="DMJ2249" s="12"/>
      <c r="DMK2249" s="12"/>
      <c r="DML2249" s="12"/>
      <c r="DMM2249" s="12"/>
      <c r="DMN2249" s="12"/>
      <c r="DMO2249" s="12"/>
      <c r="DMP2249" s="12"/>
      <c r="DMQ2249" s="12"/>
    </row>
    <row r="2250" spans="3044:3059">
      <c r="DMB2250" s="12"/>
      <c r="DMC2250" s="12"/>
      <c r="DMD2250" s="12"/>
      <c r="DME2250" s="12"/>
      <c r="DMF2250" s="12"/>
      <c r="DMG2250" s="12"/>
      <c r="DMH2250" s="12"/>
      <c r="DMI2250" s="12"/>
      <c r="DMJ2250" s="12"/>
      <c r="DMK2250" s="12"/>
      <c r="DML2250" s="12"/>
      <c r="DMM2250" s="12"/>
      <c r="DMN2250" s="12"/>
      <c r="DMO2250" s="12"/>
      <c r="DMP2250" s="12"/>
      <c r="DMQ2250" s="12"/>
    </row>
    <row r="2251" spans="3044:3059">
      <c r="DMB2251" s="12"/>
      <c r="DMC2251" s="12"/>
      <c r="DMD2251" s="12"/>
      <c r="DME2251" s="12"/>
      <c r="DMF2251" s="12"/>
      <c r="DMG2251" s="12"/>
      <c r="DMH2251" s="12"/>
      <c r="DMI2251" s="12"/>
      <c r="DMJ2251" s="12"/>
      <c r="DMK2251" s="12"/>
      <c r="DML2251" s="12"/>
      <c r="DMM2251" s="12"/>
      <c r="DMN2251" s="12"/>
      <c r="DMO2251" s="12"/>
      <c r="DMP2251" s="12"/>
      <c r="DMQ2251" s="12"/>
    </row>
    <row r="2252" spans="3044:3059">
      <c r="DMB2252" s="12"/>
      <c r="DMC2252" s="12"/>
      <c r="DMD2252" s="12"/>
      <c r="DME2252" s="12"/>
      <c r="DMF2252" s="12"/>
      <c r="DMG2252" s="12"/>
      <c r="DMH2252" s="12"/>
      <c r="DMI2252" s="12"/>
      <c r="DMJ2252" s="12"/>
      <c r="DMK2252" s="12"/>
      <c r="DML2252" s="12"/>
      <c r="DMM2252" s="12"/>
      <c r="DMN2252" s="12"/>
      <c r="DMO2252" s="12"/>
      <c r="DMP2252" s="12"/>
      <c r="DMQ2252" s="12"/>
    </row>
    <row r="2253" spans="3044:3059">
      <c r="DMB2253" s="12"/>
      <c r="DMC2253" s="12"/>
      <c r="DMD2253" s="12"/>
      <c r="DME2253" s="12"/>
      <c r="DMF2253" s="12"/>
      <c r="DMG2253" s="12"/>
      <c r="DMH2253" s="12"/>
      <c r="DMI2253" s="12"/>
      <c r="DMJ2253" s="12"/>
      <c r="DMK2253" s="12"/>
      <c r="DML2253" s="12"/>
      <c r="DMM2253" s="12"/>
      <c r="DMN2253" s="12"/>
      <c r="DMO2253" s="12"/>
      <c r="DMP2253" s="12"/>
      <c r="DMQ2253" s="12"/>
    </row>
    <row r="2254" spans="3044:3059">
      <c r="DMB2254" s="12"/>
      <c r="DMC2254" s="12"/>
      <c r="DMD2254" s="12"/>
      <c r="DME2254" s="12"/>
      <c r="DMF2254" s="12"/>
      <c r="DMG2254" s="12"/>
      <c r="DMH2254" s="12"/>
      <c r="DMI2254" s="12"/>
      <c r="DMJ2254" s="12"/>
      <c r="DMK2254" s="12"/>
      <c r="DML2254" s="12"/>
      <c r="DMM2254" s="12"/>
      <c r="DMN2254" s="12"/>
      <c r="DMO2254" s="12"/>
      <c r="DMP2254" s="12"/>
      <c r="DMQ2254" s="12"/>
    </row>
    <row r="2255" spans="3044:3059">
      <c r="DMB2255" s="12"/>
      <c r="DMC2255" s="12"/>
      <c r="DMD2255" s="12"/>
      <c r="DME2255" s="12"/>
      <c r="DMF2255" s="12"/>
      <c r="DMG2255" s="12"/>
      <c r="DMH2255" s="12"/>
      <c r="DMI2255" s="12"/>
      <c r="DMJ2255" s="12"/>
      <c r="DMK2255" s="12"/>
      <c r="DML2255" s="12"/>
      <c r="DMM2255" s="12"/>
      <c r="DMN2255" s="12"/>
      <c r="DMO2255" s="12"/>
      <c r="DMP2255" s="12"/>
      <c r="DMQ2255" s="12"/>
    </row>
    <row r="2256" spans="3044:3059">
      <c r="DMB2256" s="12"/>
      <c r="DMC2256" s="12"/>
      <c r="DMD2256" s="12"/>
      <c r="DME2256" s="12"/>
      <c r="DMF2256" s="12"/>
      <c r="DMG2256" s="12"/>
      <c r="DMH2256" s="12"/>
      <c r="DMI2256" s="12"/>
      <c r="DMJ2256" s="12"/>
      <c r="DMK2256" s="12"/>
      <c r="DML2256" s="12"/>
      <c r="DMM2256" s="12"/>
      <c r="DMN2256" s="12"/>
      <c r="DMO2256" s="12"/>
      <c r="DMP2256" s="12"/>
      <c r="DMQ2256" s="12"/>
    </row>
    <row r="2257" spans="3044:3059">
      <c r="DMB2257" s="12"/>
      <c r="DMC2257" s="12"/>
      <c r="DMD2257" s="12"/>
      <c r="DME2257" s="12"/>
      <c r="DMF2257" s="12"/>
      <c r="DMG2257" s="12"/>
      <c r="DMH2257" s="12"/>
      <c r="DMI2257" s="12"/>
      <c r="DMJ2257" s="12"/>
      <c r="DMK2257" s="12"/>
      <c r="DML2257" s="12"/>
      <c r="DMM2257" s="12"/>
      <c r="DMN2257" s="12"/>
      <c r="DMO2257" s="12"/>
      <c r="DMP2257" s="12"/>
      <c r="DMQ2257" s="12"/>
    </row>
    <row r="2258" spans="3044:3059">
      <c r="DMB2258" s="12"/>
      <c r="DMC2258" s="12"/>
      <c r="DMD2258" s="12"/>
      <c r="DME2258" s="12"/>
      <c r="DMF2258" s="12"/>
      <c r="DMG2258" s="12"/>
      <c r="DMH2258" s="12"/>
      <c r="DMI2258" s="12"/>
      <c r="DMJ2258" s="12"/>
      <c r="DMK2258" s="12"/>
      <c r="DML2258" s="12"/>
      <c r="DMM2258" s="12"/>
      <c r="DMN2258" s="12"/>
      <c r="DMO2258" s="12"/>
      <c r="DMP2258" s="12"/>
      <c r="DMQ2258" s="12"/>
    </row>
    <row r="2259" spans="3044:3059">
      <c r="DMB2259" s="12"/>
      <c r="DMC2259" s="12"/>
      <c r="DMD2259" s="12"/>
      <c r="DME2259" s="12"/>
      <c r="DMF2259" s="12"/>
      <c r="DMG2259" s="12"/>
      <c r="DMH2259" s="12"/>
      <c r="DMI2259" s="12"/>
      <c r="DMJ2259" s="12"/>
      <c r="DMK2259" s="12"/>
      <c r="DML2259" s="12"/>
      <c r="DMM2259" s="12"/>
      <c r="DMN2259" s="12"/>
      <c r="DMO2259" s="12"/>
      <c r="DMP2259" s="12"/>
      <c r="DMQ2259" s="12"/>
    </row>
    <row r="2260" spans="3044:3059">
      <c r="DMB2260" s="12"/>
      <c r="DMC2260" s="12"/>
      <c r="DMD2260" s="12"/>
      <c r="DME2260" s="12"/>
      <c r="DMF2260" s="12"/>
      <c r="DMG2260" s="12"/>
      <c r="DMH2260" s="12"/>
      <c r="DMI2260" s="12"/>
      <c r="DMJ2260" s="12"/>
      <c r="DMK2260" s="12"/>
      <c r="DML2260" s="12"/>
      <c r="DMM2260" s="12"/>
      <c r="DMN2260" s="12"/>
      <c r="DMO2260" s="12"/>
      <c r="DMP2260" s="12"/>
      <c r="DMQ2260" s="12"/>
    </row>
    <row r="2261" spans="3044:3059">
      <c r="DMB2261" s="12"/>
      <c r="DMC2261" s="12"/>
      <c r="DMD2261" s="12"/>
      <c r="DME2261" s="12"/>
      <c r="DMF2261" s="12"/>
      <c r="DMG2261" s="12"/>
      <c r="DMH2261" s="12"/>
      <c r="DMI2261" s="12"/>
      <c r="DMJ2261" s="12"/>
      <c r="DMK2261" s="12"/>
      <c r="DML2261" s="12"/>
      <c r="DMM2261" s="12"/>
      <c r="DMN2261" s="12"/>
      <c r="DMO2261" s="12"/>
      <c r="DMP2261" s="12"/>
      <c r="DMQ2261" s="12"/>
    </row>
    <row r="2262" spans="3044:3059">
      <c r="DMB2262" s="12"/>
      <c r="DMC2262" s="12"/>
      <c r="DMD2262" s="12"/>
      <c r="DME2262" s="12"/>
      <c r="DMF2262" s="12"/>
      <c r="DMG2262" s="12"/>
      <c r="DMH2262" s="12"/>
      <c r="DMI2262" s="12"/>
      <c r="DMJ2262" s="12"/>
      <c r="DMK2262" s="12"/>
      <c r="DML2262" s="12"/>
      <c r="DMM2262" s="12"/>
      <c r="DMN2262" s="12"/>
      <c r="DMO2262" s="12"/>
      <c r="DMP2262" s="12"/>
      <c r="DMQ2262" s="12"/>
    </row>
    <row r="2263" spans="3044:3059">
      <c r="DMB2263" s="12"/>
      <c r="DMC2263" s="12"/>
      <c r="DMD2263" s="12"/>
      <c r="DME2263" s="12"/>
      <c r="DMF2263" s="12"/>
      <c r="DMG2263" s="12"/>
      <c r="DMH2263" s="12"/>
      <c r="DMI2263" s="12"/>
      <c r="DMJ2263" s="12"/>
      <c r="DMK2263" s="12"/>
      <c r="DML2263" s="12"/>
      <c r="DMM2263" s="12"/>
      <c r="DMN2263" s="12"/>
      <c r="DMO2263" s="12"/>
      <c r="DMP2263" s="12"/>
      <c r="DMQ2263" s="12"/>
    </row>
    <row r="2264" spans="3044:3059">
      <c r="DMB2264" s="12"/>
      <c r="DMC2264" s="12"/>
      <c r="DMD2264" s="12"/>
      <c r="DME2264" s="12"/>
      <c r="DMF2264" s="12"/>
      <c r="DMG2264" s="12"/>
      <c r="DMH2264" s="12"/>
      <c r="DMI2264" s="12"/>
      <c r="DMJ2264" s="12"/>
      <c r="DMK2264" s="12"/>
      <c r="DML2264" s="12"/>
      <c r="DMM2264" s="12"/>
      <c r="DMN2264" s="12"/>
      <c r="DMO2264" s="12"/>
      <c r="DMP2264" s="12"/>
      <c r="DMQ2264" s="12"/>
    </row>
    <row r="2265" spans="3044:3059">
      <c r="DMB2265" s="12"/>
      <c r="DMC2265" s="12"/>
      <c r="DMD2265" s="12"/>
      <c r="DME2265" s="12"/>
      <c r="DMF2265" s="12"/>
      <c r="DMG2265" s="12"/>
      <c r="DMH2265" s="12"/>
      <c r="DMI2265" s="12"/>
      <c r="DMJ2265" s="12"/>
      <c r="DMK2265" s="12"/>
      <c r="DML2265" s="12"/>
      <c r="DMM2265" s="12"/>
      <c r="DMN2265" s="12"/>
      <c r="DMO2265" s="12"/>
      <c r="DMP2265" s="12"/>
      <c r="DMQ2265" s="12"/>
    </row>
    <row r="2266" spans="3044:3059">
      <c r="DMB2266" s="12"/>
      <c r="DMC2266" s="12"/>
      <c r="DMD2266" s="12"/>
      <c r="DME2266" s="12"/>
      <c r="DMF2266" s="12"/>
      <c r="DMG2266" s="12"/>
      <c r="DMH2266" s="12"/>
      <c r="DMI2266" s="12"/>
      <c r="DMJ2266" s="12"/>
      <c r="DMK2266" s="12"/>
      <c r="DML2266" s="12"/>
      <c r="DMM2266" s="12"/>
      <c r="DMN2266" s="12"/>
      <c r="DMO2266" s="12"/>
      <c r="DMP2266" s="12"/>
      <c r="DMQ2266" s="12"/>
    </row>
    <row r="2267" spans="3044:3059">
      <c r="DMB2267" s="12"/>
      <c r="DMC2267" s="12"/>
      <c r="DMD2267" s="12"/>
      <c r="DME2267" s="12"/>
      <c r="DMF2267" s="12"/>
      <c r="DMG2267" s="12"/>
      <c r="DMH2267" s="12"/>
      <c r="DMI2267" s="12"/>
      <c r="DMJ2267" s="12"/>
      <c r="DMK2267" s="12"/>
      <c r="DML2267" s="12"/>
      <c r="DMM2267" s="12"/>
      <c r="DMN2267" s="12"/>
      <c r="DMO2267" s="12"/>
      <c r="DMP2267" s="12"/>
      <c r="DMQ2267" s="12"/>
    </row>
    <row r="2268" spans="3044:3059">
      <c r="DMB2268" s="12"/>
      <c r="DMC2268" s="12"/>
      <c r="DMD2268" s="12"/>
      <c r="DME2268" s="12"/>
      <c r="DMF2268" s="12"/>
      <c r="DMG2268" s="12"/>
      <c r="DMH2268" s="12"/>
      <c r="DMI2268" s="12"/>
      <c r="DMJ2268" s="12"/>
      <c r="DMK2268" s="12"/>
      <c r="DML2268" s="12"/>
      <c r="DMM2268" s="12"/>
      <c r="DMN2268" s="12"/>
      <c r="DMO2268" s="12"/>
      <c r="DMP2268" s="12"/>
      <c r="DMQ2268" s="12"/>
    </row>
    <row r="2269" spans="3044:3059">
      <c r="DMB2269" s="12"/>
      <c r="DMC2269" s="12"/>
      <c r="DMD2269" s="12"/>
      <c r="DME2269" s="12"/>
      <c r="DMF2269" s="12"/>
      <c r="DMG2269" s="12"/>
      <c r="DMH2269" s="12"/>
      <c r="DMI2269" s="12"/>
      <c r="DMJ2269" s="12"/>
      <c r="DMK2269" s="12"/>
      <c r="DML2269" s="12"/>
      <c r="DMM2269" s="12"/>
      <c r="DMN2269" s="12"/>
      <c r="DMO2269" s="12"/>
      <c r="DMP2269" s="12"/>
      <c r="DMQ2269" s="12"/>
    </row>
    <row r="2270" spans="3044:3059">
      <c r="DMB2270" s="12"/>
      <c r="DMC2270" s="12"/>
      <c r="DMD2270" s="12"/>
      <c r="DME2270" s="12"/>
      <c r="DMF2270" s="12"/>
      <c r="DMG2270" s="12"/>
      <c r="DMH2270" s="12"/>
      <c r="DMI2270" s="12"/>
      <c r="DMJ2270" s="12"/>
      <c r="DMK2270" s="12"/>
      <c r="DML2270" s="12"/>
      <c r="DMM2270" s="12"/>
      <c r="DMN2270" s="12"/>
      <c r="DMO2270" s="12"/>
      <c r="DMP2270" s="12"/>
      <c r="DMQ2270" s="12"/>
    </row>
    <row r="2271" spans="3044:3059">
      <c r="DMB2271" s="12"/>
      <c r="DMC2271" s="12"/>
      <c r="DMD2271" s="12"/>
      <c r="DME2271" s="12"/>
      <c r="DMF2271" s="12"/>
      <c r="DMG2271" s="12"/>
      <c r="DMH2271" s="12"/>
      <c r="DMI2271" s="12"/>
      <c r="DMJ2271" s="12"/>
      <c r="DMK2271" s="12"/>
      <c r="DML2271" s="12"/>
      <c r="DMM2271" s="12"/>
      <c r="DMN2271" s="12"/>
      <c r="DMO2271" s="12"/>
      <c r="DMP2271" s="12"/>
      <c r="DMQ2271" s="12"/>
    </row>
    <row r="2272" spans="3044:3059">
      <c r="DMB2272" s="12"/>
      <c r="DMC2272" s="12"/>
      <c r="DMD2272" s="12"/>
      <c r="DME2272" s="12"/>
      <c r="DMF2272" s="12"/>
      <c r="DMG2272" s="12"/>
      <c r="DMH2272" s="12"/>
      <c r="DMI2272" s="12"/>
      <c r="DMJ2272" s="12"/>
      <c r="DMK2272" s="12"/>
      <c r="DML2272" s="12"/>
      <c r="DMM2272" s="12"/>
      <c r="DMN2272" s="12"/>
      <c r="DMO2272" s="12"/>
      <c r="DMP2272" s="12"/>
      <c r="DMQ2272" s="12"/>
    </row>
    <row r="2273" spans="3044:3059">
      <c r="DMB2273" s="12"/>
      <c r="DMC2273" s="12"/>
      <c r="DMD2273" s="12"/>
      <c r="DME2273" s="12"/>
      <c r="DMF2273" s="12"/>
      <c r="DMG2273" s="12"/>
      <c r="DMH2273" s="12"/>
      <c r="DMI2273" s="12"/>
      <c r="DMJ2273" s="12"/>
      <c r="DMK2273" s="12"/>
      <c r="DML2273" s="12"/>
      <c r="DMM2273" s="12"/>
      <c r="DMN2273" s="12"/>
      <c r="DMO2273" s="12"/>
      <c r="DMP2273" s="12"/>
      <c r="DMQ2273" s="12"/>
    </row>
    <row r="2274" spans="3044:3059">
      <c r="DMB2274" s="12"/>
      <c r="DMC2274" s="12"/>
      <c r="DMD2274" s="12"/>
      <c r="DME2274" s="12"/>
      <c r="DMF2274" s="12"/>
      <c r="DMG2274" s="12"/>
      <c r="DMH2274" s="12"/>
      <c r="DMI2274" s="12"/>
      <c r="DMJ2274" s="12"/>
      <c r="DMK2274" s="12"/>
      <c r="DML2274" s="12"/>
      <c r="DMM2274" s="12"/>
      <c r="DMN2274" s="12"/>
      <c r="DMO2274" s="12"/>
      <c r="DMP2274" s="12"/>
      <c r="DMQ2274" s="12"/>
    </row>
    <row r="2275" spans="3044:3059">
      <c r="DMB2275" s="12"/>
      <c r="DMC2275" s="12"/>
      <c r="DMD2275" s="12"/>
      <c r="DME2275" s="12"/>
      <c r="DMF2275" s="12"/>
      <c r="DMG2275" s="12"/>
      <c r="DMH2275" s="12"/>
      <c r="DMI2275" s="12"/>
      <c r="DMJ2275" s="12"/>
      <c r="DMK2275" s="12"/>
      <c r="DML2275" s="12"/>
      <c r="DMM2275" s="12"/>
      <c r="DMN2275" s="12"/>
      <c r="DMO2275" s="12"/>
      <c r="DMP2275" s="12"/>
      <c r="DMQ2275" s="12"/>
    </row>
    <row r="2276" spans="3044:3059">
      <c r="DMB2276" s="12"/>
      <c r="DMC2276" s="12"/>
      <c r="DMD2276" s="12"/>
      <c r="DME2276" s="12"/>
      <c r="DMF2276" s="12"/>
      <c r="DMG2276" s="12"/>
      <c r="DMH2276" s="12"/>
      <c r="DMI2276" s="12"/>
      <c r="DMJ2276" s="12"/>
      <c r="DMK2276" s="12"/>
      <c r="DML2276" s="12"/>
      <c r="DMM2276" s="12"/>
      <c r="DMN2276" s="12"/>
      <c r="DMO2276" s="12"/>
      <c r="DMP2276" s="12"/>
      <c r="DMQ2276" s="12"/>
    </row>
    <row r="2277" spans="3044:3059">
      <c r="DMB2277" s="12"/>
      <c r="DMC2277" s="12"/>
      <c r="DMD2277" s="12"/>
      <c r="DME2277" s="12"/>
      <c r="DMF2277" s="12"/>
      <c r="DMG2277" s="12"/>
      <c r="DMH2277" s="12"/>
      <c r="DMI2277" s="12"/>
      <c r="DMJ2277" s="12"/>
      <c r="DMK2277" s="12"/>
      <c r="DML2277" s="12"/>
      <c r="DMM2277" s="12"/>
      <c r="DMN2277" s="12"/>
      <c r="DMO2277" s="12"/>
      <c r="DMP2277" s="12"/>
      <c r="DMQ2277" s="12"/>
    </row>
    <row r="2278" spans="3044:3059">
      <c r="DMB2278" s="12"/>
      <c r="DMC2278" s="12"/>
      <c r="DMD2278" s="12"/>
      <c r="DME2278" s="12"/>
      <c r="DMF2278" s="12"/>
      <c r="DMG2278" s="12"/>
      <c r="DMH2278" s="12"/>
      <c r="DMI2278" s="12"/>
      <c r="DMJ2278" s="12"/>
      <c r="DMK2278" s="12"/>
      <c r="DML2278" s="12"/>
      <c r="DMM2278" s="12"/>
      <c r="DMN2278" s="12"/>
      <c r="DMO2278" s="12"/>
      <c r="DMP2278" s="12"/>
      <c r="DMQ2278" s="12"/>
    </row>
    <row r="2279" spans="3044:3059">
      <c r="DMB2279" s="12"/>
      <c r="DMC2279" s="12"/>
      <c r="DMD2279" s="12"/>
      <c r="DME2279" s="12"/>
      <c r="DMF2279" s="12"/>
      <c r="DMG2279" s="12"/>
      <c r="DMH2279" s="12"/>
      <c r="DMI2279" s="12"/>
      <c r="DMJ2279" s="12"/>
      <c r="DMK2279" s="12"/>
      <c r="DML2279" s="12"/>
      <c r="DMM2279" s="12"/>
      <c r="DMN2279" s="12"/>
      <c r="DMO2279" s="12"/>
      <c r="DMP2279" s="12"/>
      <c r="DMQ2279" s="12"/>
    </row>
    <row r="2280" spans="3044:3059">
      <c r="DMB2280" s="12"/>
      <c r="DMC2280" s="12"/>
      <c r="DMD2280" s="12"/>
      <c r="DME2280" s="12"/>
      <c r="DMF2280" s="12"/>
      <c r="DMG2280" s="12"/>
      <c r="DMH2280" s="12"/>
      <c r="DMI2280" s="12"/>
      <c r="DMJ2280" s="12"/>
      <c r="DMK2280" s="12"/>
      <c r="DML2280" s="12"/>
      <c r="DMM2280" s="12"/>
      <c r="DMN2280" s="12"/>
      <c r="DMO2280" s="12"/>
      <c r="DMP2280" s="12"/>
      <c r="DMQ2280" s="12"/>
    </row>
    <row r="2281" spans="3044:3059">
      <c r="DMB2281" s="12"/>
      <c r="DMC2281" s="12"/>
      <c r="DMD2281" s="12"/>
      <c r="DME2281" s="12"/>
      <c r="DMF2281" s="12"/>
      <c r="DMG2281" s="12"/>
      <c r="DMH2281" s="12"/>
      <c r="DMI2281" s="12"/>
      <c r="DMJ2281" s="12"/>
      <c r="DMK2281" s="12"/>
      <c r="DML2281" s="12"/>
      <c r="DMM2281" s="12"/>
      <c r="DMN2281" s="12"/>
      <c r="DMO2281" s="12"/>
      <c r="DMP2281" s="12"/>
      <c r="DMQ2281" s="12"/>
    </row>
    <row r="2282" spans="3044:3059">
      <c r="DMB2282" s="12"/>
      <c r="DMC2282" s="12"/>
      <c r="DMD2282" s="12"/>
      <c r="DME2282" s="12"/>
      <c r="DMF2282" s="12"/>
      <c r="DMG2282" s="12"/>
      <c r="DMH2282" s="12"/>
      <c r="DMI2282" s="12"/>
      <c r="DMJ2282" s="12"/>
      <c r="DMK2282" s="12"/>
      <c r="DML2282" s="12"/>
      <c r="DMM2282" s="12"/>
      <c r="DMN2282" s="12"/>
      <c r="DMO2282" s="12"/>
      <c r="DMP2282" s="12"/>
      <c r="DMQ2282" s="12"/>
    </row>
    <row r="2283" spans="3044:3059">
      <c r="DMB2283" s="12"/>
      <c r="DMC2283" s="12"/>
      <c r="DMD2283" s="12"/>
      <c r="DME2283" s="12"/>
      <c r="DMF2283" s="12"/>
      <c r="DMG2283" s="12"/>
      <c r="DMH2283" s="12"/>
      <c r="DMI2283" s="12"/>
      <c r="DMJ2283" s="12"/>
      <c r="DMK2283" s="12"/>
      <c r="DML2283" s="12"/>
      <c r="DMM2283" s="12"/>
      <c r="DMN2283" s="12"/>
      <c r="DMO2283" s="12"/>
      <c r="DMP2283" s="12"/>
      <c r="DMQ2283" s="12"/>
    </row>
    <row r="2284" spans="3044:3059">
      <c r="DMB2284" s="12"/>
      <c r="DMC2284" s="12"/>
      <c r="DMD2284" s="12"/>
      <c r="DME2284" s="12"/>
      <c r="DMF2284" s="12"/>
      <c r="DMG2284" s="12"/>
      <c r="DMH2284" s="12"/>
      <c r="DMI2284" s="12"/>
      <c r="DMJ2284" s="12"/>
      <c r="DMK2284" s="12"/>
      <c r="DML2284" s="12"/>
      <c r="DMM2284" s="12"/>
      <c r="DMN2284" s="12"/>
      <c r="DMO2284" s="12"/>
      <c r="DMP2284" s="12"/>
      <c r="DMQ2284" s="12"/>
    </row>
    <row r="2285" spans="3044:3059">
      <c r="DMB2285" s="12"/>
      <c r="DMC2285" s="12"/>
      <c r="DMD2285" s="12"/>
      <c r="DME2285" s="12"/>
      <c r="DMF2285" s="12"/>
      <c r="DMG2285" s="12"/>
      <c r="DMH2285" s="12"/>
      <c r="DMI2285" s="12"/>
      <c r="DMJ2285" s="12"/>
      <c r="DMK2285" s="12"/>
      <c r="DML2285" s="12"/>
      <c r="DMM2285" s="12"/>
      <c r="DMN2285" s="12"/>
      <c r="DMO2285" s="12"/>
      <c r="DMP2285" s="12"/>
      <c r="DMQ2285" s="12"/>
    </row>
    <row r="2286" spans="3044:3059">
      <c r="DMB2286" s="12"/>
      <c r="DMC2286" s="12"/>
      <c r="DMD2286" s="12"/>
      <c r="DME2286" s="12"/>
      <c r="DMF2286" s="12"/>
      <c r="DMG2286" s="12"/>
      <c r="DMH2286" s="12"/>
      <c r="DMI2286" s="12"/>
      <c r="DMJ2286" s="12"/>
      <c r="DMK2286" s="12"/>
      <c r="DML2286" s="12"/>
      <c r="DMM2286" s="12"/>
      <c r="DMN2286" s="12"/>
      <c r="DMO2286" s="12"/>
      <c r="DMP2286" s="12"/>
      <c r="DMQ2286" s="12"/>
    </row>
    <row r="2287" spans="3044:3059">
      <c r="DMB2287" s="12"/>
      <c r="DMC2287" s="12"/>
      <c r="DMD2287" s="12"/>
      <c r="DME2287" s="12"/>
      <c r="DMF2287" s="12"/>
      <c r="DMG2287" s="12"/>
      <c r="DMH2287" s="12"/>
      <c r="DMI2287" s="12"/>
      <c r="DMJ2287" s="12"/>
      <c r="DMK2287" s="12"/>
      <c r="DML2287" s="12"/>
      <c r="DMM2287" s="12"/>
      <c r="DMN2287" s="12"/>
      <c r="DMO2287" s="12"/>
      <c r="DMP2287" s="12"/>
      <c r="DMQ2287" s="12"/>
    </row>
    <row r="2288" spans="3044:3059">
      <c r="DMB2288" s="12"/>
      <c r="DMC2288" s="12"/>
      <c r="DMD2288" s="12"/>
      <c r="DME2288" s="12"/>
      <c r="DMF2288" s="12"/>
      <c r="DMG2288" s="12"/>
      <c r="DMH2288" s="12"/>
      <c r="DMI2288" s="12"/>
      <c r="DMJ2288" s="12"/>
      <c r="DMK2288" s="12"/>
      <c r="DML2288" s="12"/>
      <c r="DMM2288" s="12"/>
      <c r="DMN2288" s="12"/>
      <c r="DMO2288" s="12"/>
      <c r="DMP2288" s="12"/>
      <c r="DMQ2288" s="12"/>
    </row>
    <row r="2289" spans="3044:3059">
      <c r="DMB2289" s="12"/>
      <c r="DMC2289" s="12"/>
      <c r="DMD2289" s="12"/>
      <c r="DME2289" s="12"/>
      <c r="DMF2289" s="12"/>
      <c r="DMG2289" s="12"/>
      <c r="DMH2289" s="12"/>
      <c r="DMI2289" s="12"/>
      <c r="DMJ2289" s="12"/>
      <c r="DMK2289" s="12"/>
      <c r="DML2289" s="12"/>
      <c r="DMM2289" s="12"/>
      <c r="DMN2289" s="12"/>
      <c r="DMO2289" s="12"/>
      <c r="DMP2289" s="12"/>
      <c r="DMQ2289" s="12"/>
    </row>
    <row r="2290" spans="3044:3059">
      <c r="DMB2290" s="12"/>
      <c r="DMC2290" s="12"/>
      <c r="DMD2290" s="12"/>
      <c r="DME2290" s="12"/>
      <c r="DMF2290" s="12"/>
      <c r="DMG2290" s="12"/>
      <c r="DMH2290" s="12"/>
      <c r="DMI2290" s="12"/>
      <c r="DMJ2290" s="12"/>
      <c r="DMK2290" s="12"/>
      <c r="DML2290" s="12"/>
      <c r="DMM2290" s="12"/>
      <c r="DMN2290" s="12"/>
      <c r="DMO2290" s="12"/>
      <c r="DMP2290" s="12"/>
      <c r="DMQ2290" s="12"/>
    </row>
    <row r="2291" spans="3044:3059">
      <c r="DMB2291" s="12"/>
      <c r="DMC2291" s="12"/>
      <c r="DMD2291" s="12"/>
      <c r="DME2291" s="12"/>
      <c r="DMF2291" s="12"/>
      <c r="DMG2291" s="12"/>
      <c r="DMH2291" s="12"/>
      <c r="DMI2291" s="12"/>
      <c r="DMJ2291" s="12"/>
      <c r="DMK2291" s="12"/>
      <c r="DML2291" s="12"/>
      <c r="DMM2291" s="12"/>
      <c r="DMN2291" s="12"/>
      <c r="DMO2291" s="12"/>
      <c r="DMP2291" s="12"/>
      <c r="DMQ2291" s="12"/>
    </row>
    <row r="2292" spans="3044:3059">
      <c r="DMB2292" s="12"/>
      <c r="DMC2292" s="12"/>
      <c r="DMD2292" s="12"/>
      <c r="DME2292" s="12"/>
      <c r="DMF2292" s="12"/>
      <c r="DMG2292" s="12"/>
      <c r="DMH2292" s="12"/>
      <c r="DMI2292" s="12"/>
      <c r="DMJ2292" s="12"/>
      <c r="DMK2292" s="12"/>
      <c r="DML2292" s="12"/>
      <c r="DMM2292" s="12"/>
      <c r="DMN2292" s="12"/>
      <c r="DMO2292" s="12"/>
      <c r="DMP2292" s="12"/>
      <c r="DMQ2292" s="12"/>
    </row>
    <row r="2293" spans="3044:3059">
      <c r="DMB2293" s="12"/>
      <c r="DMC2293" s="12"/>
      <c r="DMD2293" s="12"/>
      <c r="DME2293" s="12"/>
      <c r="DMF2293" s="12"/>
      <c r="DMG2293" s="12"/>
      <c r="DMH2293" s="12"/>
      <c r="DMI2293" s="12"/>
      <c r="DMJ2293" s="12"/>
      <c r="DMK2293" s="12"/>
      <c r="DML2293" s="12"/>
      <c r="DMM2293" s="12"/>
      <c r="DMN2293" s="12"/>
      <c r="DMO2293" s="12"/>
      <c r="DMP2293" s="12"/>
      <c r="DMQ2293" s="12"/>
    </row>
    <row r="2294" spans="3044:3059">
      <c r="DMB2294" s="12"/>
      <c r="DMC2294" s="12"/>
      <c r="DMD2294" s="12"/>
      <c r="DME2294" s="12"/>
      <c r="DMF2294" s="12"/>
      <c r="DMG2294" s="12"/>
      <c r="DMH2294" s="12"/>
      <c r="DMI2294" s="12"/>
      <c r="DMJ2294" s="12"/>
      <c r="DMK2294" s="12"/>
      <c r="DML2294" s="12"/>
      <c r="DMM2294" s="12"/>
      <c r="DMN2294" s="12"/>
      <c r="DMO2294" s="12"/>
      <c r="DMP2294" s="12"/>
      <c r="DMQ2294" s="12"/>
    </row>
    <row r="2295" spans="3044:3059">
      <c r="DMB2295" s="12"/>
      <c r="DMC2295" s="12"/>
      <c r="DMD2295" s="12"/>
      <c r="DME2295" s="12"/>
      <c r="DMF2295" s="12"/>
      <c r="DMG2295" s="12"/>
      <c r="DMH2295" s="12"/>
      <c r="DMI2295" s="12"/>
      <c r="DMJ2295" s="12"/>
      <c r="DMK2295" s="12"/>
      <c r="DML2295" s="12"/>
      <c r="DMM2295" s="12"/>
      <c r="DMN2295" s="12"/>
      <c r="DMO2295" s="12"/>
      <c r="DMP2295" s="12"/>
      <c r="DMQ2295" s="12"/>
    </row>
    <row r="2296" spans="3044:3059">
      <c r="DMB2296" s="12"/>
      <c r="DMC2296" s="12"/>
      <c r="DMD2296" s="12"/>
      <c r="DME2296" s="12"/>
      <c r="DMF2296" s="12"/>
      <c r="DMG2296" s="12"/>
      <c r="DMH2296" s="12"/>
      <c r="DMI2296" s="12"/>
      <c r="DMJ2296" s="12"/>
      <c r="DMK2296" s="12"/>
      <c r="DML2296" s="12"/>
      <c r="DMM2296" s="12"/>
      <c r="DMN2296" s="12"/>
      <c r="DMO2296" s="12"/>
      <c r="DMP2296" s="12"/>
      <c r="DMQ2296" s="12"/>
    </row>
    <row r="2297" spans="3044:3059">
      <c r="DMB2297" s="12"/>
      <c r="DMC2297" s="12"/>
      <c r="DMD2297" s="12"/>
      <c r="DME2297" s="12"/>
      <c r="DMF2297" s="12"/>
      <c r="DMG2297" s="12"/>
      <c r="DMH2297" s="12"/>
      <c r="DMI2297" s="12"/>
      <c r="DMJ2297" s="12"/>
      <c r="DMK2297" s="12"/>
      <c r="DML2297" s="12"/>
      <c r="DMM2297" s="12"/>
      <c r="DMN2297" s="12"/>
      <c r="DMO2297" s="12"/>
      <c r="DMP2297" s="12"/>
      <c r="DMQ2297" s="12"/>
    </row>
    <row r="2298" spans="3044:3059">
      <c r="DMB2298" s="12"/>
      <c r="DMC2298" s="12"/>
      <c r="DMD2298" s="12"/>
      <c r="DME2298" s="12"/>
      <c r="DMF2298" s="12"/>
      <c r="DMG2298" s="12"/>
      <c r="DMH2298" s="12"/>
      <c r="DMI2298" s="12"/>
      <c r="DMJ2298" s="12"/>
      <c r="DMK2298" s="12"/>
      <c r="DML2298" s="12"/>
      <c r="DMM2298" s="12"/>
      <c r="DMN2298" s="12"/>
      <c r="DMO2298" s="12"/>
      <c r="DMP2298" s="12"/>
      <c r="DMQ2298" s="12"/>
    </row>
    <row r="2299" spans="3044:3059">
      <c r="DMB2299" s="12"/>
      <c r="DMC2299" s="12"/>
      <c r="DMD2299" s="12"/>
      <c r="DME2299" s="12"/>
      <c r="DMF2299" s="12"/>
      <c r="DMG2299" s="12"/>
      <c r="DMH2299" s="12"/>
      <c r="DMI2299" s="12"/>
      <c r="DMJ2299" s="12"/>
      <c r="DMK2299" s="12"/>
      <c r="DML2299" s="12"/>
      <c r="DMM2299" s="12"/>
      <c r="DMN2299" s="12"/>
      <c r="DMO2299" s="12"/>
      <c r="DMP2299" s="12"/>
      <c r="DMQ2299" s="12"/>
    </row>
    <row r="2300" spans="3044:3059">
      <c r="DMB2300" s="12"/>
      <c r="DMC2300" s="12"/>
      <c r="DMD2300" s="12"/>
      <c r="DME2300" s="12"/>
      <c r="DMF2300" s="12"/>
      <c r="DMG2300" s="12"/>
      <c r="DMH2300" s="12"/>
      <c r="DMI2300" s="12"/>
      <c r="DMJ2300" s="12"/>
      <c r="DMK2300" s="12"/>
      <c r="DML2300" s="12"/>
      <c r="DMM2300" s="12"/>
      <c r="DMN2300" s="12"/>
      <c r="DMO2300" s="12"/>
      <c r="DMP2300" s="12"/>
      <c r="DMQ2300" s="12"/>
    </row>
    <row r="2301" spans="3044:3059">
      <c r="DMB2301" s="12"/>
      <c r="DMC2301" s="12"/>
      <c r="DMD2301" s="12"/>
      <c r="DME2301" s="12"/>
      <c r="DMF2301" s="12"/>
      <c r="DMG2301" s="12"/>
      <c r="DMH2301" s="12"/>
      <c r="DMI2301" s="12"/>
      <c r="DMJ2301" s="12"/>
      <c r="DMK2301" s="12"/>
      <c r="DML2301" s="12"/>
      <c r="DMM2301" s="12"/>
      <c r="DMN2301" s="12"/>
      <c r="DMO2301" s="12"/>
      <c r="DMP2301" s="12"/>
      <c r="DMQ2301" s="12"/>
    </row>
    <row r="2302" spans="3044:3059">
      <c r="DMB2302" s="12"/>
      <c r="DMC2302" s="12"/>
      <c r="DMD2302" s="12"/>
      <c r="DME2302" s="12"/>
      <c r="DMF2302" s="12"/>
      <c r="DMG2302" s="12"/>
      <c r="DMH2302" s="12"/>
      <c r="DMI2302" s="12"/>
      <c r="DMJ2302" s="12"/>
      <c r="DMK2302" s="12"/>
      <c r="DML2302" s="12"/>
      <c r="DMM2302" s="12"/>
      <c r="DMN2302" s="12"/>
      <c r="DMO2302" s="12"/>
      <c r="DMP2302" s="12"/>
      <c r="DMQ2302" s="12"/>
    </row>
    <row r="2303" spans="3044:3059">
      <c r="DMB2303" s="12"/>
      <c r="DMC2303" s="12"/>
      <c r="DMD2303" s="12"/>
      <c r="DME2303" s="12"/>
      <c r="DMF2303" s="12"/>
      <c r="DMG2303" s="12"/>
      <c r="DMH2303" s="12"/>
      <c r="DMI2303" s="12"/>
      <c r="DMJ2303" s="12"/>
      <c r="DMK2303" s="12"/>
      <c r="DML2303" s="12"/>
      <c r="DMM2303" s="12"/>
      <c r="DMN2303" s="12"/>
      <c r="DMO2303" s="12"/>
      <c r="DMP2303" s="12"/>
      <c r="DMQ2303" s="12"/>
    </row>
    <row r="2304" spans="3044:3059">
      <c r="DMB2304" s="12"/>
      <c r="DMC2304" s="12"/>
      <c r="DMD2304" s="12"/>
      <c r="DME2304" s="12"/>
      <c r="DMF2304" s="12"/>
      <c r="DMG2304" s="12"/>
      <c r="DMH2304" s="12"/>
      <c r="DMI2304" s="12"/>
      <c r="DMJ2304" s="12"/>
      <c r="DMK2304" s="12"/>
      <c r="DML2304" s="12"/>
      <c r="DMM2304" s="12"/>
      <c r="DMN2304" s="12"/>
      <c r="DMO2304" s="12"/>
      <c r="DMP2304" s="12"/>
      <c r="DMQ2304" s="12"/>
    </row>
    <row r="2305" spans="3044:3059">
      <c r="DMB2305" s="12"/>
      <c r="DMC2305" s="12"/>
      <c r="DMD2305" s="12"/>
      <c r="DME2305" s="12"/>
      <c r="DMF2305" s="12"/>
      <c r="DMG2305" s="12"/>
      <c r="DMH2305" s="12"/>
      <c r="DMI2305" s="12"/>
      <c r="DMJ2305" s="12"/>
      <c r="DMK2305" s="12"/>
      <c r="DML2305" s="12"/>
      <c r="DMM2305" s="12"/>
      <c r="DMN2305" s="12"/>
      <c r="DMO2305" s="12"/>
      <c r="DMP2305" s="12"/>
      <c r="DMQ2305" s="12"/>
    </row>
    <row r="2306" spans="3044:3059">
      <c r="DMB2306" s="12"/>
      <c r="DMC2306" s="12"/>
      <c r="DMD2306" s="12"/>
      <c r="DME2306" s="12"/>
      <c r="DMF2306" s="12"/>
      <c r="DMG2306" s="12"/>
      <c r="DMH2306" s="12"/>
      <c r="DMI2306" s="12"/>
      <c r="DMJ2306" s="12"/>
      <c r="DMK2306" s="12"/>
      <c r="DML2306" s="12"/>
      <c r="DMM2306" s="12"/>
      <c r="DMN2306" s="12"/>
      <c r="DMO2306" s="12"/>
      <c r="DMP2306" s="12"/>
      <c r="DMQ2306" s="12"/>
    </row>
    <row r="2307" spans="3044:3059">
      <c r="DMB2307" s="12"/>
      <c r="DMC2307" s="12"/>
      <c r="DMD2307" s="12"/>
      <c r="DME2307" s="12"/>
      <c r="DMF2307" s="12"/>
      <c r="DMG2307" s="12"/>
      <c r="DMH2307" s="12"/>
      <c r="DMI2307" s="12"/>
      <c r="DMJ2307" s="12"/>
      <c r="DMK2307" s="12"/>
      <c r="DML2307" s="12"/>
      <c r="DMM2307" s="12"/>
      <c r="DMN2307" s="12"/>
      <c r="DMO2307" s="12"/>
      <c r="DMP2307" s="12"/>
      <c r="DMQ2307" s="12"/>
    </row>
    <row r="2308" spans="3044:3059">
      <c r="DMB2308" s="12"/>
      <c r="DMC2308" s="12"/>
      <c r="DMD2308" s="12"/>
      <c r="DME2308" s="12"/>
      <c r="DMF2308" s="12"/>
      <c r="DMG2308" s="12"/>
      <c r="DMH2308" s="12"/>
      <c r="DMI2308" s="12"/>
      <c r="DMJ2308" s="12"/>
      <c r="DMK2308" s="12"/>
      <c r="DML2308" s="12"/>
      <c r="DMM2308" s="12"/>
      <c r="DMN2308" s="12"/>
      <c r="DMO2308" s="12"/>
      <c r="DMP2308" s="12"/>
      <c r="DMQ2308" s="12"/>
    </row>
    <row r="2309" spans="3044:3059">
      <c r="DMB2309" s="12"/>
      <c r="DMC2309" s="12"/>
      <c r="DMD2309" s="12"/>
      <c r="DME2309" s="12"/>
      <c r="DMF2309" s="12"/>
      <c r="DMG2309" s="12"/>
      <c r="DMH2309" s="12"/>
      <c r="DMI2309" s="12"/>
      <c r="DMJ2309" s="12"/>
      <c r="DMK2309" s="12"/>
      <c r="DML2309" s="12"/>
      <c r="DMM2309" s="12"/>
      <c r="DMN2309" s="12"/>
      <c r="DMO2309" s="12"/>
      <c r="DMP2309" s="12"/>
      <c r="DMQ2309" s="12"/>
    </row>
    <row r="2310" spans="3044:3059">
      <c r="DMB2310" s="12"/>
      <c r="DMC2310" s="12"/>
      <c r="DMD2310" s="12"/>
      <c r="DME2310" s="12"/>
      <c r="DMF2310" s="12"/>
      <c r="DMG2310" s="12"/>
      <c r="DMH2310" s="12"/>
      <c r="DMI2310" s="12"/>
      <c r="DMJ2310" s="12"/>
      <c r="DMK2310" s="12"/>
      <c r="DML2310" s="12"/>
      <c r="DMM2310" s="12"/>
      <c r="DMN2310" s="12"/>
      <c r="DMO2310" s="12"/>
      <c r="DMP2310" s="12"/>
      <c r="DMQ2310" s="12"/>
    </row>
    <row r="2311" spans="3044:3059">
      <c r="DMB2311" s="12"/>
      <c r="DMC2311" s="12"/>
      <c r="DMD2311" s="12"/>
      <c r="DME2311" s="12"/>
      <c r="DMF2311" s="12"/>
      <c r="DMG2311" s="12"/>
      <c r="DMH2311" s="12"/>
      <c r="DMI2311" s="12"/>
      <c r="DMJ2311" s="12"/>
      <c r="DMK2311" s="12"/>
      <c r="DML2311" s="12"/>
      <c r="DMM2311" s="12"/>
      <c r="DMN2311" s="12"/>
      <c r="DMO2311" s="12"/>
      <c r="DMP2311" s="12"/>
      <c r="DMQ2311" s="12"/>
    </row>
    <row r="2312" spans="3044:3059">
      <c r="DMB2312" s="12"/>
      <c r="DMC2312" s="12"/>
      <c r="DMD2312" s="12"/>
      <c r="DME2312" s="12"/>
      <c r="DMF2312" s="12"/>
      <c r="DMG2312" s="12"/>
      <c r="DMH2312" s="12"/>
      <c r="DMI2312" s="12"/>
      <c r="DMJ2312" s="12"/>
      <c r="DMK2312" s="12"/>
      <c r="DML2312" s="12"/>
      <c r="DMM2312" s="12"/>
      <c r="DMN2312" s="12"/>
      <c r="DMO2312" s="12"/>
      <c r="DMP2312" s="12"/>
      <c r="DMQ2312" s="12"/>
    </row>
    <row r="2313" spans="3044:3059">
      <c r="DMB2313" s="12"/>
      <c r="DMC2313" s="12"/>
      <c r="DMD2313" s="12"/>
      <c r="DME2313" s="12"/>
      <c r="DMF2313" s="12"/>
      <c r="DMG2313" s="12"/>
      <c r="DMH2313" s="12"/>
      <c r="DMI2313" s="12"/>
      <c r="DMJ2313" s="12"/>
      <c r="DMK2313" s="12"/>
      <c r="DML2313" s="12"/>
      <c r="DMM2313" s="12"/>
      <c r="DMN2313" s="12"/>
      <c r="DMO2313" s="12"/>
      <c r="DMP2313" s="12"/>
      <c r="DMQ2313" s="12"/>
    </row>
    <row r="2314" spans="3044:3059">
      <c r="DMB2314" s="12"/>
      <c r="DMC2314" s="12"/>
      <c r="DMD2314" s="12"/>
      <c r="DME2314" s="12"/>
      <c r="DMF2314" s="12"/>
      <c r="DMG2314" s="12"/>
      <c r="DMH2314" s="12"/>
      <c r="DMI2314" s="12"/>
      <c r="DMJ2314" s="12"/>
      <c r="DMK2314" s="12"/>
      <c r="DML2314" s="12"/>
      <c r="DMM2314" s="12"/>
      <c r="DMN2314" s="12"/>
      <c r="DMO2314" s="12"/>
      <c r="DMP2314" s="12"/>
      <c r="DMQ2314" s="12"/>
    </row>
    <row r="2315" spans="3044:3059">
      <c r="DMB2315" s="12"/>
      <c r="DMC2315" s="12"/>
      <c r="DMD2315" s="12"/>
      <c r="DME2315" s="12"/>
      <c r="DMF2315" s="12"/>
      <c r="DMG2315" s="12"/>
      <c r="DMH2315" s="12"/>
      <c r="DMI2315" s="12"/>
      <c r="DMJ2315" s="12"/>
      <c r="DMK2315" s="12"/>
      <c r="DML2315" s="12"/>
      <c r="DMM2315" s="12"/>
      <c r="DMN2315" s="12"/>
      <c r="DMO2315" s="12"/>
      <c r="DMP2315" s="12"/>
      <c r="DMQ2315" s="12"/>
    </row>
    <row r="2316" spans="3044:3059">
      <c r="DMB2316" s="12"/>
      <c r="DMC2316" s="12"/>
      <c r="DMD2316" s="12"/>
      <c r="DME2316" s="12"/>
      <c r="DMF2316" s="12"/>
      <c r="DMG2316" s="12"/>
      <c r="DMH2316" s="12"/>
      <c r="DMI2316" s="12"/>
      <c r="DMJ2316" s="12"/>
      <c r="DMK2316" s="12"/>
      <c r="DML2316" s="12"/>
      <c r="DMM2316" s="12"/>
      <c r="DMN2316" s="12"/>
      <c r="DMO2316" s="12"/>
      <c r="DMP2316" s="12"/>
      <c r="DMQ2316" s="12"/>
    </row>
    <row r="2317" spans="3044:3059">
      <c r="DMB2317" s="12"/>
      <c r="DMC2317" s="12"/>
      <c r="DMD2317" s="12"/>
      <c r="DME2317" s="12"/>
      <c r="DMF2317" s="12"/>
      <c r="DMG2317" s="12"/>
      <c r="DMH2317" s="12"/>
      <c r="DMI2317" s="12"/>
      <c r="DMJ2317" s="12"/>
      <c r="DMK2317" s="12"/>
      <c r="DML2317" s="12"/>
      <c r="DMM2317" s="12"/>
      <c r="DMN2317" s="12"/>
      <c r="DMO2317" s="12"/>
      <c r="DMP2317" s="12"/>
      <c r="DMQ2317" s="12"/>
    </row>
    <row r="2318" spans="3044:3059">
      <c r="DMB2318" s="12"/>
      <c r="DMC2318" s="12"/>
      <c r="DMD2318" s="12"/>
      <c r="DME2318" s="12"/>
      <c r="DMF2318" s="12"/>
      <c r="DMG2318" s="12"/>
      <c r="DMH2318" s="12"/>
      <c r="DMI2318" s="12"/>
      <c r="DMJ2318" s="12"/>
      <c r="DMK2318" s="12"/>
      <c r="DML2318" s="12"/>
      <c r="DMM2318" s="12"/>
      <c r="DMN2318" s="12"/>
      <c r="DMO2318" s="12"/>
      <c r="DMP2318" s="12"/>
      <c r="DMQ2318" s="12"/>
    </row>
    <row r="2319" spans="3044:3059">
      <c r="DMB2319" s="12"/>
      <c r="DMC2319" s="12"/>
      <c r="DMD2319" s="12"/>
      <c r="DME2319" s="12"/>
      <c r="DMF2319" s="12"/>
      <c r="DMG2319" s="12"/>
      <c r="DMH2319" s="12"/>
      <c r="DMI2319" s="12"/>
      <c r="DMJ2319" s="12"/>
      <c r="DMK2319" s="12"/>
      <c r="DML2319" s="12"/>
      <c r="DMM2319" s="12"/>
      <c r="DMN2319" s="12"/>
      <c r="DMO2319" s="12"/>
      <c r="DMP2319" s="12"/>
      <c r="DMQ2319" s="12"/>
    </row>
    <row r="2320" spans="3044:3059">
      <c r="DMB2320" s="12"/>
      <c r="DMC2320" s="12"/>
      <c r="DMD2320" s="12"/>
      <c r="DME2320" s="12"/>
      <c r="DMF2320" s="12"/>
      <c r="DMG2320" s="12"/>
      <c r="DMH2320" s="12"/>
      <c r="DMI2320" s="12"/>
      <c r="DMJ2320" s="12"/>
      <c r="DMK2320" s="12"/>
      <c r="DML2320" s="12"/>
      <c r="DMM2320" s="12"/>
      <c r="DMN2320" s="12"/>
      <c r="DMO2320" s="12"/>
      <c r="DMP2320" s="12"/>
      <c r="DMQ2320" s="12"/>
    </row>
    <row r="2321" spans="3044:3059">
      <c r="DMB2321" s="12"/>
      <c r="DMC2321" s="12"/>
      <c r="DMD2321" s="12"/>
      <c r="DME2321" s="12"/>
      <c r="DMF2321" s="12"/>
      <c r="DMG2321" s="12"/>
      <c r="DMH2321" s="12"/>
      <c r="DMI2321" s="12"/>
      <c r="DMJ2321" s="12"/>
      <c r="DMK2321" s="12"/>
      <c r="DML2321" s="12"/>
      <c r="DMM2321" s="12"/>
      <c r="DMN2321" s="12"/>
      <c r="DMO2321" s="12"/>
      <c r="DMP2321" s="12"/>
      <c r="DMQ2321" s="12"/>
    </row>
    <row r="2322" spans="3044:3059">
      <c r="DMB2322" s="12"/>
      <c r="DMC2322" s="12"/>
      <c r="DMD2322" s="12"/>
      <c r="DME2322" s="12"/>
      <c r="DMF2322" s="12"/>
      <c r="DMG2322" s="12"/>
      <c r="DMH2322" s="12"/>
      <c r="DMI2322" s="12"/>
      <c r="DMJ2322" s="12"/>
      <c r="DMK2322" s="12"/>
      <c r="DML2322" s="12"/>
      <c r="DMM2322" s="12"/>
      <c r="DMN2322" s="12"/>
      <c r="DMO2322" s="12"/>
      <c r="DMP2322" s="12"/>
      <c r="DMQ2322" s="12"/>
    </row>
    <row r="2323" spans="3044:3059">
      <c r="DMB2323" s="12"/>
      <c r="DMC2323" s="12"/>
      <c r="DMD2323" s="12"/>
      <c r="DME2323" s="12"/>
      <c r="DMF2323" s="12"/>
      <c r="DMG2323" s="12"/>
      <c r="DMH2323" s="12"/>
      <c r="DMI2323" s="12"/>
      <c r="DMJ2323" s="12"/>
      <c r="DMK2323" s="12"/>
      <c r="DML2323" s="12"/>
      <c r="DMM2323" s="12"/>
      <c r="DMN2323" s="12"/>
      <c r="DMO2323" s="12"/>
      <c r="DMP2323" s="12"/>
      <c r="DMQ2323" s="12"/>
    </row>
    <row r="2324" spans="3044:3059">
      <c r="DMB2324" s="12"/>
      <c r="DMC2324" s="12"/>
      <c r="DMD2324" s="12"/>
      <c r="DME2324" s="12"/>
      <c r="DMF2324" s="12"/>
      <c r="DMG2324" s="12"/>
      <c r="DMH2324" s="12"/>
      <c r="DMI2324" s="12"/>
      <c r="DMJ2324" s="12"/>
      <c r="DMK2324" s="12"/>
      <c r="DML2324" s="12"/>
      <c r="DMM2324" s="12"/>
      <c r="DMN2324" s="12"/>
      <c r="DMO2324" s="12"/>
      <c r="DMP2324" s="12"/>
      <c r="DMQ2324" s="12"/>
    </row>
    <row r="2325" spans="3044:3059">
      <c r="DMB2325" s="12"/>
      <c r="DMC2325" s="12"/>
      <c r="DMD2325" s="12"/>
      <c r="DME2325" s="12"/>
      <c r="DMF2325" s="12"/>
      <c r="DMG2325" s="12"/>
      <c r="DMH2325" s="12"/>
      <c r="DMI2325" s="12"/>
      <c r="DMJ2325" s="12"/>
      <c r="DMK2325" s="12"/>
      <c r="DML2325" s="12"/>
      <c r="DMM2325" s="12"/>
      <c r="DMN2325" s="12"/>
      <c r="DMO2325" s="12"/>
      <c r="DMP2325" s="12"/>
      <c r="DMQ2325" s="12"/>
    </row>
    <row r="2326" spans="3044:3059">
      <c r="DMB2326" s="12"/>
      <c r="DMC2326" s="12"/>
      <c r="DMD2326" s="12"/>
      <c r="DME2326" s="12"/>
      <c r="DMF2326" s="12"/>
      <c r="DMG2326" s="12"/>
      <c r="DMH2326" s="12"/>
      <c r="DMI2326" s="12"/>
      <c r="DMJ2326" s="12"/>
      <c r="DMK2326" s="12"/>
      <c r="DML2326" s="12"/>
      <c r="DMM2326" s="12"/>
      <c r="DMN2326" s="12"/>
      <c r="DMO2326" s="12"/>
      <c r="DMP2326" s="12"/>
      <c r="DMQ2326" s="12"/>
    </row>
    <row r="2327" spans="3044:3059">
      <c r="DMB2327" s="12"/>
      <c r="DMC2327" s="12"/>
      <c r="DMD2327" s="12"/>
      <c r="DME2327" s="12"/>
      <c r="DMF2327" s="12"/>
      <c r="DMG2327" s="12"/>
      <c r="DMH2327" s="12"/>
      <c r="DMI2327" s="12"/>
      <c r="DMJ2327" s="12"/>
      <c r="DMK2327" s="12"/>
      <c r="DML2327" s="12"/>
      <c r="DMM2327" s="12"/>
      <c r="DMN2327" s="12"/>
      <c r="DMO2327" s="12"/>
      <c r="DMP2327" s="12"/>
      <c r="DMQ2327" s="12"/>
    </row>
    <row r="2328" spans="3044:3059">
      <c r="DMB2328" s="12"/>
      <c r="DMC2328" s="12"/>
      <c r="DMD2328" s="12"/>
      <c r="DME2328" s="12"/>
      <c r="DMF2328" s="12"/>
      <c r="DMG2328" s="12"/>
      <c r="DMH2328" s="12"/>
      <c r="DMI2328" s="12"/>
      <c r="DMJ2328" s="12"/>
      <c r="DMK2328" s="12"/>
      <c r="DML2328" s="12"/>
      <c r="DMM2328" s="12"/>
      <c r="DMN2328" s="12"/>
      <c r="DMO2328" s="12"/>
      <c r="DMP2328" s="12"/>
      <c r="DMQ2328" s="12"/>
    </row>
    <row r="2329" spans="3044:3059">
      <c r="DMB2329" s="12"/>
      <c r="DMC2329" s="12"/>
      <c r="DMD2329" s="12"/>
      <c r="DME2329" s="12"/>
      <c r="DMF2329" s="12"/>
      <c r="DMG2329" s="12"/>
      <c r="DMH2329" s="12"/>
      <c r="DMI2329" s="12"/>
      <c r="DMJ2329" s="12"/>
      <c r="DMK2329" s="12"/>
      <c r="DML2329" s="12"/>
      <c r="DMM2329" s="12"/>
      <c r="DMN2329" s="12"/>
      <c r="DMO2329" s="12"/>
      <c r="DMP2329" s="12"/>
      <c r="DMQ2329" s="12"/>
    </row>
    <row r="2330" spans="3044:3059">
      <c r="DMB2330" s="12"/>
      <c r="DMC2330" s="12"/>
      <c r="DMD2330" s="12"/>
      <c r="DME2330" s="12"/>
      <c r="DMF2330" s="12"/>
      <c r="DMG2330" s="12"/>
      <c r="DMH2330" s="12"/>
      <c r="DMI2330" s="12"/>
      <c r="DMJ2330" s="12"/>
      <c r="DMK2330" s="12"/>
      <c r="DML2330" s="12"/>
      <c r="DMM2330" s="12"/>
      <c r="DMN2330" s="12"/>
      <c r="DMO2330" s="12"/>
      <c r="DMP2330" s="12"/>
      <c r="DMQ2330" s="12"/>
    </row>
    <row r="2331" spans="3044:3059">
      <c r="DMB2331" s="12"/>
      <c r="DMC2331" s="12"/>
      <c r="DMD2331" s="12"/>
      <c r="DME2331" s="12"/>
      <c r="DMF2331" s="12"/>
      <c r="DMG2331" s="12"/>
      <c r="DMH2331" s="12"/>
      <c r="DMI2331" s="12"/>
      <c r="DMJ2331" s="12"/>
      <c r="DMK2331" s="12"/>
      <c r="DML2331" s="12"/>
      <c r="DMM2331" s="12"/>
      <c r="DMN2331" s="12"/>
      <c r="DMO2331" s="12"/>
      <c r="DMP2331" s="12"/>
      <c r="DMQ2331" s="12"/>
    </row>
    <row r="2332" spans="3044:3059">
      <c r="DMB2332" s="12"/>
      <c r="DMC2332" s="12"/>
      <c r="DMD2332" s="12"/>
      <c r="DME2332" s="12"/>
      <c r="DMF2332" s="12"/>
      <c r="DMG2332" s="12"/>
      <c r="DMH2332" s="12"/>
      <c r="DMI2332" s="12"/>
      <c r="DMJ2332" s="12"/>
      <c r="DMK2332" s="12"/>
      <c r="DML2332" s="12"/>
      <c r="DMM2332" s="12"/>
      <c r="DMN2332" s="12"/>
      <c r="DMO2332" s="12"/>
      <c r="DMP2332" s="12"/>
      <c r="DMQ2332" s="12"/>
    </row>
    <row r="2333" spans="3044:3059">
      <c r="DMB2333" s="12"/>
      <c r="DMC2333" s="12"/>
      <c r="DMD2333" s="12"/>
      <c r="DME2333" s="12"/>
      <c r="DMF2333" s="12"/>
      <c r="DMG2333" s="12"/>
      <c r="DMH2333" s="12"/>
      <c r="DMI2333" s="12"/>
      <c r="DMJ2333" s="12"/>
      <c r="DMK2333" s="12"/>
      <c r="DML2333" s="12"/>
      <c r="DMM2333" s="12"/>
      <c r="DMN2333" s="12"/>
      <c r="DMO2333" s="12"/>
      <c r="DMP2333" s="12"/>
      <c r="DMQ2333" s="12"/>
    </row>
    <row r="2334" spans="3044:3059">
      <c r="DMB2334" s="12"/>
      <c r="DMC2334" s="12"/>
      <c r="DMD2334" s="12"/>
      <c r="DME2334" s="12"/>
      <c r="DMF2334" s="12"/>
      <c r="DMG2334" s="12"/>
      <c r="DMH2334" s="12"/>
      <c r="DMI2334" s="12"/>
      <c r="DMJ2334" s="12"/>
      <c r="DMK2334" s="12"/>
      <c r="DML2334" s="12"/>
      <c r="DMM2334" s="12"/>
      <c r="DMN2334" s="12"/>
      <c r="DMO2334" s="12"/>
      <c r="DMP2334" s="12"/>
      <c r="DMQ2334" s="12"/>
    </row>
    <row r="2335" spans="3044:3059">
      <c r="DMB2335" s="12"/>
      <c r="DMC2335" s="12"/>
      <c r="DMD2335" s="12"/>
      <c r="DME2335" s="12"/>
      <c r="DMF2335" s="12"/>
      <c r="DMG2335" s="12"/>
      <c r="DMH2335" s="12"/>
      <c r="DMI2335" s="12"/>
      <c r="DMJ2335" s="12"/>
      <c r="DMK2335" s="12"/>
      <c r="DML2335" s="12"/>
      <c r="DMM2335" s="12"/>
      <c r="DMN2335" s="12"/>
      <c r="DMO2335" s="12"/>
      <c r="DMP2335" s="12"/>
      <c r="DMQ2335" s="12"/>
    </row>
    <row r="2336" spans="3044:3059">
      <c r="DMB2336" s="12"/>
      <c r="DMC2336" s="12"/>
      <c r="DMD2336" s="12"/>
      <c r="DME2336" s="12"/>
      <c r="DMF2336" s="12"/>
      <c r="DMG2336" s="12"/>
      <c r="DMH2336" s="12"/>
      <c r="DMI2336" s="12"/>
      <c r="DMJ2336" s="12"/>
      <c r="DMK2336" s="12"/>
      <c r="DML2336" s="12"/>
      <c r="DMM2336" s="12"/>
      <c r="DMN2336" s="12"/>
      <c r="DMO2336" s="12"/>
      <c r="DMP2336" s="12"/>
      <c r="DMQ2336" s="12"/>
    </row>
    <row r="2337" spans="3044:3059">
      <c r="DMB2337" s="12"/>
      <c r="DMC2337" s="12"/>
      <c r="DMD2337" s="12"/>
      <c r="DME2337" s="12"/>
      <c r="DMF2337" s="12"/>
      <c r="DMG2337" s="12"/>
      <c r="DMH2337" s="12"/>
      <c r="DMI2337" s="12"/>
      <c r="DMJ2337" s="12"/>
      <c r="DMK2337" s="12"/>
      <c r="DML2337" s="12"/>
      <c r="DMM2337" s="12"/>
      <c r="DMN2337" s="12"/>
      <c r="DMO2337" s="12"/>
      <c r="DMP2337" s="12"/>
      <c r="DMQ2337" s="12"/>
    </row>
    <row r="2338" spans="3044:3059">
      <c r="DMB2338" s="12"/>
      <c r="DMC2338" s="12"/>
      <c r="DMD2338" s="12"/>
      <c r="DME2338" s="12"/>
      <c r="DMF2338" s="12"/>
      <c r="DMG2338" s="12"/>
      <c r="DMH2338" s="12"/>
      <c r="DMI2338" s="12"/>
      <c r="DMJ2338" s="12"/>
      <c r="DMK2338" s="12"/>
      <c r="DML2338" s="12"/>
      <c r="DMM2338" s="12"/>
      <c r="DMN2338" s="12"/>
      <c r="DMO2338" s="12"/>
      <c r="DMP2338" s="12"/>
      <c r="DMQ2338" s="12"/>
    </row>
    <row r="2339" spans="3044:3059">
      <c r="DMB2339" s="12"/>
      <c r="DMC2339" s="12"/>
      <c r="DMD2339" s="12"/>
      <c r="DME2339" s="12"/>
      <c r="DMF2339" s="12"/>
      <c r="DMG2339" s="12"/>
      <c r="DMH2339" s="12"/>
      <c r="DMI2339" s="12"/>
      <c r="DMJ2339" s="12"/>
      <c r="DMK2339" s="12"/>
      <c r="DML2339" s="12"/>
      <c r="DMM2339" s="12"/>
      <c r="DMN2339" s="12"/>
      <c r="DMO2339" s="12"/>
      <c r="DMP2339" s="12"/>
      <c r="DMQ2339" s="12"/>
    </row>
    <row r="2340" spans="3044:3059">
      <c r="DMB2340" s="12"/>
      <c r="DMC2340" s="12"/>
      <c r="DMD2340" s="12"/>
      <c r="DME2340" s="12"/>
      <c r="DMF2340" s="12"/>
      <c r="DMG2340" s="12"/>
      <c r="DMH2340" s="12"/>
      <c r="DMI2340" s="12"/>
      <c r="DMJ2340" s="12"/>
      <c r="DMK2340" s="12"/>
      <c r="DML2340" s="12"/>
      <c r="DMM2340" s="12"/>
      <c r="DMN2340" s="12"/>
      <c r="DMO2340" s="12"/>
      <c r="DMP2340" s="12"/>
      <c r="DMQ2340" s="12"/>
    </row>
    <row r="2341" spans="3044:3059">
      <c r="DMB2341" s="12"/>
      <c r="DMC2341" s="12"/>
      <c r="DMD2341" s="12"/>
      <c r="DME2341" s="12"/>
      <c r="DMF2341" s="12"/>
      <c r="DMG2341" s="12"/>
      <c r="DMH2341" s="12"/>
      <c r="DMI2341" s="12"/>
      <c r="DMJ2341" s="12"/>
      <c r="DMK2341" s="12"/>
      <c r="DML2341" s="12"/>
      <c r="DMM2341" s="12"/>
      <c r="DMN2341" s="12"/>
      <c r="DMO2341" s="12"/>
      <c r="DMP2341" s="12"/>
      <c r="DMQ2341" s="12"/>
    </row>
    <row r="2342" spans="3044:3059">
      <c r="DMB2342" s="12"/>
      <c r="DMC2342" s="12"/>
      <c r="DMD2342" s="12"/>
      <c r="DME2342" s="12"/>
      <c r="DMF2342" s="12"/>
      <c r="DMG2342" s="12"/>
      <c r="DMH2342" s="12"/>
      <c r="DMI2342" s="12"/>
      <c r="DMJ2342" s="12"/>
      <c r="DMK2342" s="12"/>
      <c r="DML2342" s="12"/>
      <c r="DMM2342" s="12"/>
      <c r="DMN2342" s="12"/>
      <c r="DMO2342" s="12"/>
      <c r="DMP2342" s="12"/>
      <c r="DMQ2342" s="12"/>
    </row>
    <row r="2343" spans="3044:3059">
      <c r="DMB2343" s="12"/>
      <c r="DMC2343" s="12"/>
      <c r="DMD2343" s="12"/>
      <c r="DME2343" s="12"/>
      <c r="DMF2343" s="12"/>
      <c r="DMG2343" s="12"/>
      <c r="DMH2343" s="12"/>
      <c r="DMI2343" s="12"/>
      <c r="DMJ2343" s="12"/>
      <c r="DMK2343" s="12"/>
      <c r="DML2343" s="12"/>
      <c r="DMM2343" s="12"/>
      <c r="DMN2343" s="12"/>
      <c r="DMO2343" s="12"/>
      <c r="DMP2343" s="12"/>
      <c r="DMQ2343" s="12"/>
    </row>
    <row r="2344" spans="3044:3059">
      <c r="DMB2344" s="12"/>
      <c r="DMC2344" s="12"/>
      <c r="DMD2344" s="12"/>
      <c r="DME2344" s="12"/>
      <c r="DMF2344" s="12"/>
      <c r="DMG2344" s="12"/>
      <c r="DMH2344" s="12"/>
      <c r="DMI2344" s="12"/>
      <c r="DMJ2344" s="12"/>
      <c r="DMK2344" s="12"/>
      <c r="DML2344" s="12"/>
      <c r="DMM2344" s="12"/>
      <c r="DMN2344" s="12"/>
      <c r="DMO2344" s="12"/>
      <c r="DMP2344" s="12"/>
      <c r="DMQ2344" s="12"/>
    </row>
    <row r="2345" spans="3044:3059">
      <c r="DMB2345" s="12"/>
      <c r="DMC2345" s="12"/>
      <c r="DMD2345" s="12"/>
      <c r="DME2345" s="12"/>
      <c r="DMF2345" s="12"/>
      <c r="DMG2345" s="12"/>
      <c r="DMH2345" s="12"/>
      <c r="DMI2345" s="12"/>
      <c r="DMJ2345" s="12"/>
      <c r="DMK2345" s="12"/>
      <c r="DML2345" s="12"/>
      <c r="DMM2345" s="12"/>
      <c r="DMN2345" s="12"/>
      <c r="DMO2345" s="12"/>
      <c r="DMP2345" s="12"/>
      <c r="DMQ2345" s="12"/>
    </row>
    <row r="2346" spans="3044:3059">
      <c r="DMB2346" s="12"/>
      <c r="DMC2346" s="12"/>
      <c r="DMD2346" s="12"/>
      <c r="DME2346" s="12"/>
      <c r="DMF2346" s="12"/>
      <c r="DMG2346" s="12"/>
      <c r="DMH2346" s="12"/>
      <c r="DMI2346" s="12"/>
      <c r="DMJ2346" s="12"/>
      <c r="DMK2346" s="12"/>
      <c r="DML2346" s="12"/>
      <c r="DMM2346" s="12"/>
      <c r="DMN2346" s="12"/>
      <c r="DMO2346" s="12"/>
      <c r="DMP2346" s="12"/>
      <c r="DMQ2346" s="12"/>
    </row>
    <row r="2347" spans="3044:3059">
      <c r="DMB2347" s="12"/>
      <c r="DMC2347" s="12"/>
      <c r="DMD2347" s="12"/>
      <c r="DME2347" s="12"/>
      <c r="DMF2347" s="12"/>
      <c r="DMG2347" s="12"/>
      <c r="DMH2347" s="12"/>
      <c r="DMI2347" s="12"/>
      <c r="DMJ2347" s="12"/>
      <c r="DMK2347" s="12"/>
      <c r="DML2347" s="12"/>
      <c r="DMM2347" s="12"/>
      <c r="DMN2347" s="12"/>
      <c r="DMO2347" s="12"/>
      <c r="DMP2347" s="12"/>
      <c r="DMQ2347" s="12"/>
    </row>
    <row r="2348" spans="3044:3059">
      <c r="DMB2348" s="12"/>
      <c r="DMC2348" s="12"/>
      <c r="DMD2348" s="12"/>
      <c r="DME2348" s="12"/>
      <c r="DMF2348" s="12"/>
      <c r="DMG2348" s="12"/>
      <c r="DMH2348" s="12"/>
      <c r="DMI2348" s="12"/>
      <c r="DMJ2348" s="12"/>
      <c r="DMK2348" s="12"/>
      <c r="DML2348" s="12"/>
      <c r="DMM2348" s="12"/>
      <c r="DMN2348" s="12"/>
      <c r="DMO2348" s="12"/>
      <c r="DMP2348" s="12"/>
      <c r="DMQ2348" s="12"/>
    </row>
    <row r="2349" spans="3044:3059">
      <c r="DMB2349" s="12"/>
      <c r="DMC2349" s="12"/>
      <c r="DMD2349" s="12"/>
      <c r="DME2349" s="12"/>
      <c r="DMF2349" s="12"/>
      <c r="DMG2349" s="12"/>
      <c r="DMH2349" s="12"/>
      <c r="DMI2349" s="12"/>
      <c r="DMJ2349" s="12"/>
      <c r="DMK2349" s="12"/>
      <c r="DML2349" s="12"/>
      <c r="DMM2349" s="12"/>
      <c r="DMN2349" s="12"/>
      <c r="DMO2349" s="12"/>
      <c r="DMP2349" s="12"/>
      <c r="DMQ2349" s="12"/>
    </row>
    <row r="2350" spans="3044:3059">
      <c r="DMB2350" s="12"/>
      <c r="DMC2350" s="12"/>
      <c r="DMD2350" s="12"/>
      <c r="DME2350" s="12"/>
      <c r="DMF2350" s="12"/>
      <c r="DMG2350" s="12"/>
      <c r="DMH2350" s="12"/>
      <c r="DMI2350" s="12"/>
      <c r="DMJ2350" s="12"/>
      <c r="DMK2350" s="12"/>
      <c r="DML2350" s="12"/>
      <c r="DMM2350" s="12"/>
      <c r="DMN2350" s="12"/>
      <c r="DMO2350" s="12"/>
      <c r="DMP2350" s="12"/>
      <c r="DMQ2350" s="12"/>
    </row>
    <row r="2351" spans="3044:3059">
      <c r="DMB2351" s="12"/>
      <c r="DMC2351" s="12"/>
      <c r="DMD2351" s="12"/>
      <c r="DME2351" s="12"/>
      <c r="DMF2351" s="12"/>
      <c r="DMG2351" s="12"/>
      <c r="DMH2351" s="12"/>
      <c r="DMI2351" s="12"/>
      <c r="DMJ2351" s="12"/>
      <c r="DMK2351" s="12"/>
      <c r="DML2351" s="12"/>
      <c r="DMM2351" s="12"/>
      <c r="DMN2351" s="12"/>
      <c r="DMO2351" s="12"/>
      <c r="DMP2351" s="12"/>
      <c r="DMQ2351" s="12"/>
    </row>
    <row r="2352" spans="3044:3059">
      <c r="DMB2352" s="12"/>
      <c r="DMC2352" s="12"/>
      <c r="DMD2352" s="12"/>
      <c r="DME2352" s="12"/>
      <c r="DMF2352" s="12"/>
      <c r="DMG2352" s="12"/>
      <c r="DMH2352" s="12"/>
      <c r="DMI2352" s="12"/>
      <c r="DMJ2352" s="12"/>
      <c r="DMK2352" s="12"/>
      <c r="DML2352" s="12"/>
      <c r="DMM2352" s="12"/>
      <c r="DMN2352" s="12"/>
      <c r="DMO2352" s="12"/>
      <c r="DMP2352" s="12"/>
      <c r="DMQ2352" s="12"/>
    </row>
    <row r="2353" spans="3044:3059">
      <c r="DMB2353" s="12"/>
      <c r="DMC2353" s="12"/>
      <c r="DMD2353" s="12"/>
      <c r="DME2353" s="12"/>
      <c r="DMF2353" s="12"/>
      <c r="DMG2353" s="12"/>
      <c r="DMH2353" s="12"/>
      <c r="DMI2353" s="12"/>
      <c r="DMJ2353" s="12"/>
      <c r="DMK2353" s="12"/>
      <c r="DML2353" s="12"/>
      <c r="DMM2353" s="12"/>
      <c r="DMN2353" s="12"/>
      <c r="DMO2353" s="12"/>
      <c r="DMP2353" s="12"/>
      <c r="DMQ2353" s="12"/>
    </row>
    <row r="2354" spans="3044:3059">
      <c r="DMB2354" s="12"/>
      <c r="DMC2354" s="12"/>
      <c r="DMD2354" s="12"/>
      <c r="DME2354" s="12"/>
      <c r="DMF2354" s="12"/>
      <c r="DMG2354" s="12"/>
      <c r="DMH2354" s="12"/>
      <c r="DMI2354" s="12"/>
      <c r="DMJ2354" s="12"/>
      <c r="DMK2354" s="12"/>
      <c r="DML2354" s="12"/>
      <c r="DMM2354" s="12"/>
      <c r="DMN2354" s="12"/>
      <c r="DMO2354" s="12"/>
      <c r="DMP2354" s="12"/>
      <c r="DMQ2354" s="12"/>
    </row>
    <row r="2355" spans="3044:3059">
      <c r="DMB2355" s="12"/>
      <c r="DMC2355" s="12"/>
      <c r="DMD2355" s="12"/>
      <c r="DME2355" s="12"/>
      <c r="DMF2355" s="12"/>
      <c r="DMG2355" s="12"/>
      <c r="DMH2355" s="12"/>
      <c r="DMI2355" s="12"/>
      <c r="DMJ2355" s="12"/>
      <c r="DMK2355" s="12"/>
      <c r="DML2355" s="12"/>
      <c r="DMM2355" s="12"/>
      <c r="DMN2355" s="12"/>
      <c r="DMO2355" s="12"/>
      <c r="DMP2355" s="12"/>
      <c r="DMQ2355" s="12"/>
    </row>
    <row r="2356" spans="3044:3059">
      <c r="DMB2356" s="12"/>
      <c r="DMC2356" s="12"/>
      <c r="DMD2356" s="12"/>
      <c r="DME2356" s="12"/>
      <c r="DMF2356" s="12"/>
      <c r="DMG2356" s="12"/>
      <c r="DMH2356" s="12"/>
      <c r="DMI2356" s="12"/>
      <c r="DMJ2356" s="12"/>
      <c r="DMK2356" s="12"/>
      <c r="DML2356" s="12"/>
      <c r="DMM2356" s="12"/>
      <c r="DMN2356" s="12"/>
      <c r="DMO2356" s="12"/>
      <c r="DMP2356" s="12"/>
      <c r="DMQ2356" s="12"/>
    </row>
    <row r="2357" spans="3044:3059">
      <c r="DMB2357" s="12"/>
      <c r="DMC2357" s="12"/>
      <c r="DMD2357" s="12"/>
      <c r="DME2357" s="12"/>
      <c r="DMF2357" s="12"/>
      <c r="DMG2357" s="12"/>
      <c r="DMH2357" s="12"/>
      <c r="DMI2357" s="12"/>
      <c r="DMJ2357" s="12"/>
      <c r="DMK2357" s="12"/>
      <c r="DML2357" s="12"/>
      <c r="DMM2357" s="12"/>
      <c r="DMN2357" s="12"/>
      <c r="DMO2357" s="12"/>
      <c r="DMP2357" s="12"/>
      <c r="DMQ2357" s="12"/>
    </row>
    <row r="2358" spans="3044:3059">
      <c r="DMB2358" s="12"/>
      <c r="DMC2358" s="12"/>
      <c r="DMD2358" s="12"/>
      <c r="DME2358" s="12"/>
      <c r="DMF2358" s="12"/>
      <c r="DMG2358" s="12"/>
      <c r="DMH2358" s="12"/>
      <c r="DMI2358" s="12"/>
      <c r="DMJ2358" s="12"/>
      <c r="DMK2358" s="12"/>
      <c r="DML2358" s="12"/>
      <c r="DMM2358" s="12"/>
      <c r="DMN2358" s="12"/>
      <c r="DMO2358" s="12"/>
      <c r="DMP2358" s="12"/>
      <c r="DMQ2358" s="12"/>
    </row>
    <row r="2359" spans="3044:3059">
      <c r="DMB2359" s="12"/>
      <c r="DMC2359" s="12"/>
      <c r="DMD2359" s="12"/>
      <c r="DME2359" s="12"/>
      <c r="DMF2359" s="12"/>
      <c r="DMG2359" s="12"/>
      <c r="DMH2359" s="12"/>
      <c r="DMI2359" s="12"/>
      <c r="DMJ2359" s="12"/>
      <c r="DMK2359" s="12"/>
      <c r="DML2359" s="12"/>
      <c r="DMM2359" s="12"/>
      <c r="DMN2359" s="12"/>
      <c r="DMO2359" s="12"/>
      <c r="DMP2359" s="12"/>
      <c r="DMQ2359" s="12"/>
    </row>
    <row r="2360" spans="3044:3059">
      <c r="DMB2360" s="12"/>
      <c r="DMC2360" s="12"/>
      <c r="DMD2360" s="12"/>
      <c r="DME2360" s="12"/>
      <c r="DMF2360" s="12"/>
      <c r="DMG2360" s="12"/>
      <c r="DMH2360" s="12"/>
      <c r="DMI2360" s="12"/>
      <c r="DMJ2360" s="12"/>
      <c r="DMK2360" s="12"/>
      <c r="DML2360" s="12"/>
      <c r="DMM2360" s="12"/>
      <c r="DMN2360" s="12"/>
      <c r="DMO2360" s="12"/>
      <c r="DMP2360" s="12"/>
      <c r="DMQ2360" s="12"/>
    </row>
    <row r="2361" spans="3044:3059">
      <c r="DMB2361" s="12"/>
      <c r="DMC2361" s="12"/>
      <c r="DMD2361" s="12"/>
      <c r="DME2361" s="12"/>
      <c r="DMF2361" s="12"/>
      <c r="DMG2361" s="12"/>
      <c r="DMH2361" s="12"/>
      <c r="DMI2361" s="12"/>
      <c r="DMJ2361" s="12"/>
      <c r="DMK2361" s="12"/>
      <c r="DML2361" s="12"/>
      <c r="DMM2361" s="12"/>
      <c r="DMN2361" s="12"/>
      <c r="DMO2361" s="12"/>
      <c r="DMP2361" s="12"/>
      <c r="DMQ2361" s="12"/>
    </row>
    <row r="2362" spans="3044:3059">
      <c r="DMB2362" s="12"/>
      <c r="DMC2362" s="12"/>
      <c r="DMD2362" s="12"/>
      <c r="DME2362" s="12"/>
      <c r="DMF2362" s="12"/>
      <c r="DMG2362" s="12"/>
      <c r="DMH2362" s="12"/>
      <c r="DMI2362" s="12"/>
      <c r="DMJ2362" s="12"/>
      <c r="DMK2362" s="12"/>
      <c r="DML2362" s="12"/>
      <c r="DMM2362" s="12"/>
      <c r="DMN2362" s="12"/>
      <c r="DMO2362" s="12"/>
      <c r="DMP2362" s="12"/>
      <c r="DMQ2362" s="12"/>
    </row>
    <row r="2363" spans="3044:3059">
      <c r="DMB2363" s="12"/>
      <c r="DMC2363" s="12"/>
      <c r="DMD2363" s="12"/>
      <c r="DME2363" s="12"/>
      <c r="DMF2363" s="12"/>
      <c r="DMG2363" s="12"/>
      <c r="DMH2363" s="12"/>
      <c r="DMI2363" s="12"/>
      <c r="DMJ2363" s="12"/>
      <c r="DMK2363" s="12"/>
      <c r="DML2363" s="12"/>
      <c r="DMM2363" s="12"/>
      <c r="DMN2363" s="12"/>
      <c r="DMO2363" s="12"/>
      <c r="DMP2363" s="12"/>
      <c r="DMQ2363" s="12"/>
    </row>
    <row r="2364" spans="3044:3059">
      <c r="DMB2364" s="12"/>
      <c r="DMC2364" s="12"/>
      <c r="DMD2364" s="12"/>
      <c r="DME2364" s="12"/>
      <c r="DMF2364" s="12"/>
      <c r="DMG2364" s="12"/>
      <c r="DMH2364" s="12"/>
      <c r="DMI2364" s="12"/>
      <c r="DMJ2364" s="12"/>
      <c r="DMK2364" s="12"/>
      <c r="DML2364" s="12"/>
      <c r="DMM2364" s="12"/>
      <c r="DMN2364" s="12"/>
      <c r="DMO2364" s="12"/>
      <c r="DMP2364" s="12"/>
      <c r="DMQ2364" s="12"/>
    </row>
    <row r="2365" spans="3044:3059">
      <c r="DMB2365" s="12"/>
      <c r="DMC2365" s="12"/>
      <c r="DMD2365" s="12"/>
      <c r="DME2365" s="12"/>
      <c r="DMF2365" s="12"/>
      <c r="DMG2365" s="12"/>
      <c r="DMH2365" s="12"/>
      <c r="DMI2365" s="12"/>
      <c r="DMJ2365" s="12"/>
      <c r="DMK2365" s="12"/>
      <c r="DML2365" s="12"/>
      <c r="DMM2365" s="12"/>
      <c r="DMN2365" s="12"/>
      <c r="DMO2365" s="12"/>
      <c r="DMP2365" s="12"/>
      <c r="DMQ2365" s="12"/>
    </row>
    <row r="2366" spans="3044:3059">
      <c r="DMB2366" s="12"/>
      <c r="DMC2366" s="12"/>
      <c r="DMD2366" s="12"/>
      <c r="DME2366" s="12"/>
      <c r="DMF2366" s="12"/>
      <c r="DMG2366" s="12"/>
      <c r="DMH2366" s="12"/>
      <c r="DMI2366" s="12"/>
      <c r="DMJ2366" s="12"/>
      <c r="DMK2366" s="12"/>
      <c r="DML2366" s="12"/>
      <c r="DMM2366" s="12"/>
      <c r="DMN2366" s="12"/>
      <c r="DMO2366" s="12"/>
      <c r="DMP2366" s="12"/>
      <c r="DMQ2366" s="12"/>
    </row>
    <row r="2367" spans="3044:3059">
      <c r="DMB2367" s="12"/>
      <c r="DMC2367" s="12"/>
      <c r="DMD2367" s="12"/>
      <c r="DME2367" s="12"/>
      <c r="DMF2367" s="12"/>
      <c r="DMG2367" s="12"/>
      <c r="DMH2367" s="12"/>
      <c r="DMI2367" s="12"/>
      <c r="DMJ2367" s="12"/>
      <c r="DMK2367" s="12"/>
      <c r="DML2367" s="12"/>
      <c r="DMM2367" s="12"/>
      <c r="DMN2367" s="12"/>
      <c r="DMO2367" s="12"/>
      <c r="DMP2367" s="12"/>
      <c r="DMQ2367" s="12"/>
    </row>
    <row r="2368" spans="3044:3059">
      <c r="DMB2368" s="12"/>
      <c r="DMC2368" s="12"/>
      <c r="DMD2368" s="12"/>
      <c r="DME2368" s="12"/>
      <c r="DMF2368" s="12"/>
      <c r="DMG2368" s="12"/>
      <c r="DMH2368" s="12"/>
      <c r="DMI2368" s="12"/>
      <c r="DMJ2368" s="12"/>
      <c r="DMK2368" s="12"/>
      <c r="DML2368" s="12"/>
      <c r="DMM2368" s="12"/>
      <c r="DMN2368" s="12"/>
      <c r="DMO2368" s="12"/>
      <c r="DMP2368" s="12"/>
      <c r="DMQ2368" s="12"/>
    </row>
    <row r="2369" spans="3044:3059">
      <c r="DMB2369" s="12"/>
      <c r="DMC2369" s="12"/>
      <c r="DMD2369" s="12"/>
      <c r="DME2369" s="12"/>
      <c r="DMF2369" s="12"/>
      <c r="DMG2369" s="12"/>
      <c r="DMH2369" s="12"/>
      <c r="DMI2369" s="12"/>
      <c r="DMJ2369" s="12"/>
      <c r="DMK2369" s="12"/>
      <c r="DML2369" s="12"/>
      <c r="DMM2369" s="12"/>
      <c r="DMN2369" s="12"/>
      <c r="DMO2369" s="12"/>
      <c r="DMP2369" s="12"/>
      <c r="DMQ2369" s="12"/>
    </row>
    <row r="2370" spans="3044:3059">
      <c r="DMB2370" s="12"/>
      <c r="DMC2370" s="12"/>
      <c r="DMD2370" s="12"/>
      <c r="DME2370" s="12"/>
      <c r="DMF2370" s="12"/>
      <c r="DMG2370" s="12"/>
      <c r="DMH2370" s="12"/>
      <c r="DMI2370" s="12"/>
      <c r="DMJ2370" s="12"/>
      <c r="DMK2370" s="12"/>
      <c r="DML2370" s="12"/>
      <c r="DMM2370" s="12"/>
      <c r="DMN2370" s="12"/>
      <c r="DMO2370" s="12"/>
      <c r="DMP2370" s="12"/>
      <c r="DMQ2370" s="12"/>
    </row>
    <row r="2371" spans="3044:3059">
      <c r="DMB2371" s="12"/>
      <c r="DMC2371" s="12"/>
      <c r="DMD2371" s="12"/>
      <c r="DME2371" s="12"/>
      <c r="DMF2371" s="12"/>
      <c r="DMG2371" s="12"/>
      <c r="DMH2371" s="12"/>
      <c r="DMI2371" s="12"/>
      <c r="DMJ2371" s="12"/>
      <c r="DMK2371" s="12"/>
      <c r="DML2371" s="12"/>
      <c r="DMM2371" s="12"/>
      <c r="DMN2371" s="12"/>
      <c r="DMO2371" s="12"/>
      <c r="DMP2371" s="12"/>
      <c r="DMQ2371" s="12"/>
    </row>
    <row r="2372" spans="3044:3059">
      <c r="DMB2372" s="12"/>
      <c r="DMC2372" s="12"/>
      <c r="DMD2372" s="12"/>
      <c r="DME2372" s="12"/>
      <c r="DMF2372" s="12"/>
      <c r="DMG2372" s="12"/>
      <c r="DMH2372" s="12"/>
      <c r="DMI2372" s="12"/>
      <c r="DMJ2372" s="12"/>
      <c r="DMK2372" s="12"/>
      <c r="DML2372" s="12"/>
      <c r="DMM2372" s="12"/>
      <c r="DMN2372" s="12"/>
      <c r="DMO2372" s="12"/>
      <c r="DMP2372" s="12"/>
      <c r="DMQ2372" s="12"/>
    </row>
    <row r="2373" spans="3044:3059">
      <c r="DMB2373" s="12"/>
      <c r="DMC2373" s="12"/>
      <c r="DMD2373" s="12"/>
      <c r="DME2373" s="12"/>
      <c r="DMF2373" s="12"/>
      <c r="DMG2373" s="12"/>
      <c r="DMH2373" s="12"/>
      <c r="DMI2373" s="12"/>
      <c r="DMJ2373" s="12"/>
      <c r="DMK2373" s="12"/>
      <c r="DML2373" s="12"/>
      <c r="DMM2373" s="12"/>
      <c r="DMN2373" s="12"/>
      <c r="DMO2373" s="12"/>
      <c r="DMP2373" s="12"/>
      <c r="DMQ2373" s="12"/>
    </row>
    <row r="2374" spans="3044:3059">
      <c r="DMB2374" s="12"/>
      <c r="DMC2374" s="12"/>
      <c r="DMD2374" s="12"/>
      <c r="DME2374" s="12"/>
      <c r="DMF2374" s="12"/>
      <c r="DMG2374" s="12"/>
      <c r="DMH2374" s="12"/>
      <c r="DMI2374" s="12"/>
      <c r="DMJ2374" s="12"/>
      <c r="DMK2374" s="12"/>
      <c r="DML2374" s="12"/>
      <c r="DMM2374" s="12"/>
      <c r="DMN2374" s="12"/>
      <c r="DMO2374" s="12"/>
      <c r="DMP2374" s="12"/>
      <c r="DMQ2374" s="12"/>
    </row>
    <row r="2375" spans="3044:3059">
      <c r="DMB2375" s="12"/>
      <c r="DMC2375" s="12"/>
      <c r="DMD2375" s="12"/>
      <c r="DME2375" s="12"/>
      <c r="DMF2375" s="12"/>
      <c r="DMG2375" s="12"/>
      <c r="DMH2375" s="12"/>
      <c r="DMI2375" s="12"/>
      <c r="DMJ2375" s="12"/>
      <c r="DMK2375" s="12"/>
      <c r="DML2375" s="12"/>
      <c r="DMM2375" s="12"/>
      <c r="DMN2375" s="12"/>
      <c r="DMO2375" s="12"/>
      <c r="DMP2375" s="12"/>
      <c r="DMQ2375" s="12"/>
    </row>
    <row r="2376" spans="3044:3059">
      <c r="DMB2376" s="12"/>
      <c r="DMC2376" s="12"/>
      <c r="DMD2376" s="12"/>
      <c r="DME2376" s="12"/>
      <c r="DMF2376" s="12"/>
      <c r="DMG2376" s="12"/>
      <c r="DMH2376" s="12"/>
      <c r="DMI2376" s="12"/>
      <c r="DMJ2376" s="12"/>
      <c r="DMK2376" s="12"/>
      <c r="DML2376" s="12"/>
      <c r="DMM2376" s="12"/>
      <c r="DMN2376" s="12"/>
      <c r="DMO2376" s="12"/>
      <c r="DMP2376" s="12"/>
      <c r="DMQ2376" s="12"/>
    </row>
    <row r="2377" spans="3044:3059">
      <c r="DMB2377" s="12"/>
      <c r="DMC2377" s="12"/>
      <c r="DMD2377" s="12"/>
      <c r="DME2377" s="12"/>
      <c r="DMF2377" s="12"/>
      <c r="DMG2377" s="12"/>
      <c r="DMH2377" s="12"/>
      <c r="DMI2377" s="12"/>
      <c r="DMJ2377" s="12"/>
      <c r="DMK2377" s="12"/>
      <c r="DML2377" s="12"/>
      <c r="DMM2377" s="12"/>
      <c r="DMN2377" s="12"/>
      <c r="DMO2377" s="12"/>
      <c r="DMP2377" s="12"/>
      <c r="DMQ2377" s="12"/>
    </row>
    <row r="2378" spans="3044:3059">
      <c r="DMB2378" s="12"/>
      <c r="DMC2378" s="12"/>
      <c r="DMD2378" s="12"/>
      <c r="DME2378" s="12"/>
      <c r="DMF2378" s="12"/>
      <c r="DMG2378" s="12"/>
      <c r="DMH2378" s="12"/>
      <c r="DMI2378" s="12"/>
      <c r="DMJ2378" s="12"/>
      <c r="DMK2378" s="12"/>
      <c r="DML2378" s="12"/>
      <c r="DMM2378" s="12"/>
      <c r="DMN2378" s="12"/>
      <c r="DMO2378" s="12"/>
      <c r="DMP2378" s="12"/>
      <c r="DMQ2378" s="12"/>
    </row>
    <row r="2379" spans="3044:3059">
      <c r="DMB2379" s="12"/>
      <c r="DMC2379" s="12"/>
      <c r="DMD2379" s="12"/>
      <c r="DME2379" s="12"/>
      <c r="DMF2379" s="12"/>
      <c r="DMG2379" s="12"/>
      <c r="DMH2379" s="12"/>
      <c r="DMI2379" s="12"/>
      <c r="DMJ2379" s="12"/>
      <c r="DMK2379" s="12"/>
      <c r="DML2379" s="12"/>
      <c r="DMM2379" s="12"/>
      <c r="DMN2379" s="12"/>
      <c r="DMO2379" s="12"/>
      <c r="DMP2379" s="12"/>
      <c r="DMQ2379" s="12"/>
    </row>
    <row r="2380" spans="3044:3059">
      <c r="DMB2380" s="12"/>
      <c r="DMC2380" s="12"/>
      <c r="DMD2380" s="12"/>
      <c r="DME2380" s="12"/>
      <c r="DMF2380" s="12"/>
      <c r="DMG2380" s="12"/>
      <c r="DMH2380" s="12"/>
      <c r="DMI2380" s="12"/>
      <c r="DMJ2380" s="12"/>
      <c r="DMK2380" s="12"/>
      <c r="DML2380" s="12"/>
      <c r="DMM2380" s="12"/>
      <c r="DMN2380" s="12"/>
      <c r="DMO2380" s="12"/>
      <c r="DMP2380" s="12"/>
      <c r="DMQ2380" s="12"/>
    </row>
    <row r="2381" spans="3044:3059">
      <c r="DMB2381" s="12"/>
      <c r="DMC2381" s="12"/>
      <c r="DMD2381" s="12"/>
      <c r="DME2381" s="12"/>
      <c r="DMF2381" s="12"/>
      <c r="DMG2381" s="12"/>
      <c r="DMH2381" s="12"/>
      <c r="DMI2381" s="12"/>
      <c r="DMJ2381" s="12"/>
      <c r="DMK2381" s="12"/>
      <c r="DML2381" s="12"/>
      <c r="DMM2381" s="12"/>
      <c r="DMN2381" s="12"/>
      <c r="DMO2381" s="12"/>
      <c r="DMP2381" s="12"/>
      <c r="DMQ2381" s="12"/>
    </row>
    <row r="2382" spans="3044:3059">
      <c r="DMB2382" s="12"/>
      <c r="DMC2382" s="12"/>
      <c r="DMD2382" s="12"/>
      <c r="DME2382" s="12"/>
      <c r="DMF2382" s="12"/>
      <c r="DMG2382" s="12"/>
      <c r="DMH2382" s="12"/>
      <c r="DMI2382" s="12"/>
      <c r="DMJ2382" s="12"/>
      <c r="DMK2382" s="12"/>
      <c r="DML2382" s="12"/>
      <c r="DMM2382" s="12"/>
      <c r="DMN2382" s="12"/>
      <c r="DMO2382" s="12"/>
      <c r="DMP2382" s="12"/>
      <c r="DMQ2382" s="12"/>
    </row>
    <row r="2383" spans="3044:3059">
      <c r="DMB2383" s="12"/>
      <c r="DMC2383" s="12"/>
      <c r="DMD2383" s="12"/>
      <c r="DME2383" s="12"/>
      <c r="DMF2383" s="12"/>
      <c r="DMG2383" s="12"/>
      <c r="DMH2383" s="12"/>
      <c r="DMI2383" s="12"/>
      <c r="DMJ2383" s="12"/>
      <c r="DMK2383" s="12"/>
      <c r="DML2383" s="12"/>
      <c r="DMM2383" s="12"/>
      <c r="DMN2383" s="12"/>
      <c r="DMO2383" s="12"/>
      <c r="DMP2383" s="12"/>
      <c r="DMQ2383" s="12"/>
    </row>
    <row r="2384" spans="3044:3059">
      <c r="DMB2384" s="12"/>
      <c r="DMC2384" s="12"/>
      <c r="DMD2384" s="12"/>
      <c r="DME2384" s="12"/>
      <c r="DMF2384" s="12"/>
      <c r="DMG2384" s="12"/>
      <c r="DMH2384" s="12"/>
      <c r="DMI2384" s="12"/>
      <c r="DMJ2384" s="12"/>
      <c r="DMK2384" s="12"/>
      <c r="DML2384" s="12"/>
      <c r="DMM2384" s="12"/>
      <c r="DMN2384" s="12"/>
      <c r="DMO2384" s="12"/>
      <c r="DMP2384" s="12"/>
      <c r="DMQ2384" s="12"/>
    </row>
    <row r="2385" spans="3044:3059">
      <c r="DMB2385" s="12"/>
      <c r="DMC2385" s="12"/>
      <c r="DMD2385" s="12"/>
      <c r="DME2385" s="12"/>
      <c r="DMF2385" s="12"/>
      <c r="DMG2385" s="12"/>
      <c r="DMH2385" s="12"/>
      <c r="DMI2385" s="12"/>
      <c r="DMJ2385" s="12"/>
      <c r="DMK2385" s="12"/>
      <c r="DML2385" s="12"/>
      <c r="DMM2385" s="12"/>
      <c r="DMN2385" s="12"/>
      <c r="DMO2385" s="12"/>
      <c r="DMP2385" s="12"/>
      <c r="DMQ2385" s="12"/>
    </row>
    <row r="2386" spans="3044:3059">
      <c r="DMB2386" s="12"/>
      <c r="DMC2386" s="12"/>
      <c r="DMD2386" s="12"/>
      <c r="DME2386" s="12"/>
      <c r="DMF2386" s="12"/>
      <c r="DMG2386" s="12"/>
      <c r="DMH2386" s="12"/>
      <c r="DMI2386" s="12"/>
      <c r="DMJ2386" s="12"/>
      <c r="DMK2386" s="12"/>
      <c r="DML2386" s="12"/>
      <c r="DMM2386" s="12"/>
      <c r="DMN2386" s="12"/>
      <c r="DMO2386" s="12"/>
      <c r="DMP2386" s="12"/>
      <c r="DMQ2386" s="12"/>
    </row>
    <row r="2387" spans="3044:3059">
      <c r="DMB2387" s="12"/>
      <c r="DMC2387" s="12"/>
      <c r="DMD2387" s="12"/>
      <c r="DME2387" s="12"/>
      <c r="DMF2387" s="12"/>
      <c r="DMG2387" s="12"/>
      <c r="DMH2387" s="12"/>
      <c r="DMI2387" s="12"/>
      <c r="DMJ2387" s="12"/>
      <c r="DMK2387" s="12"/>
      <c r="DML2387" s="12"/>
      <c r="DMM2387" s="12"/>
      <c r="DMN2387" s="12"/>
      <c r="DMO2387" s="12"/>
      <c r="DMP2387" s="12"/>
      <c r="DMQ2387" s="12"/>
    </row>
    <row r="2388" spans="3044:3059">
      <c r="DMB2388" s="12"/>
      <c r="DMC2388" s="12"/>
      <c r="DMD2388" s="12"/>
      <c r="DME2388" s="12"/>
      <c r="DMF2388" s="12"/>
      <c r="DMG2388" s="12"/>
      <c r="DMH2388" s="12"/>
      <c r="DMI2388" s="12"/>
      <c r="DMJ2388" s="12"/>
      <c r="DMK2388" s="12"/>
      <c r="DML2388" s="12"/>
      <c r="DMM2388" s="12"/>
      <c r="DMN2388" s="12"/>
      <c r="DMO2388" s="12"/>
      <c r="DMP2388" s="12"/>
      <c r="DMQ2388" s="12"/>
    </row>
    <row r="2389" spans="3044:3059">
      <c r="DMB2389" s="12"/>
      <c r="DMC2389" s="12"/>
      <c r="DMD2389" s="12"/>
      <c r="DME2389" s="12"/>
      <c r="DMF2389" s="12"/>
      <c r="DMG2389" s="12"/>
      <c r="DMH2389" s="12"/>
      <c r="DMI2389" s="12"/>
      <c r="DMJ2389" s="12"/>
      <c r="DMK2389" s="12"/>
      <c r="DML2389" s="12"/>
      <c r="DMM2389" s="12"/>
      <c r="DMN2389" s="12"/>
      <c r="DMO2389" s="12"/>
      <c r="DMP2389" s="12"/>
      <c r="DMQ2389" s="12"/>
    </row>
    <row r="2390" spans="3044:3059">
      <c r="DMB2390" s="12"/>
      <c r="DMC2390" s="12"/>
      <c r="DMD2390" s="12"/>
      <c r="DME2390" s="12"/>
      <c r="DMF2390" s="12"/>
      <c r="DMG2390" s="12"/>
      <c r="DMH2390" s="12"/>
      <c r="DMI2390" s="12"/>
      <c r="DMJ2390" s="12"/>
      <c r="DMK2390" s="12"/>
      <c r="DML2390" s="12"/>
      <c r="DMM2390" s="12"/>
      <c r="DMN2390" s="12"/>
      <c r="DMO2390" s="12"/>
      <c r="DMP2390" s="12"/>
      <c r="DMQ2390" s="12"/>
    </row>
    <row r="2391" spans="3044:3059">
      <c r="DMB2391" s="12"/>
      <c r="DMC2391" s="12"/>
      <c r="DMD2391" s="12"/>
      <c r="DME2391" s="12"/>
      <c r="DMF2391" s="12"/>
      <c r="DMG2391" s="12"/>
      <c r="DMH2391" s="12"/>
      <c r="DMI2391" s="12"/>
      <c r="DMJ2391" s="12"/>
      <c r="DMK2391" s="12"/>
      <c r="DML2391" s="12"/>
      <c r="DMM2391" s="12"/>
      <c r="DMN2391" s="12"/>
      <c r="DMO2391" s="12"/>
      <c r="DMP2391" s="12"/>
      <c r="DMQ2391" s="12"/>
    </row>
    <row r="2392" spans="3044:3059">
      <c r="DMB2392" s="12"/>
      <c r="DMC2392" s="12"/>
      <c r="DMD2392" s="12"/>
      <c r="DME2392" s="12"/>
      <c r="DMF2392" s="12"/>
      <c r="DMG2392" s="12"/>
      <c r="DMH2392" s="12"/>
      <c r="DMI2392" s="12"/>
      <c r="DMJ2392" s="12"/>
      <c r="DMK2392" s="12"/>
      <c r="DML2392" s="12"/>
      <c r="DMM2392" s="12"/>
      <c r="DMN2392" s="12"/>
      <c r="DMO2392" s="12"/>
      <c r="DMP2392" s="12"/>
      <c r="DMQ2392" s="12"/>
    </row>
    <row r="2393" spans="3044:3059">
      <c r="DMB2393" s="12"/>
      <c r="DMC2393" s="12"/>
      <c r="DMD2393" s="12"/>
      <c r="DME2393" s="12"/>
      <c r="DMF2393" s="12"/>
      <c r="DMG2393" s="12"/>
      <c r="DMH2393" s="12"/>
      <c r="DMI2393" s="12"/>
      <c r="DMJ2393" s="12"/>
      <c r="DMK2393" s="12"/>
      <c r="DML2393" s="12"/>
      <c r="DMM2393" s="12"/>
      <c r="DMN2393" s="12"/>
      <c r="DMO2393" s="12"/>
      <c r="DMP2393" s="12"/>
      <c r="DMQ2393" s="12"/>
    </row>
    <row r="2394" spans="3044:3059">
      <c r="DMB2394" s="12"/>
      <c r="DMC2394" s="12"/>
      <c r="DMD2394" s="12"/>
      <c r="DME2394" s="12"/>
      <c r="DMF2394" s="12"/>
      <c r="DMG2394" s="12"/>
      <c r="DMH2394" s="12"/>
      <c r="DMI2394" s="12"/>
      <c r="DMJ2394" s="12"/>
      <c r="DMK2394" s="12"/>
      <c r="DML2394" s="12"/>
      <c r="DMM2394" s="12"/>
      <c r="DMN2394" s="12"/>
      <c r="DMO2394" s="12"/>
      <c r="DMP2394" s="12"/>
      <c r="DMQ2394" s="12"/>
    </row>
    <row r="2395" spans="3044:3059">
      <c r="DMB2395" s="12"/>
      <c r="DMC2395" s="12"/>
      <c r="DMD2395" s="12"/>
      <c r="DME2395" s="12"/>
      <c r="DMF2395" s="12"/>
      <c r="DMG2395" s="12"/>
      <c r="DMH2395" s="12"/>
      <c r="DMI2395" s="12"/>
      <c r="DMJ2395" s="12"/>
      <c r="DMK2395" s="12"/>
      <c r="DML2395" s="12"/>
      <c r="DMM2395" s="12"/>
      <c r="DMN2395" s="12"/>
      <c r="DMO2395" s="12"/>
      <c r="DMP2395" s="12"/>
      <c r="DMQ2395" s="12"/>
    </row>
    <row r="2396" spans="3044:3059">
      <c r="DMB2396" s="12"/>
      <c r="DMC2396" s="12"/>
      <c r="DMD2396" s="12"/>
      <c r="DME2396" s="12"/>
      <c r="DMF2396" s="12"/>
      <c r="DMG2396" s="12"/>
      <c r="DMH2396" s="12"/>
      <c r="DMI2396" s="12"/>
      <c r="DMJ2396" s="12"/>
      <c r="DMK2396" s="12"/>
      <c r="DML2396" s="12"/>
      <c r="DMM2396" s="12"/>
      <c r="DMN2396" s="12"/>
      <c r="DMO2396" s="12"/>
      <c r="DMP2396" s="12"/>
      <c r="DMQ2396" s="12"/>
    </row>
    <row r="2397" spans="3044:3059">
      <c r="DMB2397" s="12"/>
      <c r="DMC2397" s="12"/>
      <c r="DMD2397" s="12"/>
      <c r="DME2397" s="12"/>
      <c r="DMF2397" s="12"/>
      <c r="DMG2397" s="12"/>
      <c r="DMH2397" s="12"/>
      <c r="DMI2397" s="12"/>
      <c r="DMJ2397" s="12"/>
      <c r="DMK2397" s="12"/>
      <c r="DML2397" s="12"/>
      <c r="DMM2397" s="12"/>
      <c r="DMN2397" s="12"/>
      <c r="DMO2397" s="12"/>
      <c r="DMP2397" s="12"/>
      <c r="DMQ2397" s="12"/>
    </row>
    <row r="2398" spans="3044:3059">
      <c r="DMB2398" s="12"/>
      <c r="DMC2398" s="12"/>
      <c r="DMD2398" s="12"/>
      <c r="DME2398" s="12"/>
      <c r="DMF2398" s="12"/>
      <c r="DMG2398" s="12"/>
      <c r="DMH2398" s="12"/>
      <c r="DMI2398" s="12"/>
      <c r="DMJ2398" s="12"/>
      <c r="DMK2398" s="12"/>
      <c r="DML2398" s="12"/>
      <c r="DMM2398" s="12"/>
      <c r="DMN2398" s="12"/>
      <c r="DMO2398" s="12"/>
      <c r="DMP2398" s="12"/>
      <c r="DMQ2398" s="12"/>
    </row>
    <row r="2399" spans="3044:3059">
      <c r="DMB2399" s="12"/>
      <c r="DMC2399" s="12"/>
      <c r="DMD2399" s="12"/>
      <c r="DME2399" s="12"/>
      <c r="DMF2399" s="12"/>
      <c r="DMG2399" s="12"/>
      <c r="DMH2399" s="12"/>
      <c r="DMI2399" s="12"/>
      <c r="DMJ2399" s="12"/>
      <c r="DMK2399" s="12"/>
      <c r="DML2399" s="12"/>
      <c r="DMM2399" s="12"/>
      <c r="DMN2399" s="12"/>
      <c r="DMO2399" s="12"/>
      <c r="DMP2399" s="12"/>
      <c r="DMQ2399" s="12"/>
    </row>
    <row r="2400" spans="3044:3059">
      <c r="DMB2400" s="12"/>
      <c r="DMC2400" s="12"/>
      <c r="DMD2400" s="12"/>
      <c r="DME2400" s="12"/>
      <c r="DMF2400" s="12"/>
      <c r="DMG2400" s="12"/>
      <c r="DMH2400" s="12"/>
      <c r="DMI2400" s="12"/>
      <c r="DMJ2400" s="12"/>
      <c r="DMK2400" s="12"/>
      <c r="DML2400" s="12"/>
      <c r="DMM2400" s="12"/>
      <c r="DMN2400" s="12"/>
      <c r="DMO2400" s="12"/>
      <c r="DMP2400" s="12"/>
      <c r="DMQ2400" s="12"/>
    </row>
    <row r="2401" spans="3044:3059">
      <c r="DMB2401" s="12"/>
      <c r="DMC2401" s="12"/>
      <c r="DMD2401" s="12"/>
      <c r="DME2401" s="12"/>
      <c r="DMF2401" s="12"/>
      <c r="DMG2401" s="12"/>
      <c r="DMH2401" s="12"/>
      <c r="DMI2401" s="12"/>
      <c r="DMJ2401" s="12"/>
      <c r="DMK2401" s="12"/>
      <c r="DML2401" s="12"/>
      <c r="DMM2401" s="12"/>
      <c r="DMN2401" s="12"/>
      <c r="DMO2401" s="12"/>
      <c r="DMP2401" s="12"/>
      <c r="DMQ2401" s="12"/>
    </row>
    <row r="2402" spans="3044:3059">
      <c r="DMB2402" s="12"/>
      <c r="DMC2402" s="12"/>
      <c r="DMD2402" s="12"/>
      <c r="DME2402" s="12"/>
      <c r="DMF2402" s="12"/>
      <c r="DMG2402" s="12"/>
      <c r="DMH2402" s="12"/>
      <c r="DMI2402" s="12"/>
      <c r="DMJ2402" s="12"/>
      <c r="DMK2402" s="12"/>
      <c r="DML2402" s="12"/>
      <c r="DMM2402" s="12"/>
      <c r="DMN2402" s="12"/>
      <c r="DMO2402" s="12"/>
      <c r="DMP2402" s="12"/>
      <c r="DMQ2402" s="12"/>
    </row>
    <row r="2403" spans="3044:3059">
      <c r="DMB2403" s="12"/>
      <c r="DMC2403" s="12"/>
      <c r="DMD2403" s="12"/>
      <c r="DME2403" s="12"/>
      <c r="DMF2403" s="12"/>
      <c r="DMG2403" s="12"/>
      <c r="DMH2403" s="12"/>
      <c r="DMI2403" s="12"/>
      <c r="DMJ2403" s="12"/>
      <c r="DMK2403" s="12"/>
      <c r="DML2403" s="12"/>
      <c r="DMM2403" s="12"/>
      <c r="DMN2403" s="12"/>
      <c r="DMO2403" s="12"/>
      <c r="DMP2403" s="12"/>
      <c r="DMQ2403" s="12"/>
    </row>
    <row r="2404" spans="3044:3059">
      <c r="DMB2404" s="12"/>
      <c r="DMC2404" s="12"/>
      <c r="DMD2404" s="12"/>
      <c r="DME2404" s="12"/>
      <c r="DMF2404" s="12"/>
      <c r="DMG2404" s="12"/>
      <c r="DMH2404" s="12"/>
      <c r="DMI2404" s="12"/>
      <c r="DMJ2404" s="12"/>
      <c r="DMK2404" s="12"/>
      <c r="DML2404" s="12"/>
      <c r="DMM2404" s="12"/>
      <c r="DMN2404" s="12"/>
      <c r="DMO2404" s="12"/>
      <c r="DMP2404" s="12"/>
      <c r="DMQ2404" s="12"/>
    </row>
    <row r="2405" spans="3044:3059">
      <c r="DMB2405" s="12"/>
      <c r="DMC2405" s="12"/>
      <c r="DMD2405" s="12"/>
      <c r="DME2405" s="12"/>
      <c r="DMF2405" s="12"/>
      <c r="DMG2405" s="12"/>
      <c r="DMH2405" s="12"/>
      <c r="DMI2405" s="12"/>
      <c r="DMJ2405" s="12"/>
      <c r="DMK2405" s="12"/>
      <c r="DML2405" s="12"/>
      <c r="DMM2405" s="12"/>
      <c r="DMN2405" s="12"/>
      <c r="DMO2405" s="12"/>
      <c r="DMP2405" s="12"/>
      <c r="DMQ2405" s="12"/>
    </row>
    <row r="2406" spans="3044:3059">
      <c r="DMB2406" s="12"/>
      <c r="DMC2406" s="12"/>
      <c r="DMD2406" s="12"/>
      <c r="DME2406" s="12"/>
      <c r="DMF2406" s="12"/>
      <c r="DMG2406" s="12"/>
      <c r="DMH2406" s="12"/>
      <c r="DMI2406" s="12"/>
      <c r="DMJ2406" s="12"/>
      <c r="DMK2406" s="12"/>
      <c r="DML2406" s="12"/>
      <c r="DMM2406" s="12"/>
      <c r="DMN2406" s="12"/>
      <c r="DMO2406" s="12"/>
      <c r="DMP2406" s="12"/>
      <c r="DMQ2406" s="12"/>
    </row>
    <row r="2407" spans="3044:3059">
      <c r="DMB2407" s="12"/>
      <c r="DMC2407" s="12"/>
      <c r="DMD2407" s="12"/>
      <c r="DME2407" s="12"/>
      <c r="DMF2407" s="12"/>
      <c r="DMG2407" s="12"/>
      <c r="DMH2407" s="12"/>
      <c r="DMI2407" s="12"/>
      <c r="DMJ2407" s="12"/>
      <c r="DMK2407" s="12"/>
      <c r="DML2407" s="12"/>
      <c r="DMM2407" s="12"/>
      <c r="DMN2407" s="12"/>
      <c r="DMO2407" s="12"/>
      <c r="DMP2407" s="12"/>
      <c r="DMQ2407" s="12"/>
    </row>
    <row r="2408" spans="3044:3059">
      <c r="DMB2408" s="12"/>
      <c r="DMC2408" s="12"/>
      <c r="DMD2408" s="12"/>
      <c r="DME2408" s="12"/>
      <c r="DMF2408" s="12"/>
      <c r="DMG2408" s="12"/>
      <c r="DMH2408" s="12"/>
      <c r="DMI2408" s="12"/>
      <c r="DMJ2408" s="12"/>
      <c r="DMK2408" s="12"/>
      <c r="DML2408" s="12"/>
      <c r="DMM2408" s="12"/>
      <c r="DMN2408" s="12"/>
      <c r="DMO2408" s="12"/>
      <c r="DMP2408" s="12"/>
      <c r="DMQ2408" s="12"/>
    </row>
    <row r="2409" spans="3044:3059">
      <c r="DMB2409" s="12"/>
      <c r="DMC2409" s="12"/>
      <c r="DMD2409" s="12"/>
      <c r="DME2409" s="12"/>
      <c r="DMF2409" s="12"/>
      <c r="DMG2409" s="12"/>
      <c r="DMH2409" s="12"/>
      <c r="DMI2409" s="12"/>
      <c r="DMJ2409" s="12"/>
      <c r="DMK2409" s="12"/>
      <c r="DML2409" s="12"/>
      <c r="DMM2409" s="12"/>
      <c r="DMN2409" s="12"/>
      <c r="DMO2409" s="12"/>
      <c r="DMP2409" s="12"/>
      <c r="DMQ2409" s="12"/>
    </row>
    <row r="2410" spans="3044:3059">
      <c r="DMB2410" s="12"/>
      <c r="DMC2410" s="12"/>
      <c r="DMD2410" s="12"/>
      <c r="DME2410" s="12"/>
      <c r="DMF2410" s="12"/>
      <c r="DMG2410" s="12"/>
      <c r="DMH2410" s="12"/>
      <c r="DMI2410" s="12"/>
      <c r="DMJ2410" s="12"/>
      <c r="DMK2410" s="12"/>
      <c r="DML2410" s="12"/>
      <c r="DMM2410" s="12"/>
      <c r="DMN2410" s="12"/>
      <c r="DMO2410" s="12"/>
      <c r="DMP2410" s="12"/>
      <c r="DMQ2410" s="12"/>
    </row>
    <row r="2411" spans="3044:3059">
      <c r="DMB2411" s="12"/>
      <c r="DMC2411" s="12"/>
      <c r="DMD2411" s="12"/>
      <c r="DME2411" s="12"/>
      <c r="DMF2411" s="12"/>
      <c r="DMG2411" s="12"/>
      <c r="DMH2411" s="12"/>
      <c r="DMI2411" s="12"/>
      <c r="DMJ2411" s="12"/>
      <c r="DMK2411" s="12"/>
      <c r="DML2411" s="12"/>
      <c r="DMM2411" s="12"/>
      <c r="DMN2411" s="12"/>
      <c r="DMO2411" s="12"/>
      <c r="DMP2411" s="12"/>
      <c r="DMQ2411" s="12"/>
    </row>
    <row r="2412" spans="3044:3059">
      <c r="DMB2412" s="12"/>
      <c r="DMC2412" s="12"/>
      <c r="DMD2412" s="12"/>
      <c r="DME2412" s="12"/>
      <c r="DMF2412" s="12"/>
      <c r="DMG2412" s="12"/>
      <c r="DMH2412" s="12"/>
      <c r="DMI2412" s="12"/>
      <c r="DMJ2412" s="12"/>
      <c r="DMK2412" s="12"/>
      <c r="DML2412" s="12"/>
      <c r="DMM2412" s="12"/>
      <c r="DMN2412" s="12"/>
      <c r="DMO2412" s="12"/>
      <c r="DMP2412" s="12"/>
      <c r="DMQ2412" s="12"/>
    </row>
    <row r="2413" spans="3044:3059">
      <c r="DMB2413" s="12"/>
      <c r="DMC2413" s="12"/>
      <c r="DMD2413" s="12"/>
      <c r="DME2413" s="12"/>
      <c r="DMF2413" s="12"/>
      <c r="DMG2413" s="12"/>
      <c r="DMH2413" s="12"/>
      <c r="DMI2413" s="12"/>
      <c r="DMJ2413" s="12"/>
      <c r="DMK2413" s="12"/>
      <c r="DML2413" s="12"/>
      <c r="DMM2413" s="12"/>
      <c r="DMN2413" s="12"/>
      <c r="DMO2413" s="12"/>
      <c r="DMP2413" s="12"/>
      <c r="DMQ2413" s="12"/>
    </row>
    <row r="2414" spans="3044:3059">
      <c r="DMB2414" s="12"/>
      <c r="DMC2414" s="12"/>
      <c r="DMD2414" s="12"/>
      <c r="DME2414" s="12"/>
      <c r="DMF2414" s="12"/>
      <c r="DMG2414" s="12"/>
      <c r="DMH2414" s="12"/>
      <c r="DMI2414" s="12"/>
      <c r="DMJ2414" s="12"/>
      <c r="DMK2414" s="12"/>
      <c r="DML2414" s="12"/>
      <c r="DMM2414" s="12"/>
      <c r="DMN2414" s="12"/>
      <c r="DMO2414" s="12"/>
      <c r="DMP2414" s="12"/>
      <c r="DMQ2414" s="12"/>
    </row>
    <row r="2415" spans="3044:3059">
      <c r="DMB2415" s="12"/>
      <c r="DMC2415" s="12"/>
      <c r="DMD2415" s="12"/>
      <c r="DME2415" s="12"/>
      <c r="DMF2415" s="12"/>
      <c r="DMG2415" s="12"/>
      <c r="DMH2415" s="12"/>
      <c r="DMI2415" s="12"/>
      <c r="DMJ2415" s="12"/>
      <c r="DMK2415" s="12"/>
      <c r="DML2415" s="12"/>
      <c r="DMM2415" s="12"/>
      <c r="DMN2415" s="12"/>
      <c r="DMO2415" s="12"/>
      <c r="DMP2415" s="12"/>
      <c r="DMQ2415" s="12"/>
    </row>
    <row r="2416" spans="3044:3059">
      <c r="DMB2416" s="12"/>
      <c r="DMC2416" s="12"/>
      <c r="DMD2416" s="12"/>
      <c r="DME2416" s="12"/>
      <c r="DMF2416" s="12"/>
      <c r="DMG2416" s="12"/>
      <c r="DMH2416" s="12"/>
      <c r="DMI2416" s="12"/>
      <c r="DMJ2416" s="12"/>
      <c r="DMK2416" s="12"/>
      <c r="DML2416" s="12"/>
      <c r="DMM2416" s="12"/>
      <c r="DMN2416" s="12"/>
      <c r="DMO2416" s="12"/>
      <c r="DMP2416" s="12"/>
      <c r="DMQ2416" s="12"/>
    </row>
    <row r="2417" spans="3044:3059">
      <c r="DMB2417" s="12"/>
      <c r="DMC2417" s="12"/>
      <c r="DMD2417" s="12"/>
      <c r="DME2417" s="12"/>
      <c r="DMF2417" s="12"/>
      <c r="DMG2417" s="12"/>
      <c r="DMH2417" s="12"/>
      <c r="DMI2417" s="12"/>
      <c r="DMJ2417" s="12"/>
      <c r="DMK2417" s="12"/>
      <c r="DML2417" s="12"/>
      <c r="DMM2417" s="12"/>
      <c r="DMN2417" s="12"/>
      <c r="DMO2417" s="12"/>
      <c r="DMP2417" s="12"/>
      <c r="DMQ2417" s="12"/>
    </row>
    <row r="2418" spans="3044:3059">
      <c r="DMB2418" s="12"/>
      <c r="DMC2418" s="12"/>
      <c r="DMD2418" s="12"/>
      <c r="DME2418" s="12"/>
      <c r="DMF2418" s="12"/>
      <c r="DMG2418" s="12"/>
      <c r="DMH2418" s="12"/>
      <c r="DMI2418" s="12"/>
      <c r="DMJ2418" s="12"/>
      <c r="DMK2418" s="12"/>
      <c r="DML2418" s="12"/>
      <c r="DMM2418" s="12"/>
      <c r="DMN2418" s="12"/>
      <c r="DMO2418" s="12"/>
      <c r="DMP2418" s="12"/>
      <c r="DMQ2418" s="12"/>
    </row>
    <row r="2419" spans="3044:3059">
      <c r="DMB2419" s="12"/>
      <c r="DMC2419" s="12"/>
      <c r="DMD2419" s="12"/>
      <c r="DME2419" s="12"/>
      <c r="DMF2419" s="12"/>
      <c r="DMG2419" s="12"/>
      <c r="DMH2419" s="12"/>
      <c r="DMI2419" s="12"/>
      <c r="DMJ2419" s="12"/>
      <c r="DMK2419" s="12"/>
      <c r="DML2419" s="12"/>
      <c r="DMM2419" s="12"/>
      <c r="DMN2419" s="12"/>
      <c r="DMO2419" s="12"/>
      <c r="DMP2419" s="12"/>
      <c r="DMQ2419" s="12"/>
    </row>
    <row r="2420" spans="3044:3059">
      <c r="DMB2420" s="12"/>
      <c r="DMC2420" s="12"/>
      <c r="DMD2420" s="12"/>
      <c r="DME2420" s="12"/>
      <c r="DMF2420" s="12"/>
      <c r="DMG2420" s="12"/>
      <c r="DMH2420" s="12"/>
      <c r="DMI2420" s="12"/>
      <c r="DMJ2420" s="12"/>
      <c r="DMK2420" s="12"/>
      <c r="DML2420" s="12"/>
      <c r="DMM2420" s="12"/>
      <c r="DMN2420" s="12"/>
      <c r="DMO2420" s="12"/>
      <c r="DMP2420" s="12"/>
      <c r="DMQ2420" s="12"/>
    </row>
    <row r="2421" spans="3044:3059">
      <c r="DMB2421" s="12"/>
      <c r="DMC2421" s="12"/>
      <c r="DMD2421" s="12"/>
      <c r="DME2421" s="12"/>
      <c r="DMF2421" s="12"/>
      <c r="DMG2421" s="12"/>
      <c r="DMH2421" s="12"/>
      <c r="DMI2421" s="12"/>
      <c r="DMJ2421" s="12"/>
      <c r="DMK2421" s="12"/>
      <c r="DML2421" s="12"/>
      <c r="DMM2421" s="12"/>
      <c r="DMN2421" s="12"/>
      <c r="DMO2421" s="12"/>
      <c r="DMP2421" s="12"/>
      <c r="DMQ2421" s="12"/>
    </row>
    <row r="2422" spans="3044:3059">
      <c r="DMB2422" s="12"/>
      <c r="DMC2422" s="12"/>
      <c r="DMD2422" s="12"/>
      <c r="DME2422" s="12"/>
      <c r="DMF2422" s="12"/>
      <c r="DMG2422" s="12"/>
      <c r="DMH2422" s="12"/>
      <c r="DMI2422" s="12"/>
      <c r="DMJ2422" s="12"/>
      <c r="DMK2422" s="12"/>
      <c r="DML2422" s="12"/>
      <c r="DMM2422" s="12"/>
      <c r="DMN2422" s="12"/>
      <c r="DMO2422" s="12"/>
      <c r="DMP2422" s="12"/>
      <c r="DMQ2422" s="12"/>
    </row>
    <row r="2423" spans="3044:3059">
      <c r="DMB2423" s="12"/>
      <c r="DMC2423" s="12"/>
      <c r="DMD2423" s="12"/>
      <c r="DME2423" s="12"/>
      <c r="DMF2423" s="12"/>
      <c r="DMG2423" s="12"/>
      <c r="DMH2423" s="12"/>
      <c r="DMI2423" s="12"/>
      <c r="DMJ2423" s="12"/>
      <c r="DMK2423" s="12"/>
      <c r="DML2423" s="12"/>
      <c r="DMM2423" s="12"/>
      <c r="DMN2423" s="12"/>
      <c r="DMO2423" s="12"/>
      <c r="DMP2423" s="12"/>
      <c r="DMQ2423" s="12"/>
    </row>
    <row r="2424" spans="3044:3059">
      <c r="DMB2424" s="12"/>
      <c r="DMC2424" s="12"/>
      <c r="DMD2424" s="12"/>
      <c r="DME2424" s="12"/>
      <c r="DMF2424" s="12"/>
      <c r="DMG2424" s="12"/>
      <c r="DMH2424" s="12"/>
      <c r="DMI2424" s="12"/>
      <c r="DMJ2424" s="12"/>
      <c r="DMK2424" s="12"/>
      <c r="DML2424" s="12"/>
      <c r="DMM2424" s="12"/>
      <c r="DMN2424" s="12"/>
      <c r="DMO2424" s="12"/>
      <c r="DMP2424" s="12"/>
      <c r="DMQ2424" s="12"/>
    </row>
    <row r="2425" spans="3044:3059">
      <c r="DMB2425" s="12"/>
      <c r="DMC2425" s="12"/>
      <c r="DMD2425" s="12"/>
      <c r="DME2425" s="12"/>
      <c r="DMF2425" s="12"/>
      <c r="DMG2425" s="12"/>
      <c r="DMH2425" s="12"/>
      <c r="DMI2425" s="12"/>
      <c r="DMJ2425" s="12"/>
      <c r="DMK2425" s="12"/>
      <c r="DML2425" s="12"/>
      <c r="DMM2425" s="12"/>
      <c r="DMN2425" s="12"/>
      <c r="DMO2425" s="12"/>
      <c r="DMP2425" s="12"/>
      <c r="DMQ2425" s="12"/>
    </row>
    <row r="2426" spans="3044:3059">
      <c r="DMB2426" s="12"/>
      <c r="DMC2426" s="12"/>
      <c r="DMD2426" s="12"/>
      <c r="DME2426" s="12"/>
      <c r="DMF2426" s="12"/>
      <c r="DMG2426" s="12"/>
      <c r="DMH2426" s="12"/>
      <c r="DMI2426" s="12"/>
      <c r="DMJ2426" s="12"/>
      <c r="DMK2426" s="12"/>
      <c r="DML2426" s="12"/>
      <c r="DMM2426" s="12"/>
      <c r="DMN2426" s="12"/>
      <c r="DMO2426" s="12"/>
      <c r="DMP2426" s="12"/>
      <c r="DMQ2426" s="12"/>
    </row>
    <row r="2427" spans="3044:3059">
      <c r="DMB2427" s="12"/>
      <c r="DMC2427" s="12"/>
      <c r="DMD2427" s="12"/>
      <c r="DME2427" s="12"/>
      <c r="DMF2427" s="12"/>
      <c r="DMG2427" s="12"/>
      <c r="DMH2427" s="12"/>
      <c r="DMI2427" s="12"/>
      <c r="DMJ2427" s="12"/>
      <c r="DMK2427" s="12"/>
      <c r="DML2427" s="12"/>
      <c r="DMM2427" s="12"/>
      <c r="DMN2427" s="12"/>
      <c r="DMO2427" s="12"/>
      <c r="DMP2427" s="12"/>
      <c r="DMQ2427" s="12"/>
    </row>
    <row r="2428" spans="3044:3059">
      <c r="DMB2428" s="12"/>
      <c r="DMC2428" s="12"/>
      <c r="DMD2428" s="12"/>
      <c r="DME2428" s="12"/>
      <c r="DMF2428" s="12"/>
      <c r="DMG2428" s="12"/>
      <c r="DMH2428" s="12"/>
      <c r="DMI2428" s="12"/>
      <c r="DMJ2428" s="12"/>
      <c r="DMK2428" s="12"/>
      <c r="DML2428" s="12"/>
      <c r="DMM2428" s="12"/>
      <c r="DMN2428" s="12"/>
      <c r="DMO2428" s="12"/>
      <c r="DMP2428" s="12"/>
      <c r="DMQ2428" s="12"/>
    </row>
    <row r="2429" spans="3044:3059">
      <c r="DMB2429" s="12"/>
      <c r="DMC2429" s="12"/>
      <c r="DMD2429" s="12"/>
      <c r="DME2429" s="12"/>
      <c r="DMF2429" s="12"/>
      <c r="DMG2429" s="12"/>
      <c r="DMH2429" s="12"/>
      <c r="DMI2429" s="12"/>
      <c r="DMJ2429" s="12"/>
      <c r="DMK2429" s="12"/>
      <c r="DML2429" s="12"/>
      <c r="DMM2429" s="12"/>
      <c r="DMN2429" s="12"/>
      <c r="DMO2429" s="12"/>
      <c r="DMP2429" s="12"/>
      <c r="DMQ2429" s="12"/>
    </row>
    <row r="2430" spans="3044:3059">
      <c r="DMB2430" s="12"/>
      <c r="DMC2430" s="12"/>
      <c r="DMD2430" s="12"/>
      <c r="DME2430" s="12"/>
      <c r="DMF2430" s="12"/>
      <c r="DMG2430" s="12"/>
      <c r="DMH2430" s="12"/>
      <c r="DMI2430" s="12"/>
      <c r="DMJ2430" s="12"/>
      <c r="DMK2430" s="12"/>
      <c r="DML2430" s="12"/>
      <c r="DMM2430" s="12"/>
      <c r="DMN2430" s="12"/>
      <c r="DMO2430" s="12"/>
      <c r="DMP2430" s="12"/>
      <c r="DMQ2430" s="12"/>
    </row>
    <row r="2431" spans="3044:3059">
      <c r="DMB2431" s="12"/>
      <c r="DMC2431" s="12"/>
      <c r="DMD2431" s="12"/>
      <c r="DME2431" s="12"/>
      <c r="DMF2431" s="12"/>
      <c r="DMG2431" s="12"/>
      <c r="DMH2431" s="12"/>
      <c r="DMI2431" s="12"/>
      <c r="DMJ2431" s="12"/>
      <c r="DMK2431" s="12"/>
      <c r="DML2431" s="12"/>
      <c r="DMM2431" s="12"/>
      <c r="DMN2431" s="12"/>
      <c r="DMO2431" s="12"/>
      <c r="DMP2431" s="12"/>
      <c r="DMQ2431" s="12"/>
    </row>
    <row r="2432" spans="3044:3059">
      <c r="DMB2432" s="12"/>
      <c r="DMC2432" s="12"/>
      <c r="DMD2432" s="12"/>
      <c r="DME2432" s="12"/>
      <c r="DMF2432" s="12"/>
      <c r="DMG2432" s="12"/>
      <c r="DMH2432" s="12"/>
      <c r="DMI2432" s="12"/>
      <c r="DMJ2432" s="12"/>
      <c r="DMK2432" s="12"/>
      <c r="DML2432" s="12"/>
      <c r="DMM2432" s="12"/>
      <c r="DMN2432" s="12"/>
      <c r="DMO2432" s="12"/>
      <c r="DMP2432" s="12"/>
      <c r="DMQ2432" s="12"/>
    </row>
    <row r="2433" spans="3044:3059">
      <c r="DMB2433" s="12"/>
      <c r="DMC2433" s="12"/>
      <c r="DMD2433" s="12"/>
      <c r="DME2433" s="12"/>
      <c r="DMF2433" s="12"/>
      <c r="DMG2433" s="12"/>
      <c r="DMH2433" s="12"/>
      <c r="DMI2433" s="12"/>
      <c r="DMJ2433" s="12"/>
      <c r="DMK2433" s="12"/>
      <c r="DML2433" s="12"/>
      <c r="DMM2433" s="12"/>
      <c r="DMN2433" s="12"/>
      <c r="DMO2433" s="12"/>
      <c r="DMP2433" s="12"/>
      <c r="DMQ2433" s="12"/>
    </row>
    <row r="2434" spans="3044:3059">
      <c r="DMB2434" s="12"/>
      <c r="DMC2434" s="12"/>
      <c r="DMD2434" s="12"/>
      <c r="DME2434" s="12"/>
      <c r="DMF2434" s="12"/>
      <c r="DMG2434" s="12"/>
      <c r="DMH2434" s="12"/>
      <c r="DMI2434" s="12"/>
      <c r="DMJ2434" s="12"/>
      <c r="DMK2434" s="12"/>
      <c r="DML2434" s="12"/>
      <c r="DMM2434" s="12"/>
      <c r="DMN2434" s="12"/>
      <c r="DMO2434" s="12"/>
      <c r="DMP2434" s="12"/>
      <c r="DMQ2434" s="12"/>
    </row>
    <row r="2435" spans="3044:3059">
      <c r="DMB2435" s="12"/>
      <c r="DMC2435" s="12"/>
      <c r="DMD2435" s="12"/>
      <c r="DME2435" s="12"/>
      <c r="DMF2435" s="12"/>
      <c r="DMG2435" s="12"/>
      <c r="DMH2435" s="12"/>
      <c r="DMI2435" s="12"/>
      <c r="DMJ2435" s="12"/>
      <c r="DMK2435" s="12"/>
      <c r="DML2435" s="12"/>
      <c r="DMM2435" s="12"/>
      <c r="DMN2435" s="12"/>
      <c r="DMO2435" s="12"/>
      <c r="DMP2435" s="12"/>
      <c r="DMQ2435" s="12"/>
    </row>
    <row r="2436" spans="3044:3059">
      <c r="DMB2436" s="12"/>
      <c r="DMC2436" s="12"/>
      <c r="DMD2436" s="12"/>
      <c r="DME2436" s="12"/>
      <c r="DMF2436" s="12"/>
      <c r="DMG2436" s="12"/>
      <c r="DMH2436" s="12"/>
      <c r="DMI2436" s="12"/>
      <c r="DMJ2436" s="12"/>
      <c r="DMK2436" s="12"/>
      <c r="DML2436" s="12"/>
      <c r="DMM2436" s="12"/>
      <c r="DMN2436" s="12"/>
      <c r="DMO2436" s="12"/>
      <c r="DMP2436" s="12"/>
      <c r="DMQ2436" s="12"/>
    </row>
    <row r="2437" spans="3044:3059">
      <c r="DMB2437" s="12"/>
      <c r="DMC2437" s="12"/>
      <c r="DMD2437" s="12"/>
      <c r="DME2437" s="12"/>
      <c r="DMF2437" s="12"/>
      <c r="DMG2437" s="12"/>
      <c r="DMH2437" s="12"/>
      <c r="DMI2437" s="12"/>
      <c r="DMJ2437" s="12"/>
      <c r="DMK2437" s="12"/>
      <c r="DML2437" s="12"/>
      <c r="DMM2437" s="12"/>
      <c r="DMN2437" s="12"/>
      <c r="DMO2437" s="12"/>
      <c r="DMP2437" s="12"/>
      <c r="DMQ2437" s="12"/>
    </row>
    <row r="2438" spans="3044:3059">
      <c r="DMB2438" s="12"/>
      <c r="DMC2438" s="12"/>
      <c r="DMD2438" s="12"/>
      <c r="DME2438" s="12"/>
      <c r="DMF2438" s="12"/>
      <c r="DMG2438" s="12"/>
      <c r="DMH2438" s="12"/>
      <c r="DMI2438" s="12"/>
      <c r="DMJ2438" s="12"/>
      <c r="DMK2438" s="12"/>
      <c r="DML2438" s="12"/>
      <c r="DMM2438" s="12"/>
      <c r="DMN2438" s="12"/>
      <c r="DMO2438" s="12"/>
      <c r="DMP2438" s="12"/>
      <c r="DMQ2438" s="12"/>
    </row>
    <row r="2439" spans="3044:3059">
      <c r="DMB2439" s="12"/>
      <c r="DMC2439" s="12"/>
      <c r="DMD2439" s="12"/>
      <c r="DME2439" s="12"/>
      <c r="DMF2439" s="12"/>
      <c r="DMG2439" s="12"/>
      <c r="DMH2439" s="12"/>
      <c r="DMI2439" s="12"/>
      <c r="DMJ2439" s="12"/>
      <c r="DMK2439" s="12"/>
      <c r="DML2439" s="12"/>
      <c r="DMM2439" s="12"/>
      <c r="DMN2439" s="12"/>
      <c r="DMO2439" s="12"/>
      <c r="DMP2439" s="12"/>
      <c r="DMQ2439" s="12"/>
    </row>
    <row r="2440" spans="3044:3059">
      <c r="DMB2440" s="12"/>
      <c r="DMC2440" s="12"/>
      <c r="DMD2440" s="12"/>
      <c r="DME2440" s="12"/>
      <c r="DMF2440" s="12"/>
      <c r="DMG2440" s="12"/>
      <c r="DMH2440" s="12"/>
      <c r="DMI2440" s="12"/>
      <c r="DMJ2440" s="12"/>
      <c r="DMK2440" s="12"/>
      <c r="DML2440" s="12"/>
      <c r="DMM2440" s="12"/>
      <c r="DMN2440" s="12"/>
      <c r="DMO2440" s="12"/>
      <c r="DMP2440" s="12"/>
      <c r="DMQ2440" s="12"/>
    </row>
    <row r="2441" spans="3044:3059">
      <c r="DMB2441" s="12"/>
      <c r="DMC2441" s="12"/>
      <c r="DMD2441" s="12"/>
      <c r="DME2441" s="12"/>
      <c r="DMF2441" s="12"/>
      <c r="DMG2441" s="12"/>
      <c r="DMH2441" s="12"/>
      <c r="DMI2441" s="12"/>
      <c r="DMJ2441" s="12"/>
      <c r="DMK2441" s="12"/>
      <c r="DML2441" s="12"/>
      <c r="DMM2441" s="12"/>
      <c r="DMN2441" s="12"/>
      <c r="DMO2441" s="12"/>
      <c r="DMP2441" s="12"/>
      <c r="DMQ2441" s="12"/>
    </row>
    <row r="2442" spans="3044:3059">
      <c r="DMB2442" s="12"/>
      <c r="DMC2442" s="12"/>
      <c r="DMD2442" s="12"/>
      <c r="DME2442" s="12"/>
      <c r="DMF2442" s="12"/>
      <c r="DMG2442" s="12"/>
      <c r="DMH2442" s="12"/>
      <c r="DMI2442" s="12"/>
      <c r="DMJ2442" s="12"/>
      <c r="DMK2442" s="12"/>
      <c r="DML2442" s="12"/>
      <c r="DMM2442" s="12"/>
      <c r="DMN2442" s="12"/>
      <c r="DMO2442" s="12"/>
      <c r="DMP2442" s="12"/>
      <c r="DMQ2442" s="12"/>
    </row>
    <row r="2443" spans="3044:3059">
      <c r="DMB2443" s="12"/>
      <c r="DMC2443" s="12"/>
      <c r="DMD2443" s="12"/>
      <c r="DME2443" s="12"/>
      <c r="DMF2443" s="12"/>
      <c r="DMG2443" s="12"/>
      <c r="DMH2443" s="12"/>
      <c r="DMI2443" s="12"/>
      <c r="DMJ2443" s="12"/>
      <c r="DMK2443" s="12"/>
      <c r="DML2443" s="12"/>
      <c r="DMM2443" s="12"/>
      <c r="DMN2443" s="12"/>
      <c r="DMO2443" s="12"/>
      <c r="DMP2443" s="12"/>
      <c r="DMQ2443" s="12"/>
    </row>
    <row r="2444" spans="3044:3059">
      <c r="DMB2444" s="12"/>
      <c r="DMC2444" s="12"/>
      <c r="DMD2444" s="12"/>
      <c r="DME2444" s="12"/>
      <c r="DMF2444" s="12"/>
      <c r="DMG2444" s="12"/>
      <c r="DMH2444" s="12"/>
      <c r="DMI2444" s="12"/>
      <c r="DMJ2444" s="12"/>
      <c r="DMK2444" s="12"/>
      <c r="DML2444" s="12"/>
      <c r="DMM2444" s="12"/>
      <c r="DMN2444" s="12"/>
      <c r="DMO2444" s="12"/>
      <c r="DMP2444" s="12"/>
      <c r="DMQ2444" s="12"/>
    </row>
    <row r="2445" spans="3044:3059">
      <c r="DMB2445" s="12"/>
      <c r="DMC2445" s="12"/>
      <c r="DMD2445" s="12"/>
      <c r="DME2445" s="12"/>
      <c r="DMF2445" s="12"/>
      <c r="DMG2445" s="12"/>
      <c r="DMH2445" s="12"/>
      <c r="DMI2445" s="12"/>
      <c r="DMJ2445" s="12"/>
      <c r="DMK2445" s="12"/>
      <c r="DML2445" s="12"/>
      <c r="DMM2445" s="12"/>
      <c r="DMN2445" s="12"/>
      <c r="DMO2445" s="12"/>
      <c r="DMP2445" s="12"/>
      <c r="DMQ2445" s="12"/>
    </row>
    <row r="2446" spans="3044:3059">
      <c r="DMB2446" s="12"/>
      <c r="DMC2446" s="12"/>
      <c r="DMD2446" s="12"/>
      <c r="DME2446" s="12"/>
      <c r="DMF2446" s="12"/>
      <c r="DMG2446" s="12"/>
      <c r="DMH2446" s="12"/>
      <c r="DMI2446" s="12"/>
      <c r="DMJ2446" s="12"/>
      <c r="DMK2446" s="12"/>
      <c r="DML2446" s="12"/>
      <c r="DMM2446" s="12"/>
      <c r="DMN2446" s="12"/>
      <c r="DMO2446" s="12"/>
      <c r="DMP2446" s="12"/>
      <c r="DMQ2446" s="12"/>
    </row>
    <row r="2447" spans="3044:3059">
      <c r="DMB2447" s="12"/>
      <c r="DMC2447" s="12"/>
      <c r="DMD2447" s="12"/>
      <c r="DME2447" s="12"/>
      <c r="DMF2447" s="12"/>
      <c r="DMG2447" s="12"/>
      <c r="DMH2447" s="12"/>
      <c r="DMI2447" s="12"/>
      <c r="DMJ2447" s="12"/>
      <c r="DMK2447" s="12"/>
      <c r="DML2447" s="12"/>
      <c r="DMM2447" s="12"/>
      <c r="DMN2447" s="12"/>
      <c r="DMO2447" s="12"/>
      <c r="DMP2447" s="12"/>
      <c r="DMQ2447" s="12"/>
    </row>
    <row r="2448" spans="3044:3059">
      <c r="DMB2448" s="12"/>
      <c r="DMC2448" s="12"/>
      <c r="DMD2448" s="12"/>
      <c r="DME2448" s="12"/>
      <c r="DMF2448" s="12"/>
      <c r="DMG2448" s="12"/>
      <c r="DMH2448" s="12"/>
      <c r="DMI2448" s="12"/>
      <c r="DMJ2448" s="12"/>
      <c r="DMK2448" s="12"/>
      <c r="DML2448" s="12"/>
      <c r="DMM2448" s="12"/>
      <c r="DMN2448" s="12"/>
      <c r="DMO2448" s="12"/>
      <c r="DMP2448" s="12"/>
      <c r="DMQ2448" s="12"/>
    </row>
    <row r="2449" spans="3044:3059">
      <c r="DMB2449" s="12"/>
      <c r="DMC2449" s="12"/>
      <c r="DMD2449" s="12"/>
      <c r="DME2449" s="12"/>
      <c r="DMF2449" s="12"/>
      <c r="DMG2449" s="12"/>
      <c r="DMH2449" s="12"/>
      <c r="DMI2449" s="12"/>
      <c r="DMJ2449" s="12"/>
      <c r="DMK2449" s="12"/>
      <c r="DML2449" s="12"/>
      <c r="DMM2449" s="12"/>
      <c r="DMN2449" s="12"/>
      <c r="DMO2449" s="12"/>
      <c r="DMP2449" s="12"/>
      <c r="DMQ2449" s="12"/>
    </row>
    <row r="2450" spans="3044:3059">
      <c r="DMB2450" s="12"/>
      <c r="DMC2450" s="12"/>
      <c r="DMD2450" s="12"/>
      <c r="DME2450" s="12"/>
      <c r="DMF2450" s="12"/>
      <c r="DMG2450" s="12"/>
      <c r="DMH2450" s="12"/>
      <c r="DMI2450" s="12"/>
      <c r="DMJ2450" s="12"/>
      <c r="DMK2450" s="12"/>
      <c r="DML2450" s="12"/>
      <c r="DMM2450" s="12"/>
      <c r="DMN2450" s="12"/>
      <c r="DMO2450" s="12"/>
      <c r="DMP2450" s="12"/>
      <c r="DMQ2450" s="12"/>
    </row>
    <row r="2451" spans="3044:3059">
      <c r="DMB2451" s="12"/>
      <c r="DMC2451" s="12"/>
      <c r="DMD2451" s="12"/>
      <c r="DME2451" s="12"/>
      <c r="DMF2451" s="12"/>
      <c r="DMG2451" s="12"/>
      <c r="DMH2451" s="12"/>
      <c r="DMI2451" s="12"/>
      <c r="DMJ2451" s="12"/>
      <c r="DMK2451" s="12"/>
      <c r="DML2451" s="12"/>
      <c r="DMM2451" s="12"/>
      <c r="DMN2451" s="12"/>
      <c r="DMO2451" s="12"/>
      <c r="DMP2451" s="12"/>
      <c r="DMQ2451" s="12"/>
    </row>
    <row r="2452" spans="3044:3059">
      <c r="DMB2452" s="12"/>
      <c r="DMC2452" s="12"/>
      <c r="DMD2452" s="12"/>
      <c r="DME2452" s="12"/>
      <c r="DMF2452" s="12"/>
      <c r="DMG2452" s="12"/>
      <c r="DMH2452" s="12"/>
      <c r="DMI2452" s="12"/>
      <c r="DMJ2452" s="12"/>
      <c r="DMK2452" s="12"/>
      <c r="DML2452" s="12"/>
      <c r="DMM2452" s="12"/>
      <c r="DMN2452" s="12"/>
      <c r="DMO2452" s="12"/>
      <c r="DMP2452" s="12"/>
      <c r="DMQ2452" s="12"/>
    </row>
    <row r="2453" spans="3044:3059">
      <c r="DMB2453" s="12"/>
      <c r="DMC2453" s="12"/>
      <c r="DMD2453" s="12"/>
      <c r="DME2453" s="12"/>
      <c r="DMF2453" s="12"/>
      <c r="DMG2453" s="12"/>
      <c r="DMH2453" s="12"/>
      <c r="DMI2453" s="12"/>
      <c r="DMJ2453" s="12"/>
      <c r="DMK2453" s="12"/>
      <c r="DML2453" s="12"/>
      <c r="DMM2453" s="12"/>
      <c r="DMN2453" s="12"/>
      <c r="DMO2453" s="12"/>
      <c r="DMP2453" s="12"/>
      <c r="DMQ2453" s="12"/>
    </row>
    <row r="2454" spans="3044:3059">
      <c r="DMB2454" s="12"/>
      <c r="DMC2454" s="12"/>
      <c r="DMD2454" s="12"/>
      <c r="DME2454" s="12"/>
      <c r="DMF2454" s="12"/>
      <c r="DMG2454" s="12"/>
      <c r="DMH2454" s="12"/>
      <c r="DMI2454" s="12"/>
      <c r="DMJ2454" s="12"/>
      <c r="DMK2454" s="12"/>
      <c r="DML2454" s="12"/>
      <c r="DMM2454" s="12"/>
      <c r="DMN2454" s="12"/>
      <c r="DMO2454" s="12"/>
      <c r="DMP2454" s="12"/>
      <c r="DMQ2454" s="12"/>
    </row>
    <row r="2455" spans="3044:3059">
      <c r="DMB2455" s="12"/>
      <c r="DMC2455" s="12"/>
      <c r="DMD2455" s="12"/>
      <c r="DME2455" s="12"/>
      <c r="DMF2455" s="12"/>
      <c r="DMG2455" s="12"/>
      <c r="DMH2455" s="12"/>
      <c r="DMI2455" s="12"/>
      <c r="DMJ2455" s="12"/>
      <c r="DMK2455" s="12"/>
      <c r="DML2455" s="12"/>
      <c r="DMM2455" s="12"/>
      <c r="DMN2455" s="12"/>
      <c r="DMO2455" s="12"/>
      <c r="DMP2455" s="12"/>
      <c r="DMQ2455" s="12"/>
    </row>
    <row r="2456" spans="3044:3059">
      <c r="DMB2456" s="12"/>
      <c r="DMC2456" s="12"/>
      <c r="DMD2456" s="12"/>
      <c r="DME2456" s="12"/>
      <c r="DMF2456" s="12"/>
      <c r="DMG2456" s="12"/>
      <c r="DMH2456" s="12"/>
      <c r="DMI2456" s="12"/>
      <c r="DMJ2456" s="12"/>
      <c r="DMK2456" s="12"/>
      <c r="DML2456" s="12"/>
      <c r="DMM2456" s="12"/>
      <c r="DMN2456" s="12"/>
      <c r="DMO2456" s="12"/>
      <c r="DMP2456" s="12"/>
      <c r="DMQ2456" s="12"/>
    </row>
    <row r="2457" spans="3044:3059">
      <c r="DMB2457" s="12"/>
      <c r="DMC2457" s="12"/>
      <c r="DMD2457" s="12"/>
      <c r="DME2457" s="12"/>
      <c r="DMF2457" s="12"/>
      <c r="DMG2457" s="12"/>
      <c r="DMH2457" s="12"/>
      <c r="DMI2457" s="12"/>
      <c r="DMJ2457" s="12"/>
      <c r="DMK2457" s="12"/>
      <c r="DML2457" s="12"/>
      <c r="DMM2457" s="12"/>
      <c r="DMN2457" s="12"/>
      <c r="DMO2457" s="12"/>
      <c r="DMP2457" s="12"/>
      <c r="DMQ2457" s="12"/>
    </row>
    <row r="2458" spans="3044:3059">
      <c r="DMB2458" s="12"/>
      <c r="DMC2458" s="12"/>
      <c r="DMD2458" s="12"/>
      <c r="DME2458" s="12"/>
      <c r="DMF2458" s="12"/>
      <c r="DMG2458" s="12"/>
      <c r="DMH2458" s="12"/>
      <c r="DMI2458" s="12"/>
      <c r="DMJ2458" s="12"/>
      <c r="DMK2458" s="12"/>
      <c r="DML2458" s="12"/>
      <c r="DMM2458" s="12"/>
      <c r="DMN2458" s="12"/>
      <c r="DMO2458" s="12"/>
      <c r="DMP2458" s="12"/>
      <c r="DMQ2458" s="12"/>
    </row>
    <row r="2459" spans="3044:3059">
      <c r="DMB2459" s="12"/>
      <c r="DMC2459" s="12"/>
      <c r="DMD2459" s="12"/>
      <c r="DME2459" s="12"/>
      <c r="DMF2459" s="12"/>
      <c r="DMG2459" s="12"/>
      <c r="DMH2459" s="12"/>
      <c r="DMI2459" s="12"/>
      <c r="DMJ2459" s="12"/>
      <c r="DMK2459" s="12"/>
      <c r="DML2459" s="12"/>
      <c r="DMM2459" s="12"/>
      <c r="DMN2459" s="12"/>
      <c r="DMO2459" s="12"/>
      <c r="DMP2459" s="12"/>
      <c r="DMQ2459" s="12"/>
    </row>
    <row r="2460" spans="3044:3059">
      <c r="DMB2460" s="12"/>
      <c r="DMC2460" s="12"/>
      <c r="DMD2460" s="12"/>
      <c r="DME2460" s="12"/>
      <c r="DMF2460" s="12"/>
      <c r="DMG2460" s="12"/>
      <c r="DMH2460" s="12"/>
      <c r="DMI2460" s="12"/>
      <c r="DMJ2460" s="12"/>
      <c r="DMK2460" s="12"/>
      <c r="DML2460" s="12"/>
      <c r="DMM2460" s="12"/>
      <c r="DMN2460" s="12"/>
      <c r="DMO2460" s="12"/>
      <c r="DMP2460" s="12"/>
      <c r="DMQ2460" s="12"/>
    </row>
    <row r="2461" spans="3044:3059">
      <c r="DMB2461" s="12"/>
      <c r="DMC2461" s="12"/>
      <c r="DMD2461" s="12"/>
      <c r="DME2461" s="12"/>
      <c r="DMF2461" s="12"/>
      <c r="DMG2461" s="12"/>
      <c r="DMH2461" s="12"/>
      <c r="DMI2461" s="12"/>
      <c r="DMJ2461" s="12"/>
      <c r="DMK2461" s="12"/>
      <c r="DML2461" s="12"/>
      <c r="DMM2461" s="12"/>
      <c r="DMN2461" s="12"/>
      <c r="DMO2461" s="12"/>
      <c r="DMP2461" s="12"/>
      <c r="DMQ2461" s="12"/>
    </row>
    <row r="2462" spans="3044:3059">
      <c r="DMB2462" s="12"/>
      <c r="DMC2462" s="12"/>
      <c r="DMD2462" s="12"/>
      <c r="DME2462" s="12"/>
      <c r="DMF2462" s="12"/>
      <c r="DMG2462" s="12"/>
      <c r="DMH2462" s="12"/>
      <c r="DMI2462" s="12"/>
      <c r="DMJ2462" s="12"/>
      <c r="DMK2462" s="12"/>
      <c r="DML2462" s="12"/>
      <c r="DMM2462" s="12"/>
      <c r="DMN2462" s="12"/>
      <c r="DMO2462" s="12"/>
      <c r="DMP2462" s="12"/>
      <c r="DMQ2462" s="12"/>
    </row>
    <row r="2463" spans="3044:3059">
      <c r="DMB2463" s="12"/>
      <c r="DMC2463" s="12"/>
      <c r="DMD2463" s="12"/>
      <c r="DME2463" s="12"/>
      <c r="DMF2463" s="12"/>
      <c r="DMG2463" s="12"/>
      <c r="DMH2463" s="12"/>
      <c r="DMI2463" s="12"/>
      <c r="DMJ2463" s="12"/>
      <c r="DMK2463" s="12"/>
      <c r="DML2463" s="12"/>
      <c r="DMM2463" s="12"/>
      <c r="DMN2463" s="12"/>
      <c r="DMO2463" s="12"/>
      <c r="DMP2463" s="12"/>
      <c r="DMQ2463" s="12"/>
    </row>
    <row r="2464" spans="3044:3059">
      <c r="DMB2464" s="12"/>
      <c r="DMC2464" s="12"/>
      <c r="DMD2464" s="12"/>
      <c r="DME2464" s="12"/>
      <c r="DMF2464" s="12"/>
      <c r="DMG2464" s="12"/>
      <c r="DMH2464" s="12"/>
      <c r="DMI2464" s="12"/>
      <c r="DMJ2464" s="12"/>
      <c r="DMK2464" s="12"/>
      <c r="DML2464" s="12"/>
      <c r="DMM2464" s="12"/>
      <c r="DMN2464" s="12"/>
      <c r="DMO2464" s="12"/>
      <c r="DMP2464" s="12"/>
      <c r="DMQ2464" s="12"/>
    </row>
    <row r="2465" spans="3044:3059">
      <c r="DMB2465" s="12"/>
      <c r="DMC2465" s="12"/>
      <c r="DMD2465" s="12"/>
      <c r="DME2465" s="12"/>
      <c r="DMF2465" s="12"/>
      <c r="DMG2465" s="12"/>
      <c r="DMH2465" s="12"/>
      <c r="DMI2465" s="12"/>
      <c r="DMJ2465" s="12"/>
      <c r="DMK2465" s="12"/>
      <c r="DML2465" s="12"/>
      <c r="DMM2465" s="12"/>
      <c r="DMN2465" s="12"/>
      <c r="DMO2465" s="12"/>
      <c r="DMP2465" s="12"/>
      <c r="DMQ2465" s="12"/>
    </row>
    <row r="2466" spans="3044:3059">
      <c r="DMB2466" s="12"/>
      <c r="DMC2466" s="12"/>
      <c r="DMD2466" s="12"/>
      <c r="DME2466" s="12"/>
      <c r="DMF2466" s="12"/>
      <c r="DMG2466" s="12"/>
      <c r="DMH2466" s="12"/>
      <c r="DMI2466" s="12"/>
      <c r="DMJ2466" s="12"/>
      <c r="DMK2466" s="12"/>
      <c r="DML2466" s="12"/>
      <c r="DMM2466" s="12"/>
      <c r="DMN2466" s="12"/>
      <c r="DMO2466" s="12"/>
      <c r="DMP2466" s="12"/>
      <c r="DMQ2466" s="12"/>
    </row>
    <row r="2467" spans="3044:3059">
      <c r="DMB2467" s="12"/>
      <c r="DMC2467" s="12"/>
      <c r="DMD2467" s="12"/>
      <c r="DME2467" s="12"/>
      <c r="DMF2467" s="12"/>
      <c r="DMG2467" s="12"/>
      <c r="DMH2467" s="12"/>
      <c r="DMI2467" s="12"/>
      <c r="DMJ2467" s="12"/>
      <c r="DMK2467" s="12"/>
      <c r="DML2467" s="12"/>
      <c r="DMM2467" s="12"/>
      <c r="DMN2467" s="12"/>
      <c r="DMO2467" s="12"/>
      <c r="DMP2467" s="12"/>
      <c r="DMQ2467" s="12"/>
    </row>
    <row r="2468" spans="3044:3059">
      <c r="DMB2468" s="12"/>
      <c r="DMC2468" s="12"/>
      <c r="DMD2468" s="12"/>
      <c r="DME2468" s="12"/>
      <c r="DMF2468" s="12"/>
      <c r="DMG2468" s="12"/>
      <c r="DMH2468" s="12"/>
      <c r="DMI2468" s="12"/>
      <c r="DMJ2468" s="12"/>
      <c r="DMK2468" s="12"/>
      <c r="DML2468" s="12"/>
      <c r="DMM2468" s="12"/>
      <c r="DMN2468" s="12"/>
      <c r="DMO2468" s="12"/>
      <c r="DMP2468" s="12"/>
      <c r="DMQ2468" s="12"/>
    </row>
    <row r="2469" spans="3044:3059">
      <c r="DMB2469" s="12"/>
      <c r="DMC2469" s="12"/>
      <c r="DMD2469" s="12"/>
      <c r="DME2469" s="12"/>
      <c r="DMF2469" s="12"/>
      <c r="DMG2469" s="12"/>
      <c r="DMH2469" s="12"/>
      <c r="DMI2469" s="12"/>
      <c r="DMJ2469" s="12"/>
      <c r="DMK2469" s="12"/>
      <c r="DML2469" s="12"/>
      <c r="DMM2469" s="12"/>
      <c r="DMN2469" s="12"/>
      <c r="DMO2469" s="12"/>
      <c r="DMP2469" s="12"/>
      <c r="DMQ2469" s="12"/>
    </row>
    <row r="2470" spans="3044:3059">
      <c r="DMB2470" s="12"/>
      <c r="DMC2470" s="12"/>
      <c r="DMD2470" s="12"/>
      <c r="DME2470" s="12"/>
      <c r="DMF2470" s="12"/>
      <c r="DMG2470" s="12"/>
      <c r="DMH2470" s="12"/>
      <c r="DMI2470" s="12"/>
      <c r="DMJ2470" s="12"/>
      <c r="DMK2470" s="12"/>
      <c r="DML2470" s="12"/>
      <c r="DMM2470" s="12"/>
      <c r="DMN2470" s="12"/>
      <c r="DMO2470" s="12"/>
      <c r="DMP2470" s="12"/>
      <c r="DMQ2470" s="12"/>
    </row>
    <row r="2471" spans="3044:3059">
      <c r="DMB2471" s="12"/>
      <c r="DMC2471" s="12"/>
      <c r="DMD2471" s="12"/>
      <c r="DME2471" s="12"/>
      <c r="DMF2471" s="12"/>
      <c r="DMG2471" s="12"/>
      <c r="DMH2471" s="12"/>
      <c r="DMI2471" s="12"/>
      <c r="DMJ2471" s="12"/>
      <c r="DMK2471" s="12"/>
      <c r="DML2471" s="12"/>
      <c r="DMM2471" s="12"/>
      <c r="DMN2471" s="12"/>
      <c r="DMO2471" s="12"/>
      <c r="DMP2471" s="12"/>
      <c r="DMQ2471" s="12"/>
    </row>
    <row r="2472" spans="3044:3059">
      <c r="DMB2472" s="12"/>
      <c r="DMC2472" s="12"/>
      <c r="DMD2472" s="12"/>
      <c r="DME2472" s="12"/>
      <c r="DMF2472" s="12"/>
      <c r="DMG2472" s="12"/>
      <c r="DMH2472" s="12"/>
      <c r="DMI2472" s="12"/>
      <c r="DMJ2472" s="12"/>
      <c r="DMK2472" s="12"/>
      <c r="DML2472" s="12"/>
      <c r="DMM2472" s="12"/>
      <c r="DMN2472" s="12"/>
      <c r="DMO2472" s="12"/>
      <c r="DMP2472" s="12"/>
      <c r="DMQ2472" s="12"/>
    </row>
    <row r="2473" spans="3044:3059">
      <c r="DMB2473" s="12"/>
      <c r="DMC2473" s="12"/>
      <c r="DMD2473" s="12"/>
      <c r="DME2473" s="12"/>
      <c r="DMF2473" s="12"/>
      <c r="DMG2473" s="12"/>
      <c r="DMH2473" s="12"/>
      <c r="DMI2473" s="12"/>
      <c r="DMJ2473" s="12"/>
      <c r="DMK2473" s="12"/>
      <c r="DML2473" s="12"/>
      <c r="DMM2473" s="12"/>
      <c r="DMN2473" s="12"/>
      <c r="DMO2473" s="12"/>
      <c r="DMP2473" s="12"/>
      <c r="DMQ2473" s="12"/>
    </row>
    <row r="2474" spans="3044:3059">
      <c r="DMB2474" s="12"/>
      <c r="DMC2474" s="12"/>
      <c r="DMD2474" s="12"/>
      <c r="DME2474" s="12"/>
      <c r="DMF2474" s="12"/>
      <c r="DMG2474" s="12"/>
      <c r="DMH2474" s="12"/>
      <c r="DMI2474" s="12"/>
      <c r="DMJ2474" s="12"/>
      <c r="DMK2474" s="12"/>
      <c r="DML2474" s="12"/>
      <c r="DMM2474" s="12"/>
      <c r="DMN2474" s="12"/>
      <c r="DMO2474" s="12"/>
      <c r="DMP2474" s="12"/>
      <c r="DMQ2474" s="12"/>
    </row>
    <row r="2475" spans="3044:3059">
      <c r="DMB2475" s="12"/>
      <c r="DMC2475" s="12"/>
      <c r="DMD2475" s="12"/>
      <c r="DME2475" s="12"/>
      <c r="DMF2475" s="12"/>
      <c r="DMG2475" s="12"/>
      <c r="DMH2475" s="12"/>
      <c r="DMI2475" s="12"/>
      <c r="DMJ2475" s="12"/>
      <c r="DMK2475" s="12"/>
      <c r="DML2475" s="12"/>
      <c r="DMM2475" s="12"/>
      <c r="DMN2475" s="12"/>
      <c r="DMO2475" s="12"/>
      <c r="DMP2475" s="12"/>
      <c r="DMQ2475" s="12"/>
    </row>
    <row r="2476" spans="3044:3059">
      <c r="DMB2476" s="12"/>
      <c r="DMC2476" s="12"/>
      <c r="DMD2476" s="12"/>
      <c r="DME2476" s="12"/>
      <c r="DMF2476" s="12"/>
      <c r="DMG2476" s="12"/>
      <c r="DMH2476" s="12"/>
      <c r="DMI2476" s="12"/>
      <c r="DMJ2476" s="12"/>
      <c r="DMK2476" s="12"/>
      <c r="DML2476" s="12"/>
      <c r="DMM2476" s="12"/>
      <c r="DMN2476" s="12"/>
      <c r="DMO2476" s="12"/>
      <c r="DMP2476" s="12"/>
      <c r="DMQ2476" s="12"/>
    </row>
    <row r="2477" spans="3044:3059">
      <c r="DMB2477" s="12"/>
      <c r="DMC2477" s="12"/>
      <c r="DMD2477" s="12"/>
      <c r="DME2477" s="12"/>
      <c r="DMF2477" s="12"/>
      <c r="DMG2477" s="12"/>
      <c r="DMH2477" s="12"/>
      <c r="DMI2477" s="12"/>
      <c r="DMJ2477" s="12"/>
      <c r="DMK2477" s="12"/>
      <c r="DML2477" s="12"/>
      <c r="DMM2477" s="12"/>
      <c r="DMN2477" s="12"/>
      <c r="DMO2477" s="12"/>
      <c r="DMP2477" s="12"/>
      <c r="DMQ2477" s="12"/>
    </row>
    <row r="2478" spans="3044:3059">
      <c r="DMB2478" s="12"/>
      <c r="DMC2478" s="12"/>
      <c r="DMD2478" s="12"/>
      <c r="DME2478" s="12"/>
      <c r="DMF2478" s="12"/>
      <c r="DMG2478" s="12"/>
      <c r="DMH2478" s="12"/>
      <c r="DMI2478" s="12"/>
      <c r="DMJ2478" s="12"/>
      <c r="DMK2478" s="12"/>
      <c r="DML2478" s="12"/>
      <c r="DMM2478" s="12"/>
      <c r="DMN2478" s="12"/>
      <c r="DMO2478" s="12"/>
      <c r="DMP2478" s="12"/>
      <c r="DMQ2478" s="12"/>
    </row>
    <row r="2479" spans="3044:3059">
      <c r="DMB2479" s="12"/>
      <c r="DMC2479" s="12"/>
      <c r="DMD2479" s="12"/>
      <c r="DME2479" s="12"/>
      <c r="DMF2479" s="12"/>
      <c r="DMG2479" s="12"/>
      <c r="DMH2479" s="12"/>
      <c r="DMI2479" s="12"/>
      <c r="DMJ2479" s="12"/>
      <c r="DMK2479" s="12"/>
      <c r="DML2479" s="12"/>
      <c r="DMM2479" s="12"/>
      <c r="DMN2479" s="12"/>
      <c r="DMO2479" s="12"/>
      <c r="DMP2479" s="12"/>
      <c r="DMQ2479" s="12"/>
    </row>
    <row r="2480" spans="3044:3059">
      <c r="DMB2480" s="12"/>
      <c r="DMC2480" s="12"/>
      <c r="DMD2480" s="12"/>
      <c r="DME2480" s="12"/>
      <c r="DMF2480" s="12"/>
      <c r="DMG2480" s="12"/>
      <c r="DMH2480" s="12"/>
      <c r="DMI2480" s="12"/>
      <c r="DMJ2480" s="12"/>
      <c r="DMK2480" s="12"/>
      <c r="DML2480" s="12"/>
      <c r="DMM2480" s="12"/>
      <c r="DMN2480" s="12"/>
      <c r="DMO2480" s="12"/>
      <c r="DMP2480" s="12"/>
      <c r="DMQ2480" s="12"/>
    </row>
    <row r="2481" spans="3044:3059">
      <c r="DMB2481" s="12"/>
      <c r="DMC2481" s="12"/>
      <c r="DMD2481" s="12"/>
      <c r="DME2481" s="12"/>
      <c r="DMF2481" s="12"/>
      <c r="DMG2481" s="12"/>
      <c r="DMH2481" s="12"/>
      <c r="DMI2481" s="12"/>
      <c r="DMJ2481" s="12"/>
      <c r="DMK2481" s="12"/>
      <c r="DML2481" s="12"/>
      <c r="DMM2481" s="12"/>
      <c r="DMN2481" s="12"/>
      <c r="DMO2481" s="12"/>
      <c r="DMP2481" s="12"/>
      <c r="DMQ2481" s="12"/>
    </row>
    <row r="2482" spans="3044:3059">
      <c r="DMB2482" s="12"/>
      <c r="DMC2482" s="12"/>
      <c r="DMD2482" s="12"/>
      <c r="DME2482" s="12"/>
      <c r="DMF2482" s="12"/>
      <c r="DMG2482" s="12"/>
      <c r="DMH2482" s="12"/>
      <c r="DMI2482" s="12"/>
      <c r="DMJ2482" s="12"/>
      <c r="DMK2482" s="12"/>
      <c r="DML2482" s="12"/>
      <c r="DMM2482" s="12"/>
      <c r="DMN2482" s="12"/>
      <c r="DMO2482" s="12"/>
      <c r="DMP2482" s="12"/>
      <c r="DMQ2482" s="12"/>
    </row>
    <row r="2483" spans="3044:3059">
      <c r="DMB2483" s="12"/>
      <c r="DMC2483" s="12"/>
      <c r="DMD2483" s="12"/>
      <c r="DME2483" s="12"/>
      <c r="DMF2483" s="12"/>
      <c r="DMG2483" s="12"/>
      <c r="DMH2483" s="12"/>
      <c r="DMI2483" s="12"/>
      <c r="DMJ2483" s="12"/>
      <c r="DMK2483" s="12"/>
      <c r="DML2483" s="12"/>
      <c r="DMM2483" s="12"/>
      <c r="DMN2483" s="12"/>
      <c r="DMO2483" s="12"/>
      <c r="DMP2483" s="12"/>
      <c r="DMQ2483" s="12"/>
    </row>
    <row r="2484" spans="3044:3059">
      <c r="DMB2484" s="12"/>
      <c r="DMC2484" s="12"/>
      <c r="DMD2484" s="12"/>
      <c r="DME2484" s="12"/>
      <c r="DMF2484" s="12"/>
      <c r="DMG2484" s="12"/>
      <c r="DMH2484" s="12"/>
      <c r="DMI2484" s="12"/>
      <c r="DMJ2484" s="12"/>
      <c r="DMK2484" s="12"/>
      <c r="DML2484" s="12"/>
      <c r="DMM2484" s="12"/>
      <c r="DMN2484" s="12"/>
      <c r="DMO2484" s="12"/>
      <c r="DMP2484" s="12"/>
      <c r="DMQ2484" s="12"/>
    </row>
    <row r="2485" spans="3044:3059">
      <c r="DMB2485" s="12"/>
      <c r="DMC2485" s="12"/>
      <c r="DMD2485" s="12"/>
      <c r="DME2485" s="12"/>
      <c r="DMF2485" s="12"/>
      <c r="DMG2485" s="12"/>
      <c r="DMH2485" s="12"/>
      <c r="DMI2485" s="12"/>
      <c r="DMJ2485" s="12"/>
      <c r="DMK2485" s="12"/>
      <c r="DML2485" s="12"/>
      <c r="DMM2485" s="12"/>
      <c r="DMN2485" s="12"/>
      <c r="DMO2485" s="12"/>
      <c r="DMP2485" s="12"/>
      <c r="DMQ2485" s="12"/>
    </row>
    <row r="2486" spans="3044:3059">
      <c r="DMB2486" s="12"/>
      <c r="DMC2486" s="12"/>
      <c r="DMD2486" s="12"/>
      <c r="DME2486" s="12"/>
      <c r="DMF2486" s="12"/>
      <c r="DMG2486" s="12"/>
      <c r="DMH2486" s="12"/>
      <c r="DMI2486" s="12"/>
      <c r="DMJ2486" s="12"/>
      <c r="DMK2486" s="12"/>
      <c r="DML2486" s="12"/>
      <c r="DMM2486" s="12"/>
      <c r="DMN2486" s="12"/>
      <c r="DMO2486" s="12"/>
      <c r="DMP2486" s="12"/>
      <c r="DMQ2486" s="12"/>
    </row>
    <row r="2487" spans="3044:3059">
      <c r="DMB2487" s="12"/>
      <c r="DMC2487" s="12"/>
      <c r="DMD2487" s="12"/>
      <c r="DME2487" s="12"/>
      <c r="DMF2487" s="12"/>
      <c r="DMG2487" s="12"/>
      <c r="DMH2487" s="12"/>
      <c r="DMI2487" s="12"/>
      <c r="DMJ2487" s="12"/>
      <c r="DMK2487" s="12"/>
      <c r="DML2487" s="12"/>
      <c r="DMM2487" s="12"/>
      <c r="DMN2487" s="12"/>
      <c r="DMO2487" s="12"/>
      <c r="DMP2487" s="12"/>
      <c r="DMQ2487" s="12"/>
    </row>
    <row r="2488" spans="3044:3059">
      <c r="DMB2488" s="12"/>
      <c r="DMC2488" s="12"/>
      <c r="DMD2488" s="12"/>
      <c r="DME2488" s="12"/>
      <c r="DMF2488" s="12"/>
      <c r="DMG2488" s="12"/>
      <c r="DMH2488" s="12"/>
      <c r="DMI2488" s="12"/>
      <c r="DMJ2488" s="12"/>
      <c r="DMK2488" s="12"/>
      <c r="DML2488" s="12"/>
      <c r="DMM2488" s="12"/>
      <c r="DMN2488" s="12"/>
      <c r="DMO2488" s="12"/>
      <c r="DMP2488" s="12"/>
      <c r="DMQ2488" s="12"/>
    </row>
    <row r="2489" spans="3044:3059">
      <c r="DMB2489" s="12"/>
      <c r="DMC2489" s="12"/>
      <c r="DMD2489" s="12"/>
      <c r="DME2489" s="12"/>
      <c r="DMF2489" s="12"/>
      <c r="DMG2489" s="12"/>
      <c r="DMH2489" s="12"/>
      <c r="DMI2489" s="12"/>
      <c r="DMJ2489" s="12"/>
      <c r="DMK2489" s="12"/>
      <c r="DML2489" s="12"/>
      <c r="DMM2489" s="12"/>
      <c r="DMN2489" s="12"/>
      <c r="DMO2489" s="12"/>
      <c r="DMP2489" s="12"/>
      <c r="DMQ2489" s="12"/>
    </row>
    <row r="2490" spans="3044:3059">
      <c r="DMB2490" s="12"/>
      <c r="DMC2490" s="12"/>
      <c r="DMD2490" s="12"/>
      <c r="DME2490" s="12"/>
      <c r="DMF2490" s="12"/>
      <c r="DMG2490" s="12"/>
      <c r="DMH2490" s="12"/>
      <c r="DMI2490" s="12"/>
      <c r="DMJ2490" s="12"/>
      <c r="DMK2490" s="12"/>
      <c r="DML2490" s="12"/>
      <c r="DMM2490" s="12"/>
      <c r="DMN2490" s="12"/>
      <c r="DMO2490" s="12"/>
      <c r="DMP2490" s="12"/>
      <c r="DMQ2490" s="12"/>
    </row>
    <row r="2491" spans="3044:3059">
      <c r="DMB2491" s="12"/>
      <c r="DMC2491" s="12"/>
      <c r="DMD2491" s="12"/>
      <c r="DME2491" s="12"/>
      <c r="DMF2491" s="12"/>
      <c r="DMG2491" s="12"/>
      <c r="DMH2491" s="12"/>
      <c r="DMI2491" s="12"/>
      <c r="DMJ2491" s="12"/>
      <c r="DMK2491" s="12"/>
      <c r="DML2491" s="12"/>
      <c r="DMM2491" s="12"/>
      <c r="DMN2491" s="12"/>
      <c r="DMO2491" s="12"/>
      <c r="DMP2491" s="12"/>
      <c r="DMQ2491" s="12"/>
    </row>
    <row r="2492" spans="3044:3059">
      <c r="DMB2492" s="12"/>
      <c r="DMC2492" s="12"/>
      <c r="DMD2492" s="12"/>
      <c r="DME2492" s="12"/>
      <c r="DMF2492" s="12"/>
      <c r="DMG2492" s="12"/>
      <c r="DMH2492" s="12"/>
      <c r="DMI2492" s="12"/>
      <c r="DMJ2492" s="12"/>
      <c r="DMK2492" s="12"/>
      <c r="DML2492" s="12"/>
      <c r="DMM2492" s="12"/>
      <c r="DMN2492" s="12"/>
      <c r="DMO2492" s="12"/>
      <c r="DMP2492" s="12"/>
      <c r="DMQ2492" s="12"/>
    </row>
    <row r="2493" spans="3044:3059">
      <c r="DMB2493" s="12"/>
      <c r="DMC2493" s="12"/>
      <c r="DMD2493" s="12"/>
      <c r="DME2493" s="12"/>
      <c r="DMF2493" s="12"/>
      <c r="DMG2493" s="12"/>
      <c r="DMH2493" s="12"/>
      <c r="DMI2493" s="12"/>
      <c r="DMJ2493" s="12"/>
      <c r="DMK2493" s="12"/>
      <c r="DML2493" s="12"/>
      <c r="DMM2493" s="12"/>
      <c r="DMN2493" s="12"/>
      <c r="DMO2493" s="12"/>
      <c r="DMP2493" s="12"/>
      <c r="DMQ2493" s="12"/>
    </row>
    <row r="2494" spans="3044:3059">
      <c r="DMB2494" s="12"/>
      <c r="DMC2494" s="12"/>
      <c r="DMD2494" s="12"/>
      <c r="DME2494" s="12"/>
      <c r="DMF2494" s="12"/>
      <c r="DMG2494" s="12"/>
      <c r="DMH2494" s="12"/>
      <c r="DMI2494" s="12"/>
      <c r="DMJ2494" s="12"/>
      <c r="DMK2494" s="12"/>
      <c r="DML2494" s="12"/>
      <c r="DMM2494" s="12"/>
      <c r="DMN2494" s="12"/>
      <c r="DMO2494" s="12"/>
      <c r="DMP2494" s="12"/>
      <c r="DMQ2494" s="12"/>
    </row>
    <row r="2495" spans="3044:3059">
      <c r="DMB2495" s="12"/>
      <c r="DMC2495" s="12"/>
      <c r="DMD2495" s="12"/>
      <c r="DME2495" s="12"/>
      <c r="DMF2495" s="12"/>
      <c r="DMG2495" s="12"/>
      <c r="DMH2495" s="12"/>
      <c r="DMI2495" s="12"/>
      <c r="DMJ2495" s="12"/>
      <c r="DMK2495" s="12"/>
      <c r="DML2495" s="12"/>
      <c r="DMM2495" s="12"/>
      <c r="DMN2495" s="12"/>
      <c r="DMO2495" s="12"/>
      <c r="DMP2495" s="12"/>
      <c r="DMQ2495" s="12"/>
    </row>
    <row r="2496" spans="3044:3059">
      <c r="DMB2496" s="12"/>
      <c r="DMC2496" s="12"/>
      <c r="DMD2496" s="12"/>
      <c r="DME2496" s="12"/>
      <c r="DMF2496" s="12"/>
      <c r="DMG2496" s="12"/>
      <c r="DMH2496" s="12"/>
      <c r="DMI2496" s="12"/>
      <c r="DMJ2496" s="12"/>
      <c r="DMK2496" s="12"/>
      <c r="DML2496" s="12"/>
      <c r="DMM2496" s="12"/>
      <c r="DMN2496" s="12"/>
      <c r="DMO2496" s="12"/>
      <c r="DMP2496" s="12"/>
      <c r="DMQ2496" s="12"/>
    </row>
    <row r="2497" spans="3044:3059">
      <c r="DMB2497" s="12"/>
      <c r="DMC2497" s="12"/>
      <c r="DMD2497" s="12"/>
      <c r="DME2497" s="12"/>
      <c r="DMF2497" s="12"/>
      <c r="DMG2497" s="12"/>
      <c r="DMH2497" s="12"/>
      <c r="DMI2497" s="12"/>
      <c r="DMJ2497" s="12"/>
      <c r="DMK2497" s="12"/>
      <c r="DML2497" s="12"/>
      <c r="DMM2497" s="12"/>
      <c r="DMN2497" s="12"/>
      <c r="DMO2497" s="12"/>
      <c r="DMP2497" s="12"/>
      <c r="DMQ2497" s="12"/>
    </row>
    <row r="2498" spans="3044:3059">
      <c r="DMB2498" s="12"/>
      <c r="DMC2498" s="12"/>
      <c r="DMD2498" s="12"/>
      <c r="DME2498" s="12"/>
      <c r="DMF2498" s="12"/>
      <c r="DMG2498" s="12"/>
      <c r="DMH2498" s="12"/>
      <c r="DMI2498" s="12"/>
      <c r="DMJ2498" s="12"/>
      <c r="DMK2498" s="12"/>
      <c r="DML2498" s="12"/>
      <c r="DMM2498" s="12"/>
      <c r="DMN2498" s="12"/>
      <c r="DMO2498" s="12"/>
      <c r="DMP2498" s="12"/>
      <c r="DMQ2498" s="12"/>
    </row>
    <row r="2499" spans="3044:3059">
      <c r="DMB2499" s="12"/>
      <c r="DMC2499" s="12"/>
      <c r="DMD2499" s="12"/>
      <c r="DME2499" s="12"/>
      <c r="DMF2499" s="12"/>
      <c r="DMG2499" s="12"/>
      <c r="DMH2499" s="12"/>
      <c r="DMI2499" s="12"/>
      <c r="DMJ2499" s="12"/>
      <c r="DMK2499" s="12"/>
      <c r="DML2499" s="12"/>
      <c r="DMM2499" s="12"/>
      <c r="DMN2499" s="12"/>
      <c r="DMO2499" s="12"/>
      <c r="DMP2499" s="12"/>
      <c r="DMQ2499" s="12"/>
    </row>
    <row r="2500" spans="3044:3059">
      <c r="DMB2500" s="12"/>
      <c r="DMC2500" s="12"/>
      <c r="DMD2500" s="12"/>
      <c r="DME2500" s="12"/>
      <c r="DMF2500" s="12"/>
      <c r="DMG2500" s="12"/>
      <c r="DMH2500" s="12"/>
      <c r="DMI2500" s="12"/>
      <c r="DMJ2500" s="12"/>
      <c r="DMK2500" s="12"/>
      <c r="DML2500" s="12"/>
      <c r="DMM2500" s="12"/>
      <c r="DMN2500" s="12"/>
      <c r="DMO2500" s="12"/>
      <c r="DMP2500" s="12"/>
      <c r="DMQ2500" s="12"/>
    </row>
    <row r="2501" spans="3044:3059">
      <c r="DMB2501" s="12"/>
      <c r="DMC2501" s="12"/>
      <c r="DMD2501" s="12"/>
      <c r="DME2501" s="12"/>
      <c r="DMF2501" s="12"/>
      <c r="DMG2501" s="12"/>
      <c r="DMH2501" s="12"/>
      <c r="DMI2501" s="12"/>
      <c r="DMJ2501" s="12"/>
      <c r="DMK2501" s="12"/>
      <c r="DML2501" s="12"/>
      <c r="DMM2501" s="12"/>
      <c r="DMN2501" s="12"/>
      <c r="DMO2501" s="12"/>
      <c r="DMP2501" s="12"/>
      <c r="DMQ2501" s="12"/>
    </row>
    <row r="2502" spans="3044:3059">
      <c r="DMB2502" s="12"/>
      <c r="DMC2502" s="12"/>
      <c r="DMD2502" s="12"/>
      <c r="DME2502" s="12"/>
      <c r="DMF2502" s="12"/>
      <c r="DMG2502" s="12"/>
      <c r="DMH2502" s="12"/>
      <c r="DMI2502" s="12"/>
      <c r="DMJ2502" s="12"/>
      <c r="DMK2502" s="12"/>
      <c r="DML2502" s="12"/>
      <c r="DMM2502" s="12"/>
      <c r="DMN2502" s="12"/>
      <c r="DMO2502" s="12"/>
      <c r="DMP2502" s="12"/>
      <c r="DMQ2502" s="12"/>
    </row>
    <row r="2503" spans="3044:3059">
      <c r="DMB2503" s="12"/>
      <c r="DMC2503" s="12"/>
      <c r="DMD2503" s="12"/>
      <c r="DME2503" s="12"/>
      <c r="DMF2503" s="12"/>
      <c r="DMG2503" s="12"/>
      <c r="DMH2503" s="12"/>
      <c r="DMI2503" s="12"/>
      <c r="DMJ2503" s="12"/>
      <c r="DMK2503" s="12"/>
      <c r="DML2503" s="12"/>
      <c r="DMM2503" s="12"/>
      <c r="DMN2503" s="12"/>
      <c r="DMO2503" s="12"/>
      <c r="DMP2503" s="12"/>
      <c r="DMQ2503" s="12"/>
    </row>
    <row r="2504" spans="3044:3059">
      <c r="DMB2504" s="12"/>
      <c r="DMC2504" s="12"/>
      <c r="DMD2504" s="12"/>
      <c r="DME2504" s="12"/>
      <c r="DMF2504" s="12"/>
      <c r="DMG2504" s="12"/>
      <c r="DMH2504" s="12"/>
      <c r="DMI2504" s="12"/>
      <c r="DMJ2504" s="12"/>
      <c r="DMK2504" s="12"/>
      <c r="DML2504" s="12"/>
      <c r="DMM2504" s="12"/>
      <c r="DMN2504" s="12"/>
      <c r="DMO2504" s="12"/>
      <c r="DMP2504" s="12"/>
      <c r="DMQ2504" s="12"/>
    </row>
    <row r="2505" spans="3044:3059">
      <c r="DMB2505" s="12"/>
      <c r="DMC2505" s="12"/>
      <c r="DMD2505" s="12"/>
      <c r="DME2505" s="12"/>
      <c r="DMF2505" s="12"/>
      <c r="DMG2505" s="12"/>
      <c r="DMH2505" s="12"/>
      <c r="DMI2505" s="12"/>
      <c r="DMJ2505" s="12"/>
      <c r="DMK2505" s="12"/>
      <c r="DML2505" s="12"/>
      <c r="DMM2505" s="12"/>
      <c r="DMN2505" s="12"/>
      <c r="DMO2505" s="12"/>
      <c r="DMP2505" s="12"/>
      <c r="DMQ2505" s="12"/>
    </row>
    <row r="2506" spans="3044:3059">
      <c r="DMB2506" s="12"/>
      <c r="DMC2506" s="12"/>
      <c r="DMD2506" s="12"/>
      <c r="DME2506" s="12"/>
      <c r="DMF2506" s="12"/>
      <c r="DMG2506" s="12"/>
      <c r="DMH2506" s="12"/>
      <c r="DMI2506" s="12"/>
      <c r="DMJ2506" s="12"/>
      <c r="DMK2506" s="12"/>
      <c r="DML2506" s="12"/>
      <c r="DMM2506" s="12"/>
      <c r="DMN2506" s="12"/>
      <c r="DMO2506" s="12"/>
      <c r="DMP2506" s="12"/>
      <c r="DMQ2506" s="12"/>
    </row>
    <row r="2507" spans="3044:3059">
      <c r="DMB2507" s="12"/>
      <c r="DMC2507" s="12"/>
      <c r="DMD2507" s="12"/>
      <c r="DME2507" s="12"/>
      <c r="DMF2507" s="12"/>
      <c r="DMG2507" s="12"/>
      <c r="DMH2507" s="12"/>
      <c r="DMI2507" s="12"/>
      <c r="DMJ2507" s="12"/>
      <c r="DMK2507" s="12"/>
      <c r="DML2507" s="12"/>
      <c r="DMM2507" s="12"/>
      <c r="DMN2507" s="12"/>
      <c r="DMO2507" s="12"/>
      <c r="DMP2507" s="12"/>
      <c r="DMQ2507" s="12"/>
    </row>
    <row r="2508" spans="3044:3059">
      <c r="DMB2508" s="12"/>
      <c r="DMC2508" s="12"/>
      <c r="DMD2508" s="12"/>
      <c r="DME2508" s="12"/>
      <c r="DMF2508" s="12"/>
      <c r="DMG2508" s="12"/>
      <c r="DMH2508" s="12"/>
      <c r="DMI2508" s="12"/>
      <c r="DMJ2508" s="12"/>
      <c r="DMK2508" s="12"/>
      <c r="DML2508" s="12"/>
      <c r="DMM2508" s="12"/>
      <c r="DMN2508" s="12"/>
      <c r="DMO2508" s="12"/>
      <c r="DMP2508" s="12"/>
      <c r="DMQ2508" s="12"/>
    </row>
    <row r="2509" spans="3044:3059">
      <c r="DMB2509" s="12"/>
      <c r="DMC2509" s="12"/>
      <c r="DMD2509" s="12"/>
      <c r="DME2509" s="12"/>
      <c r="DMF2509" s="12"/>
      <c r="DMG2509" s="12"/>
      <c r="DMH2509" s="12"/>
      <c r="DMI2509" s="12"/>
      <c r="DMJ2509" s="12"/>
      <c r="DMK2509" s="12"/>
      <c r="DML2509" s="12"/>
      <c r="DMM2509" s="12"/>
      <c r="DMN2509" s="12"/>
      <c r="DMO2509" s="12"/>
      <c r="DMP2509" s="12"/>
      <c r="DMQ2509" s="12"/>
    </row>
    <row r="2510" spans="3044:3059">
      <c r="DMB2510" s="12"/>
      <c r="DMC2510" s="12"/>
      <c r="DMD2510" s="12"/>
      <c r="DME2510" s="12"/>
      <c r="DMF2510" s="12"/>
      <c r="DMG2510" s="12"/>
      <c r="DMH2510" s="12"/>
      <c r="DMI2510" s="12"/>
      <c r="DMJ2510" s="12"/>
      <c r="DMK2510" s="12"/>
      <c r="DML2510" s="12"/>
      <c r="DMM2510" s="12"/>
      <c r="DMN2510" s="12"/>
      <c r="DMO2510" s="12"/>
      <c r="DMP2510" s="12"/>
      <c r="DMQ2510" s="12"/>
    </row>
    <row r="2511" spans="3044:3059">
      <c r="DMB2511" s="12"/>
      <c r="DMC2511" s="12"/>
      <c r="DMD2511" s="12"/>
      <c r="DME2511" s="12"/>
      <c r="DMF2511" s="12"/>
      <c r="DMG2511" s="12"/>
      <c r="DMH2511" s="12"/>
      <c r="DMI2511" s="12"/>
      <c r="DMJ2511" s="12"/>
      <c r="DMK2511" s="12"/>
      <c r="DML2511" s="12"/>
      <c r="DMM2511" s="12"/>
      <c r="DMN2511" s="12"/>
      <c r="DMO2511" s="12"/>
      <c r="DMP2511" s="12"/>
      <c r="DMQ2511" s="12"/>
    </row>
    <row r="2512" spans="3044:3059">
      <c r="DMB2512" s="12"/>
      <c r="DMC2512" s="12"/>
      <c r="DMD2512" s="12"/>
      <c r="DME2512" s="12"/>
      <c r="DMF2512" s="12"/>
      <c r="DMG2512" s="12"/>
      <c r="DMH2512" s="12"/>
      <c r="DMI2512" s="12"/>
      <c r="DMJ2512" s="12"/>
      <c r="DMK2512" s="12"/>
      <c r="DML2512" s="12"/>
      <c r="DMM2512" s="12"/>
      <c r="DMN2512" s="12"/>
      <c r="DMO2512" s="12"/>
      <c r="DMP2512" s="12"/>
      <c r="DMQ2512" s="12"/>
    </row>
    <row r="2513" spans="3044:3059">
      <c r="DMB2513" s="12"/>
      <c r="DMC2513" s="12"/>
      <c r="DMD2513" s="12"/>
      <c r="DME2513" s="12"/>
      <c r="DMF2513" s="12"/>
      <c r="DMG2513" s="12"/>
      <c r="DMH2513" s="12"/>
      <c r="DMI2513" s="12"/>
      <c r="DMJ2513" s="12"/>
      <c r="DMK2513" s="12"/>
      <c r="DML2513" s="12"/>
      <c r="DMM2513" s="12"/>
      <c r="DMN2513" s="12"/>
      <c r="DMO2513" s="12"/>
      <c r="DMP2513" s="12"/>
      <c r="DMQ2513" s="12"/>
    </row>
    <row r="2514" spans="3044:3059">
      <c r="DMB2514" s="12"/>
      <c r="DMC2514" s="12"/>
      <c r="DMD2514" s="12"/>
      <c r="DME2514" s="12"/>
      <c r="DMF2514" s="12"/>
      <c r="DMG2514" s="12"/>
      <c r="DMH2514" s="12"/>
      <c r="DMI2514" s="12"/>
      <c r="DMJ2514" s="12"/>
      <c r="DMK2514" s="12"/>
      <c r="DML2514" s="12"/>
      <c r="DMM2514" s="12"/>
      <c r="DMN2514" s="12"/>
      <c r="DMO2514" s="12"/>
      <c r="DMP2514" s="12"/>
      <c r="DMQ2514" s="12"/>
    </row>
    <row r="2515" spans="3044:3059">
      <c r="DMB2515" s="12"/>
      <c r="DMC2515" s="12"/>
      <c r="DMD2515" s="12"/>
      <c r="DME2515" s="12"/>
      <c r="DMF2515" s="12"/>
      <c r="DMG2515" s="12"/>
      <c r="DMH2515" s="12"/>
      <c r="DMI2515" s="12"/>
      <c r="DMJ2515" s="12"/>
      <c r="DMK2515" s="12"/>
      <c r="DML2515" s="12"/>
      <c r="DMM2515" s="12"/>
      <c r="DMN2515" s="12"/>
      <c r="DMO2515" s="12"/>
      <c r="DMP2515" s="12"/>
      <c r="DMQ2515" s="12"/>
    </row>
    <row r="2516" spans="3044:3059">
      <c r="DMB2516" s="12"/>
      <c r="DMC2516" s="12"/>
      <c r="DMD2516" s="12"/>
      <c r="DME2516" s="12"/>
      <c r="DMF2516" s="12"/>
      <c r="DMG2516" s="12"/>
      <c r="DMH2516" s="12"/>
      <c r="DMI2516" s="12"/>
      <c r="DMJ2516" s="12"/>
      <c r="DMK2516" s="12"/>
      <c r="DML2516" s="12"/>
      <c r="DMM2516" s="12"/>
      <c r="DMN2516" s="12"/>
      <c r="DMO2516" s="12"/>
      <c r="DMP2516" s="12"/>
      <c r="DMQ2516" s="12"/>
    </row>
    <row r="2517" spans="3044:3059">
      <c r="DMB2517" s="12"/>
      <c r="DMC2517" s="12"/>
      <c r="DMD2517" s="12"/>
      <c r="DME2517" s="12"/>
      <c r="DMF2517" s="12"/>
      <c r="DMG2517" s="12"/>
      <c r="DMH2517" s="12"/>
      <c r="DMI2517" s="12"/>
      <c r="DMJ2517" s="12"/>
      <c r="DMK2517" s="12"/>
      <c r="DML2517" s="12"/>
      <c r="DMM2517" s="12"/>
      <c r="DMN2517" s="12"/>
      <c r="DMO2517" s="12"/>
      <c r="DMP2517" s="12"/>
      <c r="DMQ2517" s="12"/>
    </row>
    <row r="2518" spans="3044:3059">
      <c r="DMB2518" s="12"/>
      <c r="DMC2518" s="12"/>
      <c r="DMD2518" s="12"/>
      <c r="DME2518" s="12"/>
      <c r="DMF2518" s="12"/>
      <c r="DMG2518" s="12"/>
      <c r="DMH2518" s="12"/>
      <c r="DMI2518" s="12"/>
      <c r="DMJ2518" s="12"/>
      <c r="DMK2518" s="12"/>
      <c r="DML2518" s="12"/>
      <c r="DMM2518" s="12"/>
      <c r="DMN2518" s="12"/>
      <c r="DMO2518" s="12"/>
      <c r="DMP2518" s="12"/>
      <c r="DMQ2518" s="12"/>
    </row>
    <row r="2519" spans="3044:3059">
      <c r="DMB2519" s="12"/>
      <c r="DMC2519" s="12"/>
      <c r="DMD2519" s="12"/>
      <c r="DME2519" s="12"/>
      <c r="DMF2519" s="12"/>
      <c r="DMG2519" s="12"/>
      <c r="DMH2519" s="12"/>
      <c r="DMI2519" s="12"/>
      <c r="DMJ2519" s="12"/>
      <c r="DMK2519" s="12"/>
      <c r="DML2519" s="12"/>
      <c r="DMM2519" s="12"/>
      <c r="DMN2519" s="12"/>
      <c r="DMO2519" s="12"/>
      <c r="DMP2519" s="12"/>
      <c r="DMQ2519" s="12"/>
    </row>
    <row r="2520" spans="3044:3059">
      <c r="DMB2520" s="12"/>
      <c r="DMC2520" s="12"/>
      <c r="DMD2520" s="12"/>
      <c r="DME2520" s="12"/>
      <c r="DMF2520" s="12"/>
      <c r="DMG2520" s="12"/>
      <c r="DMH2520" s="12"/>
      <c r="DMI2520" s="12"/>
      <c r="DMJ2520" s="12"/>
      <c r="DMK2520" s="12"/>
      <c r="DML2520" s="12"/>
      <c r="DMM2520" s="12"/>
      <c r="DMN2520" s="12"/>
      <c r="DMO2520" s="12"/>
      <c r="DMP2520" s="12"/>
      <c r="DMQ2520" s="12"/>
    </row>
    <row r="2521" spans="3044:3059">
      <c r="DMB2521" s="12"/>
      <c r="DMC2521" s="12"/>
      <c r="DMD2521" s="12"/>
      <c r="DME2521" s="12"/>
      <c r="DMF2521" s="12"/>
      <c r="DMG2521" s="12"/>
      <c r="DMH2521" s="12"/>
      <c r="DMI2521" s="12"/>
      <c r="DMJ2521" s="12"/>
      <c r="DMK2521" s="12"/>
      <c r="DML2521" s="12"/>
      <c r="DMM2521" s="12"/>
      <c r="DMN2521" s="12"/>
      <c r="DMO2521" s="12"/>
      <c r="DMP2521" s="12"/>
      <c r="DMQ2521" s="12"/>
    </row>
    <row r="2522" spans="3044:3059">
      <c r="DMB2522" s="12"/>
      <c r="DMC2522" s="12"/>
      <c r="DMD2522" s="12"/>
      <c r="DME2522" s="12"/>
      <c r="DMF2522" s="12"/>
      <c r="DMG2522" s="12"/>
      <c r="DMH2522" s="12"/>
      <c r="DMI2522" s="12"/>
      <c r="DMJ2522" s="12"/>
      <c r="DMK2522" s="12"/>
      <c r="DML2522" s="12"/>
      <c r="DMM2522" s="12"/>
      <c r="DMN2522" s="12"/>
      <c r="DMO2522" s="12"/>
      <c r="DMP2522" s="12"/>
      <c r="DMQ2522" s="12"/>
    </row>
    <row r="2523" spans="3044:3059">
      <c r="DMB2523" s="12"/>
      <c r="DMC2523" s="12"/>
      <c r="DMD2523" s="12"/>
      <c r="DME2523" s="12"/>
      <c r="DMF2523" s="12"/>
      <c r="DMG2523" s="12"/>
      <c r="DMH2523" s="12"/>
      <c r="DMI2523" s="12"/>
      <c r="DMJ2523" s="12"/>
      <c r="DMK2523" s="12"/>
      <c r="DML2523" s="12"/>
      <c r="DMM2523" s="12"/>
      <c r="DMN2523" s="12"/>
      <c r="DMO2523" s="12"/>
      <c r="DMP2523" s="12"/>
      <c r="DMQ2523" s="12"/>
    </row>
    <row r="2524" spans="3044:3059">
      <c r="DMB2524" s="12"/>
      <c r="DMC2524" s="12"/>
      <c r="DMD2524" s="12"/>
      <c r="DME2524" s="12"/>
      <c r="DMF2524" s="12"/>
      <c r="DMG2524" s="12"/>
      <c r="DMH2524" s="12"/>
      <c r="DMI2524" s="12"/>
      <c r="DMJ2524" s="12"/>
      <c r="DMK2524" s="12"/>
      <c r="DML2524" s="12"/>
      <c r="DMM2524" s="12"/>
      <c r="DMN2524" s="12"/>
      <c r="DMO2524" s="12"/>
      <c r="DMP2524" s="12"/>
      <c r="DMQ2524" s="12"/>
    </row>
    <row r="2525" spans="3044:3059">
      <c r="DMB2525" s="12"/>
      <c r="DMC2525" s="12"/>
      <c r="DMD2525" s="12"/>
      <c r="DME2525" s="12"/>
      <c r="DMF2525" s="12"/>
      <c r="DMG2525" s="12"/>
      <c r="DMH2525" s="12"/>
      <c r="DMI2525" s="12"/>
      <c r="DMJ2525" s="12"/>
      <c r="DMK2525" s="12"/>
      <c r="DML2525" s="12"/>
      <c r="DMM2525" s="12"/>
      <c r="DMN2525" s="12"/>
      <c r="DMO2525" s="12"/>
      <c r="DMP2525" s="12"/>
      <c r="DMQ2525" s="12"/>
    </row>
    <row r="2526" spans="3044:3059">
      <c r="DMB2526" s="12"/>
      <c r="DMC2526" s="12"/>
      <c r="DMD2526" s="12"/>
      <c r="DME2526" s="12"/>
      <c r="DMF2526" s="12"/>
      <c r="DMG2526" s="12"/>
      <c r="DMH2526" s="12"/>
      <c r="DMI2526" s="12"/>
      <c r="DMJ2526" s="12"/>
      <c r="DMK2526" s="12"/>
      <c r="DML2526" s="12"/>
      <c r="DMM2526" s="12"/>
      <c r="DMN2526" s="12"/>
      <c r="DMO2526" s="12"/>
      <c r="DMP2526" s="12"/>
      <c r="DMQ2526" s="12"/>
    </row>
    <row r="2527" spans="3044:3059">
      <c r="DMB2527" s="12"/>
      <c r="DMC2527" s="12"/>
      <c r="DMD2527" s="12"/>
      <c r="DME2527" s="12"/>
      <c r="DMF2527" s="12"/>
      <c r="DMG2527" s="12"/>
      <c r="DMH2527" s="12"/>
      <c r="DMI2527" s="12"/>
      <c r="DMJ2527" s="12"/>
      <c r="DMK2527" s="12"/>
      <c r="DML2527" s="12"/>
      <c r="DMM2527" s="12"/>
      <c r="DMN2527" s="12"/>
      <c r="DMO2527" s="12"/>
      <c r="DMP2527" s="12"/>
      <c r="DMQ2527" s="12"/>
    </row>
    <row r="2528" spans="3044:3059">
      <c r="DMB2528" s="12"/>
      <c r="DMC2528" s="12"/>
      <c r="DMD2528" s="12"/>
      <c r="DME2528" s="12"/>
      <c r="DMF2528" s="12"/>
      <c r="DMG2528" s="12"/>
      <c r="DMH2528" s="12"/>
      <c r="DMI2528" s="12"/>
      <c r="DMJ2528" s="12"/>
      <c r="DMK2528" s="12"/>
      <c r="DML2528" s="12"/>
      <c r="DMM2528" s="12"/>
      <c r="DMN2528" s="12"/>
      <c r="DMO2528" s="12"/>
      <c r="DMP2528" s="12"/>
      <c r="DMQ2528" s="12"/>
    </row>
    <row r="2529" spans="3044:3059">
      <c r="DMB2529" s="12"/>
      <c r="DMC2529" s="12"/>
      <c r="DMD2529" s="12"/>
      <c r="DME2529" s="12"/>
      <c r="DMF2529" s="12"/>
      <c r="DMG2529" s="12"/>
      <c r="DMH2529" s="12"/>
      <c r="DMI2529" s="12"/>
      <c r="DMJ2529" s="12"/>
      <c r="DMK2529" s="12"/>
      <c r="DML2529" s="12"/>
      <c r="DMM2529" s="12"/>
      <c r="DMN2529" s="12"/>
      <c r="DMO2529" s="12"/>
      <c r="DMP2529" s="12"/>
      <c r="DMQ2529" s="12"/>
    </row>
    <row r="2530" spans="3044:3059">
      <c r="DMB2530" s="12"/>
      <c r="DMC2530" s="12"/>
      <c r="DMD2530" s="12"/>
      <c r="DME2530" s="12"/>
      <c r="DMF2530" s="12"/>
      <c r="DMG2530" s="12"/>
      <c r="DMH2530" s="12"/>
      <c r="DMI2530" s="12"/>
      <c r="DMJ2530" s="12"/>
      <c r="DMK2530" s="12"/>
      <c r="DML2530" s="12"/>
      <c r="DMM2530" s="12"/>
      <c r="DMN2530" s="12"/>
      <c r="DMO2530" s="12"/>
      <c r="DMP2530" s="12"/>
      <c r="DMQ2530" s="12"/>
    </row>
    <row r="2531" spans="3044:3059">
      <c r="DMB2531" s="12"/>
      <c r="DMC2531" s="12"/>
      <c r="DMD2531" s="12"/>
      <c r="DME2531" s="12"/>
      <c r="DMF2531" s="12"/>
      <c r="DMG2531" s="12"/>
      <c r="DMH2531" s="12"/>
      <c r="DMI2531" s="12"/>
      <c r="DMJ2531" s="12"/>
      <c r="DMK2531" s="12"/>
      <c r="DML2531" s="12"/>
      <c r="DMM2531" s="12"/>
      <c r="DMN2531" s="12"/>
      <c r="DMO2531" s="12"/>
      <c r="DMP2531" s="12"/>
      <c r="DMQ2531" s="12"/>
    </row>
    <row r="2532" spans="3044:3059">
      <c r="DMB2532" s="12"/>
      <c r="DMC2532" s="12"/>
      <c r="DMD2532" s="12"/>
      <c r="DME2532" s="12"/>
      <c r="DMF2532" s="12"/>
      <c r="DMG2532" s="12"/>
      <c r="DMH2532" s="12"/>
      <c r="DMI2532" s="12"/>
      <c r="DMJ2532" s="12"/>
      <c r="DMK2532" s="12"/>
      <c r="DML2532" s="12"/>
      <c r="DMM2532" s="12"/>
      <c r="DMN2532" s="12"/>
      <c r="DMO2532" s="12"/>
      <c r="DMP2532" s="12"/>
      <c r="DMQ2532" s="12"/>
    </row>
    <row r="2533" spans="3044:3059">
      <c r="DMB2533" s="12"/>
      <c r="DMC2533" s="12"/>
      <c r="DMD2533" s="12"/>
      <c r="DME2533" s="12"/>
      <c r="DMF2533" s="12"/>
      <c r="DMG2533" s="12"/>
      <c r="DMH2533" s="12"/>
      <c r="DMI2533" s="12"/>
      <c r="DMJ2533" s="12"/>
      <c r="DMK2533" s="12"/>
      <c r="DML2533" s="12"/>
      <c r="DMM2533" s="12"/>
      <c r="DMN2533" s="12"/>
      <c r="DMO2533" s="12"/>
      <c r="DMP2533" s="12"/>
      <c r="DMQ2533" s="12"/>
    </row>
    <row r="2534" spans="3044:3059">
      <c r="DMB2534" s="12"/>
      <c r="DMC2534" s="12"/>
      <c r="DMD2534" s="12"/>
      <c r="DME2534" s="12"/>
      <c r="DMF2534" s="12"/>
      <c r="DMG2534" s="12"/>
      <c r="DMH2534" s="12"/>
      <c r="DMI2534" s="12"/>
      <c r="DMJ2534" s="12"/>
      <c r="DMK2534" s="12"/>
      <c r="DML2534" s="12"/>
      <c r="DMM2534" s="12"/>
      <c r="DMN2534" s="12"/>
      <c r="DMO2534" s="12"/>
      <c r="DMP2534" s="12"/>
      <c r="DMQ2534" s="12"/>
    </row>
    <row r="2535" spans="3044:3059">
      <c r="DMB2535" s="12"/>
      <c r="DMC2535" s="12"/>
      <c r="DMD2535" s="12"/>
      <c r="DME2535" s="12"/>
      <c r="DMF2535" s="12"/>
      <c r="DMG2535" s="12"/>
      <c r="DMH2535" s="12"/>
      <c r="DMI2535" s="12"/>
      <c r="DMJ2535" s="12"/>
      <c r="DMK2535" s="12"/>
      <c r="DML2535" s="12"/>
      <c r="DMM2535" s="12"/>
      <c r="DMN2535" s="12"/>
      <c r="DMO2535" s="12"/>
      <c r="DMP2535" s="12"/>
      <c r="DMQ2535" s="12"/>
    </row>
    <row r="2536" spans="3044:3059">
      <c r="DMB2536" s="12"/>
      <c r="DMC2536" s="12"/>
      <c r="DMD2536" s="12"/>
      <c r="DME2536" s="12"/>
      <c r="DMF2536" s="12"/>
      <c r="DMG2536" s="12"/>
      <c r="DMH2536" s="12"/>
      <c r="DMI2536" s="12"/>
      <c r="DMJ2536" s="12"/>
      <c r="DMK2536" s="12"/>
      <c r="DML2536" s="12"/>
      <c r="DMM2536" s="12"/>
      <c r="DMN2536" s="12"/>
      <c r="DMO2536" s="12"/>
      <c r="DMP2536" s="12"/>
      <c r="DMQ2536" s="12"/>
    </row>
    <row r="2537" spans="3044:3059">
      <c r="DMB2537" s="12"/>
      <c r="DMC2537" s="12"/>
      <c r="DMD2537" s="12"/>
      <c r="DME2537" s="12"/>
      <c r="DMF2537" s="12"/>
      <c r="DMG2537" s="12"/>
      <c r="DMH2537" s="12"/>
      <c r="DMI2537" s="12"/>
      <c r="DMJ2537" s="12"/>
      <c r="DMK2537" s="12"/>
      <c r="DML2537" s="12"/>
      <c r="DMM2537" s="12"/>
      <c r="DMN2537" s="12"/>
      <c r="DMO2537" s="12"/>
      <c r="DMP2537" s="12"/>
      <c r="DMQ2537" s="12"/>
    </row>
    <row r="2538" spans="3044:3059">
      <c r="DMB2538" s="12"/>
      <c r="DMC2538" s="12"/>
      <c r="DMD2538" s="12"/>
      <c r="DME2538" s="12"/>
      <c r="DMF2538" s="12"/>
      <c r="DMG2538" s="12"/>
      <c r="DMH2538" s="12"/>
      <c r="DMI2538" s="12"/>
      <c r="DMJ2538" s="12"/>
      <c r="DMK2538" s="12"/>
      <c r="DML2538" s="12"/>
      <c r="DMM2538" s="12"/>
      <c r="DMN2538" s="12"/>
      <c r="DMO2538" s="12"/>
      <c r="DMP2538" s="12"/>
      <c r="DMQ2538" s="12"/>
    </row>
    <row r="2539" spans="3044:3059">
      <c r="DMB2539" s="12"/>
      <c r="DMC2539" s="12"/>
      <c r="DMD2539" s="12"/>
      <c r="DME2539" s="12"/>
      <c r="DMF2539" s="12"/>
      <c r="DMG2539" s="12"/>
      <c r="DMH2539" s="12"/>
      <c r="DMI2539" s="12"/>
      <c r="DMJ2539" s="12"/>
      <c r="DMK2539" s="12"/>
      <c r="DML2539" s="12"/>
      <c r="DMM2539" s="12"/>
      <c r="DMN2539" s="12"/>
      <c r="DMO2539" s="12"/>
      <c r="DMP2539" s="12"/>
      <c r="DMQ2539" s="12"/>
    </row>
    <row r="2540" spans="3044:3059">
      <c r="DMB2540" s="12"/>
      <c r="DMC2540" s="12"/>
      <c r="DMD2540" s="12"/>
      <c r="DME2540" s="12"/>
      <c r="DMF2540" s="12"/>
      <c r="DMG2540" s="12"/>
      <c r="DMH2540" s="12"/>
      <c r="DMI2540" s="12"/>
      <c r="DMJ2540" s="12"/>
      <c r="DMK2540" s="12"/>
      <c r="DML2540" s="12"/>
      <c r="DMM2540" s="12"/>
      <c r="DMN2540" s="12"/>
      <c r="DMO2540" s="12"/>
      <c r="DMP2540" s="12"/>
      <c r="DMQ2540" s="12"/>
    </row>
    <row r="2541" spans="3044:3059">
      <c r="DMB2541" s="12"/>
      <c r="DMC2541" s="12"/>
      <c r="DMD2541" s="12"/>
      <c r="DME2541" s="12"/>
      <c r="DMF2541" s="12"/>
      <c r="DMG2541" s="12"/>
      <c r="DMH2541" s="12"/>
      <c r="DMI2541" s="12"/>
      <c r="DMJ2541" s="12"/>
      <c r="DMK2541" s="12"/>
      <c r="DML2541" s="12"/>
      <c r="DMM2541" s="12"/>
      <c r="DMN2541" s="12"/>
      <c r="DMO2541" s="12"/>
      <c r="DMP2541" s="12"/>
      <c r="DMQ2541" s="12"/>
    </row>
    <row r="2542" spans="3044:3059">
      <c r="DMB2542" s="12"/>
      <c r="DMC2542" s="12"/>
      <c r="DMD2542" s="12"/>
      <c r="DME2542" s="12"/>
      <c r="DMF2542" s="12"/>
      <c r="DMG2542" s="12"/>
      <c r="DMH2542" s="12"/>
      <c r="DMI2542" s="12"/>
      <c r="DMJ2542" s="12"/>
      <c r="DMK2542" s="12"/>
      <c r="DML2542" s="12"/>
      <c r="DMM2542" s="12"/>
      <c r="DMN2542" s="12"/>
      <c r="DMO2542" s="12"/>
      <c r="DMP2542" s="12"/>
      <c r="DMQ2542" s="12"/>
    </row>
    <row r="2543" spans="3044:3059">
      <c r="DMB2543" s="12"/>
      <c r="DMC2543" s="12"/>
      <c r="DMD2543" s="12"/>
      <c r="DME2543" s="12"/>
      <c r="DMF2543" s="12"/>
      <c r="DMG2543" s="12"/>
      <c r="DMH2543" s="12"/>
      <c r="DMI2543" s="12"/>
      <c r="DMJ2543" s="12"/>
      <c r="DMK2543" s="12"/>
      <c r="DML2543" s="12"/>
      <c r="DMM2543" s="12"/>
      <c r="DMN2543" s="12"/>
      <c r="DMO2543" s="12"/>
      <c r="DMP2543" s="12"/>
      <c r="DMQ2543" s="12"/>
    </row>
    <row r="2544" spans="3044:3059">
      <c r="DMB2544" s="12"/>
      <c r="DMC2544" s="12"/>
      <c r="DMD2544" s="12"/>
      <c r="DME2544" s="12"/>
      <c r="DMF2544" s="12"/>
      <c r="DMG2544" s="12"/>
      <c r="DMH2544" s="12"/>
      <c r="DMI2544" s="12"/>
      <c r="DMJ2544" s="12"/>
      <c r="DMK2544" s="12"/>
      <c r="DML2544" s="12"/>
      <c r="DMM2544" s="12"/>
      <c r="DMN2544" s="12"/>
      <c r="DMO2544" s="12"/>
      <c r="DMP2544" s="12"/>
      <c r="DMQ2544" s="12"/>
    </row>
    <row r="2545" spans="3044:3059">
      <c r="DMB2545" s="12"/>
      <c r="DMC2545" s="12"/>
      <c r="DMD2545" s="12"/>
      <c r="DME2545" s="12"/>
      <c r="DMF2545" s="12"/>
      <c r="DMG2545" s="12"/>
      <c r="DMH2545" s="12"/>
      <c r="DMI2545" s="12"/>
      <c r="DMJ2545" s="12"/>
      <c r="DMK2545" s="12"/>
      <c r="DML2545" s="12"/>
      <c r="DMM2545" s="12"/>
      <c r="DMN2545" s="12"/>
      <c r="DMO2545" s="12"/>
      <c r="DMP2545" s="12"/>
      <c r="DMQ2545" s="12"/>
    </row>
    <row r="2546" spans="3044:3059">
      <c r="DMB2546" s="12"/>
      <c r="DMC2546" s="12"/>
      <c r="DMD2546" s="12"/>
      <c r="DME2546" s="12"/>
      <c r="DMF2546" s="12"/>
      <c r="DMG2546" s="12"/>
      <c r="DMH2546" s="12"/>
      <c r="DMI2546" s="12"/>
      <c r="DMJ2546" s="12"/>
      <c r="DMK2546" s="12"/>
      <c r="DML2546" s="12"/>
      <c r="DMM2546" s="12"/>
      <c r="DMN2546" s="12"/>
      <c r="DMO2546" s="12"/>
      <c r="DMP2546" s="12"/>
      <c r="DMQ2546" s="12"/>
    </row>
    <row r="2547" spans="3044:3059">
      <c r="DMB2547" s="12"/>
      <c r="DMC2547" s="12"/>
      <c r="DMD2547" s="12"/>
      <c r="DME2547" s="12"/>
      <c r="DMF2547" s="12"/>
      <c r="DMG2547" s="12"/>
      <c r="DMH2547" s="12"/>
      <c r="DMI2547" s="12"/>
      <c r="DMJ2547" s="12"/>
      <c r="DMK2547" s="12"/>
      <c r="DML2547" s="12"/>
      <c r="DMM2547" s="12"/>
      <c r="DMN2547" s="12"/>
      <c r="DMO2547" s="12"/>
      <c r="DMP2547" s="12"/>
      <c r="DMQ2547" s="12"/>
    </row>
    <row r="2548" spans="3044:3059">
      <c r="DMB2548" s="12"/>
      <c r="DMC2548" s="12"/>
      <c r="DMD2548" s="12"/>
      <c r="DME2548" s="12"/>
      <c r="DMF2548" s="12"/>
      <c r="DMG2548" s="12"/>
      <c r="DMH2548" s="12"/>
      <c r="DMI2548" s="12"/>
      <c r="DMJ2548" s="12"/>
      <c r="DMK2548" s="12"/>
      <c r="DML2548" s="12"/>
      <c r="DMM2548" s="12"/>
      <c r="DMN2548" s="12"/>
      <c r="DMO2548" s="12"/>
      <c r="DMP2548" s="12"/>
      <c r="DMQ2548" s="12"/>
    </row>
    <row r="2549" spans="3044:3059">
      <c r="DMB2549" s="12"/>
      <c r="DMC2549" s="12"/>
      <c r="DMD2549" s="12"/>
      <c r="DME2549" s="12"/>
      <c r="DMF2549" s="12"/>
      <c r="DMG2549" s="12"/>
      <c r="DMH2549" s="12"/>
      <c r="DMI2549" s="12"/>
      <c r="DMJ2549" s="12"/>
      <c r="DMK2549" s="12"/>
      <c r="DML2549" s="12"/>
      <c r="DMM2549" s="12"/>
      <c r="DMN2549" s="12"/>
      <c r="DMO2549" s="12"/>
      <c r="DMP2549" s="12"/>
      <c r="DMQ2549" s="12"/>
    </row>
    <row r="2550" spans="3044:3059">
      <c r="DMB2550" s="12"/>
      <c r="DMC2550" s="12"/>
      <c r="DMD2550" s="12"/>
      <c r="DME2550" s="12"/>
      <c r="DMF2550" s="12"/>
      <c r="DMG2550" s="12"/>
      <c r="DMH2550" s="12"/>
      <c r="DMI2550" s="12"/>
      <c r="DMJ2550" s="12"/>
      <c r="DMK2550" s="12"/>
      <c r="DML2550" s="12"/>
      <c r="DMM2550" s="12"/>
      <c r="DMN2550" s="12"/>
      <c r="DMO2550" s="12"/>
      <c r="DMP2550" s="12"/>
      <c r="DMQ2550" s="12"/>
    </row>
    <row r="2551" spans="3044:3059">
      <c r="DMB2551" s="12"/>
      <c r="DMC2551" s="12"/>
      <c r="DMD2551" s="12"/>
      <c r="DME2551" s="12"/>
      <c r="DMF2551" s="12"/>
      <c r="DMG2551" s="12"/>
      <c r="DMH2551" s="12"/>
      <c r="DMI2551" s="12"/>
      <c r="DMJ2551" s="12"/>
      <c r="DMK2551" s="12"/>
      <c r="DML2551" s="12"/>
      <c r="DMM2551" s="12"/>
      <c r="DMN2551" s="12"/>
      <c r="DMO2551" s="12"/>
      <c r="DMP2551" s="12"/>
      <c r="DMQ2551" s="12"/>
    </row>
    <row r="2552" spans="3044:3059">
      <c r="DMB2552" s="12"/>
      <c r="DMC2552" s="12"/>
      <c r="DMD2552" s="12"/>
      <c r="DME2552" s="12"/>
      <c r="DMF2552" s="12"/>
      <c r="DMG2552" s="12"/>
      <c r="DMH2552" s="12"/>
      <c r="DMI2552" s="12"/>
      <c r="DMJ2552" s="12"/>
      <c r="DMK2552" s="12"/>
      <c r="DML2552" s="12"/>
      <c r="DMM2552" s="12"/>
      <c r="DMN2552" s="12"/>
      <c r="DMO2552" s="12"/>
      <c r="DMP2552" s="12"/>
      <c r="DMQ2552" s="12"/>
    </row>
    <row r="2553" spans="3044:3059">
      <c r="DMB2553" s="12"/>
      <c r="DMC2553" s="12"/>
      <c r="DMD2553" s="12"/>
      <c r="DME2553" s="12"/>
      <c r="DMF2553" s="12"/>
      <c r="DMG2553" s="12"/>
      <c r="DMH2553" s="12"/>
      <c r="DMI2553" s="12"/>
      <c r="DMJ2553" s="12"/>
      <c r="DMK2553" s="12"/>
      <c r="DML2553" s="12"/>
      <c r="DMM2553" s="12"/>
      <c r="DMN2553" s="12"/>
      <c r="DMO2553" s="12"/>
      <c r="DMP2553" s="12"/>
      <c r="DMQ2553" s="12"/>
    </row>
    <row r="2554" spans="3044:3059">
      <c r="DMB2554" s="12"/>
      <c r="DMC2554" s="12"/>
      <c r="DMD2554" s="12"/>
      <c r="DME2554" s="12"/>
      <c r="DMF2554" s="12"/>
      <c r="DMG2554" s="12"/>
      <c r="DMH2554" s="12"/>
      <c r="DMI2554" s="12"/>
      <c r="DMJ2554" s="12"/>
      <c r="DMK2554" s="12"/>
      <c r="DML2554" s="12"/>
      <c r="DMM2554" s="12"/>
      <c r="DMN2554" s="12"/>
      <c r="DMO2554" s="12"/>
      <c r="DMP2554" s="12"/>
      <c r="DMQ2554" s="12"/>
    </row>
    <row r="2555" spans="3044:3059">
      <c r="DMB2555" s="12"/>
      <c r="DMC2555" s="12"/>
      <c r="DMD2555" s="12"/>
      <c r="DME2555" s="12"/>
      <c r="DMF2555" s="12"/>
      <c r="DMG2555" s="12"/>
      <c r="DMH2555" s="12"/>
      <c r="DMI2555" s="12"/>
      <c r="DMJ2555" s="12"/>
      <c r="DMK2555" s="12"/>
      <c r="DML2555" s="12"/>
      <c r="DMM2555" s="12"/>
      <c r="DMN2555" s="12"/>
      <c r="DMO2555" s="12"/>
      <c r="DMP2555" s="12"/>
      <c r="DMQ2555" s="12"/>
    </row>
    <row r="2556" spans="3044:3059">
      <c r="DMB2556" s="12"/>
      <c r="DMC2556" s="12"/>
      <c r="DMD2556" s="12"/>
      <c r="DME2556" s="12"/>
      <c r="DMF2556" s="12"/>
      <c r="DMG2556" s="12"/>
      <c r="DMH2556" s="12"/>
      <c r="DMI2556" s="12"/>
      <c r="DMJ2556" s="12"/>
      <c r="DMK2556" s="12"/>
      <c r="DML2556" s="12"/>
      <c r="DMM2556" s="12"/>
      <c r="DMN2556" s="12"/>
      <c r="DMO2556" s="12"/>
      <c r="DMP2556" s="12"/>
      <c r="DMQ2556" s="12"/>
    </row>
    <row r="2557" spans="3044:3059">
      <c r="DMB2557" s="12"/>
      <c r="DMC2557" s="12"/>
      <c r="DMD2557" s="12"/>
      <c r="DME2557" s="12"/>
      <c r="DMF2557" s="12"/>
      <c r="DMG2557" s="12"/>
      <c r="DMH2557" s="12"/>
      <c r="DMI2557" s="12"/>
      <c r="DMJ2557" s="12"/>
      <c r="DMK2557" s="12"/>
      <c r="DML2557" s="12"/>
      <c r="DMM2557" s="12"/>
      <c r="DMN2557" s="12"/>
      <c r="DMO2557" s="12"/>
      <c r="DMP2557" s="12"/>
      <c r="DMQ2557" s="12"/>
    </row>
    <row r="2558" spans="3044:3059">
      <c r="DMB2558" s="12"/>
      <c r="DMC2558" s="12"/>
      <c r="DMD2558" s="12"/>
      <c r="DME2558" s="12"/>
      <c r="DMF2558" s="12"/>
      <c r="DMG2558" s="12"/>
      <c r="DMH2558" s="12"/>
      <c r="DMI2558" s="12"/>
      <c r="DMJ2558" s="12"/>
      <c r="DMK2558" s="12"/>
      <c r="DML2558" s="12"/>
      <c r="DMM2558" s="12"/>
      <c r="DMN2558" s="12"/>
      <c r="DMO2558" s="12"/>
      <c r="DMP2558" s="12"/>
      <c r="DMQ2558" s="12"/>
    </row>
    <row r="2559" spans="3044:3059">
      <c r="DMB2559" s="12"/>
      <c r="DMC2559" s="12"/>
      <c r="DMD2559" s="12"/>
      <c r="DME2559" s="12"/>
      <c r="DMF2559" s="12"/>
      <c r="DMG2559" s="12"/>
      <c r="DMH2559" s="12"/>
      <c r="DMI2559" s="12"/>
      <c r="DMJ2559" s="12"/>
      <c r="DMK2559" s="12"/>
      <c r="DML2559" s="12"/>
      <c r="DMM2559" s="12"/>
      <c r="DMN2559" s="12"/>
      <c r="DMO2559" s="12"/>
      <c r="DMP2559" s="12"/>
      <c r="DMQ2559" s="12"/>
    </row>
    <row r="2560" spans="3044:3059">
      <c r="DMB2560" s="12"/>
      <c r="DMC2560" s="12"/>
      <c r="DMD2560" s="12"/>
      <c r="DME2560" s="12"/>
      <c r="DMF2560" s="12"/>
      <c r="DMG2560" s="12"/>
      <c r="DMH2560" s="12"/>
      <c r="DMI2560" s="12"/>
      <c r="DMJ2560" s="12"/>
      <c r="DMK2560" s="12"/>
      <c r="DML2560" s="12"/>
      <c r="DMM2560" s="12"/>
      <c r="DMN2560" s="12"/>
      <c r="DMO2560" s="12"/>
      <c r="DMP2560" s="12"/>
      <c r="DMQ2560" s="12"/>
    </row>
    <row r="2561" spans="3044:3059">
      <c r="DMB2561" s="12"/>
      <c r="DMC2561" s="12"/>
      <c r="DMD2561" s="12"/>
      <c r="DME2561" s="12"/>
      <c r="DMF2561" s="12"/>
      <c r="DMG2561" s="12"/>
      <c r="DMH2561" s="12"/>
      <c r="DMI2561" s="12"/>
      <c r="DMJ2561" s="12"/>
      <c r="DMK2561" s="12"/>
      <c r="DML2561" s="12"/>
      <c r="DMM2561" s="12"/>
      <c r="DMN2561" s="12"/>
      <c r="DMO2561" s="12"/>
      <c r="DMP2561" s="12"/>
      <c r="DMQ2561" s="12"/>
    </row>
    <row r="2562" spans="3044:3059">
      <c r="DMB2562" s="12"/>
      <c r="DMC2562" s="12"/>
      <c r="DMD2562" s="12"/>
      <c r="DME2562" s="12"/>
      <c r="DMF2562" s="12"/>
      <c r="DMG2562" s="12"/>
      <c r="DMH2562" s="12"/>
      <c r="DMI2562" s="12"/>
      <c r="DMJ2562" s="12"/>
      <c r="DMK2562" s="12"/>
      <c r="DML2562" s="12"/>
      <c r="DMM2562" s="12"/>
      <c r="DMN2562" s="12"/>
      <c r="DMO2562" s="12"/>
      <c r="DMP2562" s="12"/>
      <c r="DMQ2562" s="12"/>
    </row>
    <row r="2563" spans="3044:3059">
      <c r="DMB2563" s="12"/>
      <c r="DMC2563" s="12"/>
      <c r="DMD2563" s="12"/>
      <c r="DME2563" s="12"/>
      <c r="DMF2563" s="12"/>
      <c r="DMG2563" s="12"/>
      <c r="DMH2563" s="12"/>
      <c r="DMI2563" s="12"/>
      <c r="DMJ2563" s="12"/>
      <c r="DMK2563" s="12"/>
      <c r="DML2563" s="12"/>
      <c r="DMM2563" s="12"/>
      <c r="DMN2563" s="12"/>
      <c r="DMO2563" s="12"/>
      <c r="DMP2563" s="12"/>
      <c r="DMQ2563" s="12"/>
    </row>
    <row r="2564" spans="3044:3059">
      <c r="DMB2564" s="12"/>
      <c r="DMC2564" s="12"/>
      <c r="DMD2564" s="12"/>
      <c r="DME2564" s="12"/>
      <c r="DMF2564" s="12"/>
      <c r="DMG2564" s="12"/>
      <c r="DMH2564" s="12"/>
      <c r="DMI2564" s="12"/>
      <c r="DMJ2564" s="12"/>
      <c r="DMK2564" s="12"/>
      <c r="DML2564" s="12"/>
      <c r="DMM2564" s="12"/>
      <c r="DMN2564" s="12"/>
      <c r="DMO2564" s="12"/>
      <c r="DMP2564" s="12"/>
      <c r="DMQ2564" s="12"/>
    </row>
    <row r="2565" spans="3044:3059">
      <c r="DMB2565" s="12"/>
      <c r="DMC2565" s="12"/>
      <c r="DMD2565" s="12"/>
      <c r="DME2565" s="12"/>
      <c r="DMF2565" s="12"/>
      <c r="DMG2565" s="12"/>
      <c r="DMH2565" s="12"/>
      <c r="DMI2565" s="12"/>
      <c r="DMJ2565" s="12"/>
      <c r="DMK2565" s="12"/>
      <c r="DML2565" s="12"/>
      <c r="DMM2565" s="12"/>
      <c r="DMN2565" s="12"/>
      <c r="DMO2565" s="12"/>
      <c r="DMP2565" s="12"/>
      <c r="DMQ2565" s="12"/>
    </row>
    <row r="2566" spans="3044:3059">
      <c r="DMB2566" s="12"/>
      <c r="DMC2566" s="12"/>
      <c r="DMD2566" s="12"/>
      <c r="DME2566" s="12"/>
      <c r="DMF2566" s="12"/>
      <c r="DMG2566" s="12"/>
      <c r="DMH2566" s="12"/>
      <c r="DMI2566" s="12"/>
      <c r="DMJ2566" s="12"/>
      <c r="DMK2566" s="12"/>
      <c r="DML2566" s="12"/>
      <c r="DMM2566" s="12"/>
      <c r="DMN2566" s="12"/>
      <c r="DMO2566" s="12"/>
      <c r="DMP2566" s="12"/>
      <c r="DMQ2566" s="12"/>
    </row>
    <row r="2567" spans="3044:3059">
      <c r="DMB2567" s="12"/>
      <c r="DMC2567" s="12"/>
      <c r="DMD2567" s="12"/>
      <c r="DME2567" s="12"/>
      <c r="DMF2567" s="12"/>
      <c r="DMG2567" s="12"/>
      <c r="DMH2567" s="12"/>
      <c r="DMI2567" s="12"/>
      <c r="DMJ2567" s="12"/>
      <c r="DMK2567" s="12"/>
      <c r="DML2567" s="12"/>
      <c r="DMM2567" s="12"/>
      <c r="DMN2567" s="12"/>
      <c r="DMO2567" s="12"/>
      <c r="DMP2567" s="12"/>
      <c r="DMQ2567" s="12"/>
    </row>
    <row r="2568" spans="3044:3059">
      <c r="DMB2568" s="12"/>
      <c r="DMC2568" s="12"/>
      <c r="DMD2568" s="12"/>
      <c r="DME2568" s="12"/>
      <c r="DMF2568" s="12"/>
      <c r="DMG2568" s="12"/>
      <c r="DMH2568" s="12"/>
      <c r="DMI2568" s="12"/>
      <c r="DMJ2568" s="12"/>
      <c r="DMK2568" s="12"/>
      <c r="DML2568" s="12"/>
      <c r="DMM2568" s="12"/>
      <c r="DMN2568" s="12"/>
      <c r="DMO2568" s="12"/>
      <c r="DMP2568" s="12"/>
      <c r="DMQ2568" s="12"/>
    </row>
    <row r="2569" spans="3044:3059">
      <c r="DMB2569" s="12"/>
      <c r="DMC2569" s="12"/>
      <c r="DMD2569" s="12"/>
      <c r="DME2569" s="12"/>
      <c r="DMF2569" s="12"/>
      <c r="DMG2569" s="12"/>
      <c r="DMH2569" s="12"/>
      <c r="DMI2569" s="12"/>
      <c r="DMJ2569" s="12"/>
      <c r="DMK2569" s="12"/>
      <c r="DML2569" s="12"/>
      <c r="DMM2569" s="12"/>
      <c r="DMN2569" s="12"/>
      <c r="DMO2569" s="12"/>
      <c r="DMP2569" s="12"/>
      <c r="DMQ2569" s="12"/>
    </row>
    <row r="2570" spans="3044:3059">
      <c r="DMB2570" s="12"/>
      <c r="DMC2570" s="12"/>
      <c r="DMD2570" s="12"/>
      <c r="DME2570" s="12"/>
      <c r="DMF2570" s="12"/>
      <c r="DMG2570" s="12"/>
      <c r="DMH2570" s="12"/>
      <c r="DMI2570" s="12"/>
      <c r="DMJ2570" s="12"/>
      <c r="DMK2570" s="12"/>
      <c r="DML2570" s="12"/>
      <c r="DMM2570" s="12"/>
      <c r="DMN2570" s="12"/>
      <c r="DMO2570" s="12"/>
      <c r="DMP2570" s="12"/>
      <c r="DMQ2570" s="12"/>
    </row>
    <row r="2571" spans="3044:3059">
      <c r="DMB2571" s="12"/>
      <c r="DMC2571" s="12"/>
      <c r="DMD2571" s="12"/>
      <c r="DME2571" s="12"/>
      <c r="DMF2571" s="12"/>
      <c r="DMG2571" s="12"/>
      <c r="DMH2571" s="12"/>
      <c r="DMI2571" s="12"/>
      <c r="DMJ2571" s="12"/>
      <c r="DMK2571" s="12"/>
      <c r="DML2571" s="12"/>
      <c r="DMM2571" s="12"/>
      <c r="DMN2571" s="12"/>
      <c r="DMO2571" s="12"/>
      <c r="DMP2571" s="12"/>
      <c r="DMQ2571" s="12"/>
    </row>
    <row r="2572" spans="3044:3059">
      <c r="DMB2572" s="12"/>
      <c r="DMC2572" s="12"/>
      <c r="DMD2572" s="12"/>
      <c r="DME2572" s="12"/>
      <c r="DMF2572" s="12"/>
      <c r="DMG2572" s="12"/>
      <c r="DMH2572" s="12"/>
      <c r="DMI2572" s="12"/>
      <c r="DMJ2572" s="12"/>
      <c r="DMK2572" s="12"/>
      <c r="DML2572" s="12"/>
      <c r="DMM2572" s="12"/>
      <c r="DMN2572" s="12"/>
      <c r="DMO2572" s="12"/>
      <c r="DMP2572" s="12"/>
      <c r="DMQ2572" s="12"/>
    </row>
    <row r="2573" spans="3044:3059">
      <c r="DMB2573" s="12"/>
      <c r="DMC2573" s="12"/>
      <c r="DMD2573" s="12"/>
      <c r="DME2573" s="12"/>
      <c r="DMF2573" s="12"/>
      <c r="DMG2573" s="12"/>
      <c r="DMH2573" s="12"/>
      <c r="DMI2573" s="12"/>
      <c r="DMJ2573" s="12"/>
      <c r="DMK2573" s="12"/>
      <c r="DML2573" s="12"/>
      <c r="DMM2573" s="12"/>
      <c r="DMN2573" s="12"/>
      <c r="DMO2573" s="12"/>
      <c r="DMP2573" s="12"/>
      <c r="DMQ2573" s="12"/>
    </row>
    <row r="2574" spans="3044:3059">
      <c r="DMB2574" s="12"/>
      <c r="DMC2574" s="12"/>
      <c r="DMD2574" s="12"/>
      <c r="DME2574" s="12"/>
      <c r="DMF2574" s="12"/>
      <c r="DMG2574" s="12"/>
      <c r="DMH2574" s="12"/>
      <c r="DMI2574" s="12"/>
      <c r="DMJ2574" s="12"/>
      <c r="DMK2574" s="12"/>
      <c r="DML2574" s="12"/>
      <c r="DMM2574" s="12"/>
      <c r="DMN2574" s="12"/>
      <c r="DMO2574" s="12"/>
      <c r="DMP2574" s="12"/>
      <c r="DMQ2574" s="12"/>
    </row>
    <row r="2575" spans="3044:3059">
      <c r="DMB2575" s="12"/>
      <c r="DMC2575" s="12"/>
      <c r="DMD2575" s="12"/>
      <c r="DME2575" s="12"/>
      <c r="DMF2575" s="12"/>
      <c r="DMG2575" s="12"/>
      <c r="DMH2575" s="12"/>
      <c r="DMI2575" s="12"/>
      <c r="DMJ2575" s="12"/>
      <c r="DMK2575" s="12"/>
      <c r="DML2575" s="12"/>
      <c r="DMM2575" s="12"/>
      <c r="DMN2575" s="12"/>
      <c r="DMO2575" s="12"/>
      <c r="DMP2575" s="12"/>
      <c r="DMQ2575" s="12"/>
    </row>
    <row r="2576" spans="3044:3059">
      <c r="DMB2576" s="12"/>
      <c r="DMC2576" s="12"/>
      <c r="DMD2576" s="12"/>
      <c r="DME2576" s="12"/>
      <c r="DMF2576" s="12"/>
      <c r="DMG2576" s="12"/>
      <c r="DMH2576" s="12"/>
      <c r="DMI2576" s="12"/>
      <c r="DMJ2576" s="12"/>
      <c r="DMK2576" s="12"/>
      <c r="DML2576" s="12"/>
      <c r="DMM2576" s="12"/>
      <c r="DMN2576" s="12"/>
      <c r="DMO2576" s="12"/>
      <c r="DMP2576" s="12"/>
      <c r="DMQ2576" s="12"/>
    </row>
    <row r="2577" spans="3044:3059">
      <c r="DMB2577" s="12"/>
      <c r="DMC2577" s="12"/>
      <c r="DMD2577" s="12"/>
      <c r="DME2577" s="12"/>
      <c r="DMF2577" s="12"/>
      <c r="DMG2577" s="12"/>
      <c r="DMH2577" s="12"/>
      <c r="DMI2577" s="12"/>
      <c r="DMJ2577" s="12"/>
      <c r="DMK2577" s="12"/>
      <c r="DML2577" s="12"/>
      <c r="DMM2577" s="12"/>
      <c r="DMN2577" s="12"/>
      <c r="DMO2577" s="12"/>
      <c r="DMP2577" s="12"/>
      <c r="DMQ2577" s="12"/>
    </row>
    <row r="2578" spans="3044:3059">
      <c r="DMB2578" s="12"/>
      <c r="DMC2578" s="12"/>
      <c r="DMD2578" s="12"/>
      <c r="DME2578" s="12"/>
      <c r="DMF2578" s="12"/>
      <c r="DMG2578" s="12"/>
      <c r="DMH2578" s="12"/>
      <c r="DMI2578" s="12"/>
      <c r="DMJ2578" s="12"/>
      <c r="DMK2578" s="12"/>
      <c r="DML2578" s="12"/>
      <c r="DMM2578" s="12"/>
      <c r="DMN2578" s="12"/>
      <c r="DMO2578" s="12"/>
      <c r="DMP2578" s="12"/>
      <c r="DMQ2578" s="12"/>
    </row>
    <row r="2579" spans="3044:3059">
      <c r="DMB2579" s="12"/>
      <c r="DMC2579" s="12"/>
      <c r="DMD2579" s="12"/>
      <c r="DME2579" s="12"/>
      <c r="DMF2579" s="12"/>
      <c r="DMG2579" s="12"/>
      <c r="DMH2579" s="12"/>
      <c r="DMI2579" s="12"/>
      <c r="DMJ2579" s="12"/>
      <c r="DMK2579" s="12"/>
      <c r="DML2579" s="12"/>
      <c r="DMM2579" s="12"/>
      <c r="DMN2579" s="12"/>
      <c r="DMO2579" s="12"/>
      <c r="DMP2579" s="12"/>
      <c r="DMQ2579" s="12"/>
    </row>
    <row r="2580" spans="3044:3059">
      <c r="DMB2580" s="12"/>
      <c r="DMC2580" s="12"/>
      <c r="DMD2580" s="12"/>
      <c r="DME2580" s="12"/>
      <c r="DMF2580" s="12"/>
      <c r="DMG2580" s="12"/>
      <c r="DMH2580" s="12"/>
      <c r="DMI2580" s="12"/>
      <c r="DMJ2580" s="12"/>
      <c r="DMK2580" s="12"/>
      <c r="DML2580" s="12"/>
      <c r="DMM2580" s="12"/>
      <c r="DMN2580" s="12"/>
      <c r="DMO2580" s="12"/>
      <c r="DMP2580" s="12"/>
      <c r="DMQ2580" s="12"/>
    </row>
    <row r="2581" spans="3044:3059">
      <c r="DMB2581" s="12"/>
      <c r="DMC2581" s="12"/>
      <c r="DMD2581" s="12"/>
      <c r="DME2581" s="12"/>
      <c r="DMF2581" s="12"/>
      <c r="DMG2581" s="12"/>
      <c r="DMH2581" s="12"/>
      <c r="DMI2581" s="12"/>
      <c r="DMJ2581" s="12"/>
      <c r="DMK2581" s="12"/>
      <c r="DML2581" s="12"/>
      <c r="DMM2581" s="12"/>
      <c r="DMN2581" s="12"/>
      <c r="DMO2581" s="12"/>
      <c r="DMP2581" s="12"/>
      <c r="DMQ2581" s="12"/>
    </row>
    <row r="2582" spans="3044:3059">
      <c r="DMB2582" s="12"/>
      <c r="DMC2582" s="12"/>
      <c r="DMD2582" s="12"/>
      <c r="DME2582" s="12"/>
      <c r="DMF2582" s="12"/>
      <c r="DMG2582" s="12"/>
      <c r="DMH2582" s="12"/>
      <c r="DMI2582" s="12"/>
      <c r="DMJ2582" s="12"/>
      <c r="DMK2582" s="12"/>
      <c r="DML2582" s="12"/>
      <c r="DMM2582" s="12"/>
      <c r="DMN2582" s="12"/>
      <c r="DMO2582" s="12"/>
      <c r="DMP2582" s="12"/>
      <c r="DMQ2582" s="12"/>
    </row>
    <row r="2583" spans="3044:3059">
      <c r="DMB2583" s="12"/>
      <c r="DMC2583" s="12"/>
      <c r="DMD2583" s="12"/>
      <c r="DME2583" s="12"/>
      <c r="DMF2583" s="12"/>
      <c r="DMG2583" s="12"/>
      <c r="DMH2583" s="12"/>
      <c r="DMI2583" s="12"/>
      <c r="DMJ2583" s="12"/>
      <c r="DMK2583" s="12"/>
      <c r="DML2583" s="12"/>
      <c r="DMM2583" s="12"/>
      <c r="DMN2583" s="12"/>
      <c r="DMO2583" s="12"/>
      <c r="DMP2583" s="12"/>
      <c r="DMQ2583" s="12"/>
    </row>
    <row r="2584" spans="3044:3059">
      <c r="DMB2584" s="12"/>
      <c r="DMC2584" s="12"/>
      <c r="DMD2584" s="12"/>
      <c r="DME2584" s="12"/>
      <c r="DMF2584" s="12"/>
      <c r="DMG2584" s="12"/>
      <c r="DMH2584" s="12"/>
      <c r="DMI2584" s="12"/>
      <c r="DMJ2584" s="12"/>
      <c r="DMK2584" s="12"/>
      <c r="DML2584" s="12"/>
      <c r="DMM2584" s="12"/>
      <c r="DMN2584" s="12"/>
      <c r="DMO2584" s="12"/>
      <c r="DMP2584" s="12"/>
      <c r="DMQ2584" s="12"/>
    </row>
    <row r="2585" spans="3044:3059">
      <c r="DMB2585" s="12"/>
      <c r="DMC2585" s="12"/>
      <c r="DMD2585" s="12"/>
      <c r="DME2585" s="12"/>
      <c r="DMF2585" s="12"/>
      <c r="DMG2585" s="12"/>
      <c r="DMH2585" s="12"/>
      <c r="DMI2585" s="12"/>
      <c r="DMJ2585" s="12"/>
      <c r="DMK2585" s="12"/>
      <c r="DML2585" s="12"/>
      <c r="DMM2585" s="12"/>
      <c r="DMN2585" s="12"/>
      <c r="DMO2585" s="12"/>
      <c r="DMP2585" s="12"/>
      <c r="DMQ2585" s="12"/>
    </row>
    <row r="2586" spans="3044:3059">
      <c r="DMB2586" s="12"/>
      <c r="DMC2586" s="12"/>
      <c r="DMD2586" s="12"/>
      <c r="DME2586" s="12"/>
      <c r="DMF2586" s="12"/>
      <c r="DMG2586" s="12"/>
      <c r="DMH2586" s="12"/>
      <c r="DMI2586" s="12"/>
      <c r="DMJ2586" s="12"/>
      <c r="DMK2586" s="12"/>
      <c r="DML2586" s="12"/>
      <c r="DMM2586" s="12"/>
      <c r="DMN2586" s="12"/>
      <c r="DMO2586" s="12"/>
      <c r="DMP2586" s="12"/>
      <c r="DMQ2586" s="12"/>
    </row>
    <row r="2587" spans="3044:3059">
      <c r="DMB2587" s="12"/>
      <c r="DMC2587" s="12"/>
      <c r="DMD2587" s="12"/>
      <c r="DME2587" s="12"/>
      <c r="DMF2587" s="12"/>
      <c r="DMG2587" s="12"/>
      <c r="DMH2587" s="12"/>
      <c r="DMI2587" s="12"/>
      <c r="DMJ2587" s="12"/>
      <c r="DMK2587" s="12"/>
      <c r="DML2587" s="12"/>
      <c r="DMM2587" s="12"/>
      <c r="DMN2587" s="12"/>
      <c r="DMO2587" s="12"/>
      <c r="DMP2587" s="12"/>
      <c r="DMQ2587" s="12"/>
    </row>
    <row r="2588" spans="3044:3059">
      <c r="DMB2588" s="12"/>
      <c r="DMC2588" s="12"/>
      <c r="DMD2588" s="12"/>
      <c r="DME2588" s="12"/>
      <c r="DMF2588" s="12"/>
      <c r="DMG2588" s="12"/>
      <c r="DMH2588" s="12"/>
      <c r="DMI2588" s="12"/>
      <c r="DMJ2588" s="12"/>
      <c r="DMK2588" s="12"/>
      <c r="DML2588" s="12"/>
      <c r="DMM2588" s="12"/>
      <c r="DMN2588" s="12"/>
      <c r="DMO2588" s="12"/>
      <c r="DMP2588" s="12"/>
      <c r="DMQ2588" s="12"/>
    </row>
    <row r="2589" spans="3044:3059">
      <c r="DMB2589" s="12"/>
      <c r="DMC2589" s="12"/>
      <c r="DMD2589" s="12"/>
      <c r="DME2589" s="12"/>
      <c r="DMF2589" s="12"/>
      <c r="DMG2589" s="12"/>
      <c r="DMH2589" s="12"/>
      <c r="DMI2589" s="12"/>
      <c r="DMJ2589" s="12"/>
      <c r="DMK2589" s="12"/>
      <c r="DML2589" s="12"/>
      <c r="DMM2589" s="12"/>
      <c r="DMN2589" s="12"/>
      <c r="DMO2589" s="12"/>
      <c r="DMP2589" s="12"/>
      <c r="DMQ2589" s="12"/>
    </row>
    <row r="2590" spans="3044:3059">
      <c r="DMB2590" s="12"/>
      <c r="DMC2590" s="12"/>
      <c r="DMD2590" s="12"/>
      <c r="DME2590" s="12"/>
      <c r="DMF2590" s="12"/>
      <c r="DMG2590" s="12"/>
      <c r="DMH2590" s="12"/>
      <c r="DMI2590" s="12"/>
      <c r="DMJ2590" s="12"/>
      <c r="DMK2590" s="12"/>
      <c r="DML2590" s="12"/>
      <c r="DMM2590" s="12"/>
      <c r="DMN2590" s="12"/>
      <c r="DMO2590" s="12"/>
      <c r="DMP2590" s="12"/>
      <c r="DMQ2590" s="12"/>
    </row>
    <row r="2591" spans="3044:3059">
      <c r="DMB2591" s="12"/>
      <c r="DMC2591" s="12"/>
      <c r="DMD2591" s="12"/>
      <c r="DME2591" s="12"/>
      <c r="DMF2591" s="12"/>
      <c r="DMG2591" s="12"/>
      <c r="DMH2591" s="12"/>
      <c r="DMI2591" s="12"/>
      <c r="DMJ2591" s="12"/>
      <c r="DMK2591" s="12"/>
      <c r="DML2591" s="12"/>
      <c r="DMM2591" s="12"/>
      <c r="DMN2591" s="12"/>
      <c r="DMO2591" s="12"/>
      <c r="DMP2591" s="12"/>
      <c r="DMQ2591" s="12"/>
    </row>
    <row r="2592" spans="3044:3059">
      <c r="DMB2592" s="12"/>
      <c r="DMC2592" s="12"/>
      <c r="DMD2592" s="12"/>
      <c r="DME2592" s="12"/>
      <c r="DMF2592" s="12"/>
      <c r="DMG2592" s="12"/>
      <c r="DMH2592" s="12"/>
      <c r="DMI2592" s="12"/>
      <c r="DMJ2592" s="12"/>
      <c r="DMK2592" s="12"/>
      <c r="DML2592" s="12"/>
      <c r="DMM2592" s="12"/>
      <c r="DMN2592" s="12"/>
      <c r="DMO2592" s="12"/>
      <c r="DMP2592" s="12"/>
      <c r="DMQ2592" s="12"/>
    </row>
    <row r="2593" spans="3044:3059">
      <c r="DMB2593" s="12"/>
      <c r="DMC2593" s="12"/>
      <c r="DMD2593" s="12"/>
      <c r="DME2593" s="12"/>
      <c r="DMF2593" s="12"/>
      <c r="DMG2593" s="12"/>
      <c r="DMH2593" s="12"/>
      <c r="DMI2593" s="12"/>
      <c r="DMJ2593" s="12"/>
      <c r="DMK2593" s="12"/>
      <c r="DML2593" s="12"/>
      <c r="DMM2593" s="12"/>
      <c r="DMN2593" s="12"/>
      <c r="DMO2593" s="12"/>
      <c r="DMP2593" s="12"/>
      <c r="DMQ2593" s="12"/>
    </row>
    <row r="2594" spans="3044:3059">
      <c r="DMB2594" s="12"/>
      <c r="DMC2594" s="12"/>
      <c r="DMD2594" s="12"/>
      <c r="DME2594" s="12"/>
      <c r="DMF2594" s="12"/>
      <c r="DMG2594" s="12"/>
      <c r="DMH2594" s="12"/>
      <c r="DMI2594" s="12"/>
      <c r="DMJ2594" s="12"/>
      <c r="DMK2594" s="12"/>
      <c r="DML2594" s="12"/>
      <c r="DMM2594" s="12"/>
      <c r="DMN2594" s="12"/>
      <c r="DMO2594" s="12"/>
      <c r="DMP2594" s="12"/>
      <c r="DMQ2594" s="12"/>
    </row>
    <row r="2595" spans="3044:3059">
      <c r="DMB2595" s="12"/>
      <c r="DMC2595" s="12"/>
      <c r="DMD2595" s="12"/>
      <c r="DME2595" s="12"/>
      <c r="DMF2595" s="12"/>
      <c r="DMG2595" s="12"/>
      <c r="DMH2595" s="12"/>
      <c r="DMI2595" s="12"/>
      <c r="DMJ2595" s="12"/>
      <c r="DMK2595" s="12"/>
      <c r="DML2595" s="12"/>
      <c r="DMM2595" s="12"/>
      <c r="DMN2595" s="12"/>
      <c r="DMO2595" s="12"/>
      <c r="DMP2595" s="12"/>
      <c r="DMQ2595" s="12"/>
    </row>
    <row r="2596" spans="3044:3059">
      <c r="DMB2596" s="12"/>
      <c r="DMC2596" s="12"/>
      <c r="DMD2596" s="12"/>
      <c r="DME2596" s="12"/>
      <c r="DMF2596" s="12"/>
      <c r="DMG2596" s="12"/>
      <c r="DMH2596" s="12"/>
      <c r="DMI2596" s="12"/>
      <c r="DMJ2596" s="12"/>
      <c r="DMK2596" s="12"/>
      <c r="DML2596" s="12"/>
      <c r="DMM2596" s="12"/>
      <c r="DMN2596" s="12"/>
      <c r="DMO2596" s="12"/>
      <c r="DMP2596" s="12"/>
      <c r="DMQ2596" s="12"/>
    </row>
    <row r="2597" spans="3044:3059">
      <c r="DMB2597" s="12"/>
      <c r="DMC2597" s="12"/>
      <c r="DMD2597" s="12"/>
      <c r="DME2597" s="12"/>
      <c r="DMF2597" s="12"/>
      <c r="DMG2597" s="12"/>
      <c r="DMH2597" s="12"/>
      <c r="DMI2597" s="12"/>
      <c r="DMJ2597" s="12"/>
      <c r="DMK2597" s="12"/>
      <c r="DML2597" s="12"/>
      <c r="DMM2597" s="12"/>
      <c r="DMN2597" s="12"/>
      <c r="DMO2597" s="12"/>
      <c r="DMP2597" s="12"/>
      <c r="DMQ2597" s="12"/>
    </row>
    <row r="2598" spans="3044:3059">
      <c r="DMB2598" s="12"/>
      <c r="DMC2598" s="12"/>
      <c r="DMD2598" s="12"/>
      <c r="DME2598" s="12"/>
      <c r="DMF2598" s="12"/>
      <c r="DMG2598" s="12"/>
      <c r="DMH2598" s="12"/>
      <c r="DMI2598" s="12"/>
      <c r="DMJ2598" s="12"/>
      <c r="DMK2598" s="12"/>
      <c r="DML2598" s="12"/>
      <c r="DMM2598" s="12"/>
      <c r="DMN2598" s="12"/>
      <c r="DMO2598" s="12"/>
      <c r="DMP2598" s="12"/>
      <c r="DMQ2598" s="12"/>
    </row>
    <row r="2599" spans="3044:3059">
      <c r="DMB2599" s="12"/>
      <c r="DMC2599" s="12"/>
      <c r="DMD2599" s="12"/>
      <c r="DME2599" s="12"/>
      <c r="DMF2599" s="12"/>
      <c r="DMG2599" s="12"/>
      <c r="DMH2599" s="12"/>
      <c r="DMI2599" s="12"/>
      <c r="DMJ2599" s="12"/>
      <c r="DMK2599" s="12"/>
      <c r="DML2599" s="12"/>
      <c r="DMM2599" s="12"/>
      <c r="DMN2599" s="12"/>
      <c r="DMO2599" s="12"/>
      <c r="DMP2599" s="12"/>
      <c r="DMQ2599" s="12"/>
    </row>
    <row r="2600" spans="3044:3059">
      <c r="DMB2600" s="12"/>
      <c r="DMC2600" s="12"/>
      <c r="DMD2600" s="12"/>
      <c r="DME2600" s="12"/>
      <c r="DMF2600" s="12"/>
      <c r="DMG2600" s="12"/>
      <c r="DMH2600" s="12"/>
      <c r="DMI2600" s="12"/>
      <c r="DMJ2600" s="12"/>
      <c r="DMK2600" s="12"/>
      <c r="DML2600" s="12"/>
      <c r="DMM2600" s="12"/>
      <c r="DMN2600" s="12"/>
      <c r="DMO2600" s="12"/>
      <c r="DMP2600" s="12"/>
      <c r="DMQ2600" s="12"/>
    </row>
    <row r="2601" spans="3044:3059">
      <c r="DMB2601" s="12"/>
      <c r="DMC2601" s="12"/>
      <c r="DMD2601" s="12"/>
      <c r="DME2601" s="12"/>
      <c r="DMF2601" s="12"/>
      <c r="DMG2601" s="12"/>
      <c r="DMH2601" s="12"/>
      <c r="DMI2601" s="12"/>
      <c r="DMJ2601" s="12"/>
      <c r="DMK2601" s="12"/>
      <c r="DML2601" s="12"/>
      <c r="DMM2601" s="12"/>
      <c r="DMN2601" s="12"/>
      <c r="DMO2601" s="12"/>
      <c r="DMP2601" s="12"/>
      <c r="DMQ2601" s="12"/>
    </row>
    <row r="2602" spans="3044:3059">
      <c r="DMB2602" s="12"/>
      <c r="DMC2602" s="12"/>
      <c r="DMD2602" s="12"/>
      <c r="DME2602" s="12"/>
      <c r="DMF2602" s="12"/>
      <c r="DMG2602" s="12"/>
      <c r="DMH2602" s="12"/>
      <c r="DMI2602" s="12"/>
      <c r="DMJ2602" s="12"/>
      <c r="DMK2602" s="12"/>
      <c r="DML2602" s="12"/>
      <c r="DMM2602" s="12"/>
      <c r="DMN2602" s="12"/>
      <c r="DMO2602" s="12"/>
      <c r="DMP2602" s="12"/>
      <c r="DMQ2602" s="12"/>
    </row>
    <row r="2603" spans="3044:3059">
      <c r="DMB2603" s="12"/>
      <c r="DMC2603" s="12"/>
      <c r="DMD2603" s="12"/>
      <c r="DME2603" s="12"/>
      <c r="DMF2603" s="12"/>
      <c r="DMG2603" s="12"/>
      <c r="DMH2603" s="12"/>
      <c r="DMI2603" s="12"/>
      <c r="DMJ2603" s="12"/>
      <c r="DMK2603" s="12"/>
      <c r="DML2603" s="12"/>
      <c r="DMM2603" s="12"/>
      <c r="DMN2603" s="12"/>
      <c r="DMO2603" s="12"/>
      <c r="DMP2603" s="12"/>
      <c r="DMQ2603" s="12"/>
    </row>
    <row r="2604" spans="3044:3059">
      <c r="DMB2604" s="12"/>
      <c r="DMC2604" s="12"/>
      <c r="DMD2604" s="12"/>
      <c r="DME2604" s="12"/>
      <c r="DMF2604" s="12"/>
      <c r="DMG2604" s="12"/>
      <c r="DMH2604" s="12"/>
      <c r="DMI2604" s="12"/>
      <c r="DMJ2604" s="12"/>
      <c r="DMK2604" s="12"/>
      <c r="DML2604" s="12"/>
      <c r="DMM2604" s="12"/>
      <c r="DMN2604" s="12"/>
      <c r="DMO2604" s="12"/>
      <c r="DMP2604" s="12"/>
      <c r="DMQ2604" s="12"/>
    </row>
    <row r="2605" spans="3044:3059">
      <c r="DMB2605" s="12"/>
      <c r="DMC2605" s="12"/>
      <c r="DMD2605" s="12"/>
      <c r="DME2605" s="12"/>
      <c r="DMF2605" s="12"/>
      <c r="DMG2605" s="12"/>
      <c r="DMH2605" s="12"/>
      <c r="DMI2605" s="12"/>
      <c r="DMJ2605" s="12"/>
      <c r="DMK2605" s="12"/>
      <c r="DML2605" s="12"/>
      <c r="DMM2605" s="12"/>
      <c r="DMN2605" s="12"/>
      <c r="DMO2605" s="12"/>
      <c r="DMP2605" s="12"/>
      <c r="DMQ2605" s="12"/>
    </row>
    <row r="2606" spans="3044:3059">
      <c r="DMB2606" s="12"/>
      <c r="DMC2606" s="12"/>
      <c r="DMD2606" s="12"/>
      <c r="DME2606" s="12"/>
      <c r="DMF2606" s="12"/>
      <c r="DMG2606" s="12"/>
      <c r="DMH2606" s="12"/>
      <c r="DMI2606" s="12"/>
      <c r="DMJ2606" s="12"/>
      <c r="DMK2606" s="12"/>
      <c r="DML2606" s="12"/>
      <c r="DMM2606" s="12"/>
      <c r="DMN2606" s="12"/>
      <c r="DMO2606" s="12"/>
      <c r="DMP2606" s="12"/>
      <c r="DMQ2606" s="12"/>
    </row>
    <row r="2607" spans="3044:3059">
      <c r="DMB2607" s="12"/>
      <c r="DMC2607" s="12"/>
      <c r="DMD2607" s="12"/>
      <c r="DME2607" s="12"/>
      <c r="DMF2607" s="12"/>
      <c r="DMG2607" s="12"/>
      <c r="DMH2607" s="12"/>
      <c r="DMI2607" s="12"/>
      <c r="DMJ2607" s="12"/>
      <c r="DMK2607" s="12"/>
      <c r="DML2607" s="12"/>
      <c r="DMM2607" s="12"/>
      <c r="DMN2607" s="12"/>
      <c r="DMO2607" s="12"/>
      <c r="DMP2607" s="12"/>
      <c r="DMQ2607" s="12"/>
    </row>
    <row r="2608" spans="3044:3059">
      <c r="DMB2608" s="12"/>
      <c r="DMC2608" s="12"/>
      <c r="DMD2608" s="12"/>
      <c r="DME2608" s="12"/>
      <c r="DMF2608" s="12"/>
      <c r="DMG2608" s="12"/>
      <c r="DMH2608" s="12"/>
      <c r="DMI2608" s="12"/>
      <c r="DMJ2608" s="12"/>
      <c r="DMK2608" s="12"/>
      <c r="DML2608" s="12"/>
      <c r="DMM2608" s="12"/>
      <c r="DMN2608" s="12"/>
      <c r="DMO2608" s="12"/>
      <c r="DMP2608" s="12"/>
      <c r="DMQ2608" s="12"/>
    </row>
    <row r="2609" spans="3044:3059">
      <c r="DMB2609" s="12"/>
      <c r="DMC2609" s="12"/>
      <c r="DMD2609" s="12"/>
      <c r="DME2609" s="12"/>
      <c r="DMF2609" s="12"/>
      <c r="DMG2609" s="12"/>
      <c r="DMH2609" s="12"/>
      <c r="DMI2609" s="12"/>
      <c r="DMJ2609" s="12"/>
      <c r="DMK2609" s="12"/>
      <c r="DML2609" s="12"/>
      <c r="DMM2609" s="12"/>
      <c r="DMN2609" s="12"/>
      <c r="DMO2609" s="12"/>
      <c r="DMP2609" s="12"/>
      <c r="DMQ2609" s="12"/>
    </row>
    <row r="2610" spans="3044:3059">
      <c r="DMB2610" s="12"/>
      <c r="DMC2610" s="12"/>
      <c r="DMD2610" s="12"/>
      <c r="DME2610" s="12"/>
      <c r="DMF2610" s="12"/>
      <c r="DMG2610" s="12"/>
      <c r="DMH2610" s="12"/>
      <c r="DMI2610" s="12"/>
      <c r="DMJ2610" s="12"/>
      <c r="DMK2610" s="12"/>
      <c r="DML2610" s="12"/>
      <c r="DMM2610" s="12"/>
      <c r="DMN2610" s="12"/>
      <c r="DMO2610" s="12"/>
      <c r="DMP2610" s="12"/>
      <c r="DMQ2610" s="12"/>
    </row>
    <row r="2611" spans="3044:3059">
      <c r="DMB2611" s="12"/>
      <c r="DMC2611" s="12"/>
      <c r="DMD2611" s="12"/>
      <c r="DME2611" s="12"/>
      <c r="DMF2611" s="12"/>
      <c r="DMG2611" s="12"/>
      <c r="DMH2611" s="12"/>
      <c r="DMI2611" s="12"/>
      <c r="DMJ2611" s="12"/>
      <c r="DMK2611" s="12"/>
      <c r="DML2611" s="12"/>
      <c r="DMM2611" s="12"/>
      <c r="DMN2611" s="12"/>
      <c r="DMO2611" s="12"/>
      <c r="DMP2611" s="12"/>
      <c r="DMQ2611" s="12"/>
    </row>
    <row r="2612" spans="3044:3059">
      <c r="DMB2612" s="12"/>
      <c r="DMC2612" s="12"/>
      <c r="DMD2612" s="12"/>
      <c r="DME2612" s="12"/>
      <c r="DMF2612" s="12"/>
      <c r="DMG2612" s="12"/>
      <c r="DMH2612" s="12"/>
      <c r="DMI2612" s="12"/>
      <c r="DMJ2612" s="12"/>
      <c r="DMK2612" s="12"/>
      <c r="DML2612" s="12"/>
      <c r="DMM2612" s="12"/>
      <c r="DMN2612" s="12"/>
      <c r="DMO2612" s="12"/>
      <c r="DMP2612" s="12"/>
      <c r="DMQ2612" s="12"/>
    </row>
    <row r="2613" spans="3044:3059">
      <c r="DMB2613" s="12"/>
      <c r="DMC2613" s="12"/>
      <c r="DMD2613" s="12"/>
      <c r="DME2613" s="12"/>
      <c r="DMF2613" s="12"/>
      <c r="DMG2613" s="12"/>
      <c r="DMH2613" s="12"/>
      <c r="DMI2613" s="12"/>
      <c r="DMJ2613" s="12"/>
      <c r="DMK2613" s="12"/>
      <c r="DML2613" s="12"/>
      <c r="DMM2613" s="12"/>
      <c r="DMN2613" s="12"/>
      <c r="DMO2613" s="12"/>
      <c r="DMP2613" s="12"/>
      <c r="DMQ2613" s="12"/>
    </row>
    <row r="2614" spans="3044:3059">
      <c r="DMB2614" s="12"/>
      <c r="DMC2614" s="12"/>
      <c r="DMD2614" s="12"/>
      <c r="DME2614" s="12"/>
      <c r="DMF2614" s="12"/>
      <c r="DMG2614" s="12"/>
      <c r="DMH2614" s="12"/>
      <c r="DMI2614" s="12"/>
      <c r="DMJ2614" s="12"/>
      <c r="DMK2614" s="12"/>
      <c r="DML2614" s="12"/>
      <c r="DMM2614" s="12"/>
      <c r="DMN2614" s="12"/>
      <c r="DMO2614" s="12"/>
      <c r="DMP2614" s="12"/>
      <c r="DMQ2614" s="12"/>
    </row>
    <row r="2615" spans="3044:3059">
      <c r="DMB2615" s="12"/>
      <c r="DMC2615" s="12"/>
      <c r="DMD2615" s="12"/>
      <c r="DME2615" s="12"/>
      <c r="DMF2615" s="12"/>
      <c r="DMG2615" s="12"/>
      <c r="DMH2615" s="12"/>
      <c r="DMI2615" s="12"/>
      <c r="DMJ2615" s="12"/>
      <c r="DMK2615" s="12"/>
      <c r="DML2615" s="12"/>
      <c r="DMM2615" s="12"/>
      <c r="DMN2615" s="12"/>
      <c r="DMO2615" s="12"/>
      <c r="DMP2615" s="12"/>
      <c r="DMQ2615" s="12"/>
    </row>
    <row r="2616" spans="3044:3059">
      <c r="DMB2616" s="12"/>
      <c r="DMC2616" s="12"/>
      <c r="DMD2616" s="12"/>
      <c r="DME2616" s="12"/>
      <c r="DMF2616" s="12"/>
      <c r="DMG2616" s="12"/>
      <c r="DMH2616" s="12"/>
      <c r="DMI2616" s="12"/>
      <c r="DMJ2616" s="12"/>
      <c r="DMK2616" s="12"/>
      <c r="DML2616" s="12"/>
      <c r="DMM2616" s="12"/>
      <c r="DMN2616" s="12"/>
      <c r="DMO2616" s="12"/>
      <c r="DMP2616" s="12"/>
      <c r="DMQ2616" s="12"/>
    </row>
    <row r="2617" spans="3044:3059">
      <c r="DMB2617" s="12"/>
      <c r="DMC2617" s="12"/>
      <c r="DMD2617" s="12"/>
      <c r="DME2617" s="12"/>
      <c r="DMF2617" s="12"/>
      <c r="DMG2617" s="12"/>
      <c r="DMH2617" s="12"/>
      <c r="DMI2617" s="12"/>
      <c r="DMJ2617" s="12"/>
      <c r="DMK2617" s="12"/>
      <c r="DML2617" s="12"/>
      <c r="DMM2617" s="12"/>
      <c r="DMN2617" s="12"/>
      <c r="DMO2617" s="12"/>
      <c r="DMP2617" s="12"/>
      <c r="DMQ2617" s="12"/>
    </row>
    <row r="2618" spans="3044:3059">
      <c r="DMB2618" s="12"/>
      <c r="DMC2618" s="12"/>
      <c r="DMD2618" s="12"/>
      <c r="DME2618" s="12"/>
      <c r="DMF2618" s="12"/>
      <c r="DMG2618" s="12"/>
      <c r="DMH2618" s="12"/>
      <c r="DMI2618" s="12"/>
      <c r="DMJ2618" s="12"/>
      <c r="DMK2618" s="12"/>
      <c r="DML2618" s="12"/>
      <c r="DMM2618" s="12"/>
      <c r="DMN2618" s="12"/>
      <c r="DMO2618" s="12"/>
      <c r="DMP2618" s="12"/>
      <c r="DMQ2618" s="12"/>
    </row>
    <row r="2619" spans="3044:3059">
      <c r="DMB2619" s="12"/>
      <c r="DMC2619" s="12"/>
      <c r="DMD2619" s="12"/>
      <c r="DME2619" s="12"/>
      <c r="DMF2619" s="12"/>
      <c r="DMG2619" s="12"/>
      <c r="DMH2619" s="12"/>
      <c r="DMI2619" s="12"/>
      <c r="DMJ2619" s="12"/>
      <c r="DMK2619" s="12"/>
      <c r="DML2619" s="12"/>
      <c r="DMM2619" s="12"/>
      <c r="DMN2619" s="12"/>
      <c r="DMO2619" s="12"/>
      <c r="DMP2619" s="12"/>
      <c r="DMQ2619" s="12"/>
    </row>
    <row r="2620" spans="3044:3059">
      <c r="DMB2620" s="12"/>
      <c r="DMC2620" s="12"/>
      <c r="DMD2620" s="12"/>
      <c r="DME2620" s="12"/>
      <c r="DMF2620" s="12"/>
      <c r="DMG2620" s="12"/>
      <c r="DMH2620" s="12"/>
      <c r="DMI2620" s="12"/>
      <c r="DMJ2620" s="12"/>
      <c r="DMK2620" s="12"/>
      <c r="DML2620" s="12"/>
      <c r="DMM2620" s="12"/>
      <c r="DMN2620" s="12"/>
      <c r="DMO2620" s="12"/>
      <c r="DMP2620" s="12"/>
      <c r="DMQ2620" s="12"/>
    </row>
    <row r="2621" spans="3044:3059">
      <c r="DMB2621" s="12"/>
      <c r="DMC2621" s="12"/>
      <c r="DMD2621" s="12"/>
      <c r="DME2621" s="12"/>
      <c r="DMF2621" s="12"/>
      <c r="DMG2621" s="12"/>
      <c r="DMH2621" s="12"/>
      <c r="DMI2621" s="12"/>
      <c r="DMJ2621" s="12"/>
      <c r="DMK2621" s="12"/>
      <c r="DML2621" s="12"/>
      <c r="DMM2621" s="12"/>
      <c r="DMN2621" s="12"/>
      <c r="DMO2621" s="12"/>
      <c r="DMP2621" s="12"/>
      <c r="DMQ2621" s="12"/>
    </row>
    <row r="2622" spans="3044:3059">
      <c r="DMB2622" s="12"/>
      <c r="DMC2622" s="12"/>
      <c r="DMD2622" s="12"/>
      <c r="DME2622" s="12"/>
      <c r="DMF2622" s="12"/>
      <c r="DMG2622" s="12"/>
      <c r="DMH2622" s="12"/>
      <c r="DMI2622" s="12"/>
      <c r="DMJ2622" s="12"/>
      <c r="DMK2622" s="12"/>
      <c r="DML2622" s="12"/>
      <c r="DMM2622" s="12"/>
      <c r="DMN2622" s="12"/>
      <c r="DMO2622" s="12"/>
      <c r="DMP2622" s="12"/>
      <c r="DMQ2622" s="12"/>
    </row>
    <row r="2623" spans="3044:3059">
      <c r="DMB2623" s="12"/>
      <c r="DMC2623" s="12"/>
      <c r="DMD2623" s="12"/>
      <c r="DME2623" s="12"/>
      <c r="DMF2623" s="12"/>
      <c r="DMG2623" s="12"/>
      <c r="DMH2623" s="12"/>
      <c r="DMI2623" s="12"/>
      <c r="DMJ2623" s="12"/>
      <c r="DMK2623" s="12"/>
      <c r="DML2623" s="12"/>
      <c r="DMM2623" s="12"/>
      <c r="DMN2623" s="12"/>
      <c r="DMO2623" s="12"/>
      <c r="DMP2623" s="12"/>
      <c r="DMQ2623" s="12"/>
    </row>
    <row r="2624" spans="3044:3059">
      <c r="DMB2624" s="12"/>
      <c r="DMC2624" s="12"/>
      <c r="DMD2624" s="12"/>
      <c r="DME2624" s="12"/>
      <c r="DMF2624" s="12"/>
      <c r="DMG2624" s="12"/>
      <c r="DMH2624" s="12"/>
      <c r="DMI2624" s="12"/>
      <c r="DMJ2624" s="12"/>
      <c r="DMK2624" s="12"/>
      <c r="DML2624" s="12"/>
      <c r="DMM2624" s="12"/>
      <c r="DMN2624" s="12"/>
      <c r="DMO2624" s="12"/>
      <c r="DMP2624" s="12"/>
      <c r="DMQ2624" s="12"/>
    </row>
    <row r="2625" spans="3044:3059">
      <c r="DMB2625" s="12"/>
      <c r="DMC2625" s="12"/>
      <c r="DMD2625" s="12"/>
      <c r="DME2625" s="12"/>
      <c r="DMF2625" s="12"/>
      <c r="DMG2625" s="12"/>
      <c r="DMH2625" s="12"/>
      <c r="DMI2625" s="12"/>
      <c r="DMJ2625" s="12"/>
      <c r="DMK2625" s="12"/>
      <c r="DML2625" s="12"/>
      <c r="DMM2625" s="12"/>
      <c r="DMN2625" s="12"/>
      <c r="DMO2625" s="12"/>
      <c r="DMP2625" s="12"/>
      <c r="DMQ2625" s="12"/>
    </row>
    <row r="2626" spans="3044:3059">
      <c r="DMB2626" s="12"/>
      <c r="DMC2626" s="12"/>
      <c r="DMD2626" s="12"/>
      <c r="DME2626" s="12"/>
      <c r="DMF2626" s="12"/>
      <c r="DMG2626" s="12"/>
      <c r="DMH2626" s="12"/>
      <c r="DMI2626" s="12"/>
      <c r="DMJ2626" s="12"/>
      <c r="DMK2626" s="12"/>
      <c r="DML2626" s="12"/>
      <c r="DMM2626" s="12"/>
      <c r="DMN2626" s="12"/>
      <c r="DMO2626" s="12"/>
      <c r="DMP2626" s="12"/>
      <c r="DMQ2626" s="12"/>
    </row>
    <row r="2627" spans="3044:3059">
      <c r="DMB2627" s="12"/>
      <c r="DMC2627" s="12"/>
      <c r="DMD2627" s="12"/>
      <c r="DME2627" s="12"/>
      <c r="DMF2627" s="12"/>
      <c r="DMG2627" s="12"/>
      <c r="DMH2627" s="12"/>
      <c r="DMI2627" s="12"/>
      <c r="DMJ2627" s="12"/>
      <c r="DMK2627" s="12"/>
      <c r="DML2627" s="12"/>
      <c r="DMM2627" s="12"/>
      <c r="DMN2627" s="12"/>
      <c r="DMO2627" s="12"/>
      <c r="DMP2627" s="12"/>
      <c r="DMQ2627" s="12"/>
    </row>
    <row r="2628" spans="3044:3059">
      <c r="DMB2628" s="12"/>
      <c r="DMC2628" s="12"/>
      <c r="DMD2628" s="12"/>
      <c r="DME2628" s="12"/>
      <c r="DMF2628" s="12"/>
      <c r="DMG2628" s="12"/>
      <c r="DMH2628" s="12"/>
      <c r="DMI2628" s="12"/>
      <c r="DMJ2628" s="12"/>
      <c r="DMK2628" s="12"/>
      <c r="DML2628" s="12"/>
      <c r="DMM2628" s="12"/>
      <c r="DMN2628" s="12"/>
      <c r="DMO2628" s="12"/>
      <c r="DMP2628" s="12"/>
      <c r="DMQ2628" s="12"/>
    </row>
    <row r="2629" spans="3044:3059">
      <c r="DMB2629" s="12"/>
      <c r="DMC2629" s="12"/>
      <c r="DMD2629" s="12"/>
      <c r="DME2629" s="12"/>
      <c r="DMF2629" s="12"/>
      <c r="DMG2629" s="12"/>
      <c r="DMH2629" s="12"/>
      <c r="DMI2629" s="12"/>
      <c r="DMJ2629" s="12"/>
      <c r="DMK2629" s="12"/>
      <c r="DML2629" s="12"/>
      <c r="DMM2629" s="12"/>
      <c r="DMN2629" s="12"/>
      <c r="DMO2629" s="12"/>
      <c r="DMP2629" s="12"/>
      <c r="DMQ2629" s="12"/>
    </row>
    <row r="2630" spans="3044:3059">
      <c r="DMB2630" s="12"/>
      <c r="DMC2630" s="12"/>
      <c r="DMD2630" s="12"/>
      <c r="DME2630" s="12"/>
      <c r="DMF2630" s="12"/>
      <c r="DMG2630" s="12"/>
      <c r="DMH2630" s="12"/>
      <c r="DMI2630" s="12"/>
      <c r="DMJ2630" s="12"/>
      <c r="DMK2630" s="12"/>
      <c r="DML2630" s="12"/>
      <c r="DMM2630" s="12"/>
      <c r="DMN2630" s="12"/>
      <c r="DMO2630" s="12"/>
      <c r="DMP2630" s="12"/>
      <c r="DMQ2630" s="12"/>
    </row>
    <row r="2631" spans="3044:3059">
      <c r="DMB2631" s="12"/>
      <c r="DMC2631" s="12"/>
      <c r="DMD2631" s="12"/>
      <c r="DME2631" s="12"/>
      <c r="DMF2631" s="12"/>
      <c r="DMG2631" s="12"/>
      <c r="DMH2631" s="12"/>
      <c r="DMI2631" s="12"/>
      <c r="DMJ2631" s="12"/>
      <c r="DMK2631" s="12"/>
      <c r="DML2631" s="12"/>
      <c r="DMM2631" s="12"/>
      <c r="DMN2631" s="12"/>
      <c r="DMO2631" s="12"/>
      <c r="DMP2631" s="12"/>
      <c r="DMQ2631" s="12"/>
    </row>
    <row r="2632" spans="3044:3059">
      <c r="DMB2632" s="12"/>
      <c r="DMC2632" s="12"/>
      <c r="DMD2632" s="12"/>
      <c r="DME2632" s="12"/>
      <c r="DMF2632" s="12"/>
      <c r="DMG2632" s="12"/>
      <c r="DMH2632" s="12"/>
      <c r="DMI2632" s="12"/>
      <c r="DMJ2632" s="12"/>
      <c r="DMK2632" s="12"/>
      <c r="DML2632" s="12"/>
      <c r="DMM2632" s="12"/>
      <c r="DMN2632" s="12"/>
      <c r="DMO2632" s="12"/>
      <c r="DMP2632" s="12"/>
      <c r="DMQ2632" s="12"/>
    </row>
    <row r="2633" spans="3044:3059">
      <c r="DMB2633" s="12"/>
      <c r="DMC2633" s="12"/>
      <c r="DMD2633" s="12"/>
      <c r="DME2633" s="12"/>
      <c r="DMF2633" s="12"/>
      <c r="DMG2633" s="12"/>
      <c r="DMH2633" s="12"/>
      <c r="DMI2633" s="12"/>
      <c r="DMJ2633" s="12"/>
      <c r="DMK2633" s="12"/>
      <c r="DML2633" s="12"/>
      <c r="DMM2633" s="12"/>
      <c r="DMN2633" s="12"/>
      <c r="DMO2633" s="12"/>
      <c r="DMP2633" s="12"/>
      <c r="DMQ2633" s="12"/>
    </row>
    <row r="2634" spans="3044:3059">
      <c r="DMB2634" s="12"/>
      <c r="DMC2634" s="12"/>
      <c r="DMD2634" s="12"/>
      <c r="DME2634" s="12"/>
      <c r="DMF2634" s="12"/>
      <c r="DMG2634" s="12"/>
      <c r="DMH2634" s="12"/>
      <c r="DMI2634" s="12"/>
      <c r="DMJ2634" s="12"/>
      <c r="DMK2634" s="12"/>
      <c r="DML2634" s="12"/>
      <c r="DMM2634" s="12"/>
      <c r="DMN2634" s="12"/>
      <c r="DMO2634" s="12"/>
      <c r="DMP2634" s="12"/>
      <c r="DMQ2634" s="12"/>
    </row>
    <row r="2635" spans="3044:3059">
      <c r="DMB2635" s="12"/>
      <c r="DMC2635" s="12"/>
      <c r="DMD2635" s="12"/>
      <c r="DME2635" s="12"/>
      <c r="DMF2635" s="12"/>
      <c r="DMG2635" s="12"/>
      <c r="DMH2635" s="12"/>
      <c r="DMI2635" s="12"/>
      <c r="DMJ2635" s="12"/>
      <c r="DMK2635" s="12"/>
      <c r="DML2635" s="12"/>
      <c r="DMM2635" s="12"/>
      <c r="DMN2635" s="12"/>
      <c r="DMO2635" s="12"/>
      <c r="DMP2635" s="12"/>
      <c r="DMQ2635" s="12"/>
    </row>
    <row r="2636" spans="3044:3059">
      <c r="DMB2636" s="12"/>
      <c r="DMC2636" s="12"/>
      <c r="DMD2636" s="12"/>
      <c r="DME2636" s="12"/>
      <c r="DMF2636" s="12"/>
      <c r="DMG2636" s="12"/>
      <c r="DMH2636" s="12"/>
      <c r="DMI2636" s="12"/>
      <c r="DMJ2636" s="12"/>
      <c r="DMK2636" s="12"/>
      <c r="DML2636" s="12"/>
      <c r="DMM2636" s="12"/>
      <c r="DMN2636" s="12"/>
      <c r="DMO2636" s="12"/>
      <c r="DMP2636" s="12"/>
      <c r="DMQ2636" s="12"/>
    </row>
    <row r="2637" spans="3044:3059">
      <c r="DMB2637" s="12"/>
      <c r="DMC2637" s="12"/>
      <c r="DMD2637" s="12"/>
      <c r="DME2637" s="12"/>
      <c r="DMF2637" s="12"/>
      <c r="DMG2637" s="12"/>
      <c r="DMH2637" s="12"/>
      <c r="DMI2637" s="12"/>
      <c r="DMJ2637" s="12"/>
      <c r="DMK2637" s="12"/>
      <c r="DML2637" s="12"/>
      <c r="DMM2637" s="12"/>
      <c r="DMN2637" s="12"/>
      <c r="DMO2637" s="12"/>
      <c r="DMP2637" s="12"/>
      <c r="DMQ2637" s="12"/>
    </row>
    <row r="2638" spans="3044:3059">
      <c r="DMB2638" s="12"/>
      <c r="DMC2638" s="12"/>
      <c r="DMD2638" s="12"/>
      <c r="DME2638" s="12"/>
      <c r="DMF2638" s="12"/>
      <c r="DMG2638" s="12"/>
      <c r="DMH2638" s="12"/>
      <c r="DMI2638" s="12"/>
      <c r="DMJ2638" s="12"/>
      <c r="DMK2638" s="12"/>
      <c r="DML2638" s="12"/>
      <c r="DMM2638" s="12"/>
      <c r="DMN2638" s="12"/>
      <c r="DMO2638" s="12"/>
      <c r="DMP2638" s="12"/>
      <c r="DMQ2638" s="12"/>
    </row>
    <row r="2639" spans="3044:3059">
      <c r="DMB2639" s="12"/>
      <c r="DMC2639" s="12"/>
      <c r="DMD2639" s="12"/>
      <c r="DME2639" s="12"/>
      <c r="DMF2639" s="12"/>
      <c r="DMG2639" s="12"/>
      <c r="DMH2639" s="12"/>
      <c r="DMI2639" s="12"/>
      <c r="DMJ2639" s="12"/>
      <c r="DMK2639" s="12"/>
      <c r="DML2639" s="12"/>
      <c r="DMM2639" s="12"/>
      <c r="DMN2639" s="12"/>
      <c r="DMO2639" s="12"/>
      <c r="DMP2639" s="12"/>
      <c r="DMQ2639" s="12"/>
    </row>
    <row r="2640" spans="3044:3059">
      <c r="DMB2640" s="12"/>
      <c r="DMC2640" s="12"/>
      <c r="DMD2640" s="12"/>
      <c r="DME2640" s="12"/>
      <c r="DMF2640" s="12"/>
      <c r="DMG2640" s="12"/>
      <c r="DMH2640" s="12"/>
      <c r="DMI2640" s="12"/>
      <c r="DMJ2640" s="12"/>
      <c r="DMK2640" s="12"/>
      <c r="DML2640" s="12"/>
      <c r="DMM2640" s="12"/>
      <c r="DMN2640" s="12"/>
      <c r="DMO2640" s="12"/>
      <c r="DMP2640" s="12"/>
      <c r="DMQ2640" s="12"/>
    </row>
    <row r="2641" spans="3044:3059">
      <c r="DMB2641" s="12"/>
      <c r="DMC2641" s="12"/>
      <c r="DMD2641" s="12"/>
      <c r="DME2641" s="12"/>
      <c r="DMF2641" s="12"/>
      <c r="DMG2641" s="12"/>
      <c r="DMH2641" s="12"/>
      <c r="DMI2641" s="12"/>
      <c r="DMJ2641" s="12"/>
      <c r="DMK2641" s="12"/>
      <c r="DML2641" s="12"/>
      <c r="DMM2641" s="12"/>
      <c r="DMN2641" s="12"/>
      <c r="DMO2641" s="12"/>
      <c r="DMP2641" s="12"/>
      <c r="DMQ2641" s="12"/>
    </row>
    <row r="2642" spans="3044:3059">
      <c r="DMB2642" s="12"/>
      <c r="DMC2642" s="12"/>
      <c r="DMD2642" s="12"/>
      <c r="DME2642" s="12"/>
      <c r="DMF2642" s="12"/>
      <c r="DMG2642" s="12"/>
      <c r="DMH2642" s="12"/>
      <c r="DMI2642" s="12"/>
      <c r="DMJ2642" s="12"/>
      <c r="DMK2642" s="12"/>
      <c r="DML2642" s="12"/>
      <c r="DMM2642" s="12"/>
      <c r="DMN2642" s="12"/>
      <c r="DMO2642" s="12"/>
      <c r="DMP2642" s="12"/>
      <c r="DMQ2642" s="12"/>
    </row>
    <row r="2643" spans="3044:3059">
      <c r="DMB2643" s="12"/>
      <c r="DMC2643" s="12"/>
      <c r="DMD2643" s="12"/>
      <c r="DME2643" s="12"/>
      <c r="DMF2643" s="12"/>
      <c r="DMG2643" s="12"/>
      <c r="DMH2643" s="12"/>
      <c r="DMI2643" s="12"/>
      <c r="DMJ2643" s="12"/>
      <c r="DMK2643" s="12"/>
      <c r="DML2643" s="12"/>
      <c r="DMM2643" s="12"/>
      <c r="DMN2643" s="12"/>
      <c r="DMO2643" s="12"/>
      <c r="DMP2643" s="12"/>
      <c r="DMQ2643" s="12"/>
    </row>
    <row r="2644" spans="3044:3059">
      <c r="DMB2644" s="12"/>
      <c r="DMC2644" s="12"/>
      <c r="DMD2644" s="12"/>
      <c r="DME2644" s="12"/>
      <c r="DMF2644" s="12"/>
      <c r="DMG2644" s="12"/>
      <c r="DMH2644" s="12"/>
      <c r="DMI2644" s="12"/>
      <c r="DMJ2644" s="12"/>
      <c r="DMK2644" s="12"/>
      <c r="DML2644" s="12"/>
      <c r="DMM2644" s="12"/>
      <c r="DMN2644" s="12"/>
      <c r="DMO2644" s="12"/>
      <c r="DMP2644" s="12"/>
      <c r="DMQ2644" s="12"/>
    </row>
    <row r="2645" spans="3044:3059">
      <c r="DMB2645" s="12"/>
      <c r="DMC2645" s="12"/>
      <c r="DMD2645" s="12"/>
      <c r="DME2645" s="12"/>
      <c r="DMF2645" s="12"/>
      <c r="DMG2645" s="12"/>
      <c r="DMH2645" s="12"/>
      <c r="DMI2645" s="12"/>
      <c r="DMJ2645" s="12"/>
      <c r="DMK2645" s="12"/>
      <c r="DML2645" s="12"/>
      <c r="DMM2645" s="12"/>
      <c r="DMN2645" s="12"/>
      <c r="DMO2645" s="12"/>
      <c r="DMP2645" s="12"/>
      <c r="DMQ2645" s="12"/>
    </row>
    <row r="2646" spans="3044:3059">
      <c r="DMB2646" s="12"/>
      <c r="DMC2646" s="12"/>
      <c r="DMD2646" s="12"/>
      <c r="DME2646" s="12"/>
      <c r="DMF2646" s="12"/>
      <c r="DMG2646" s="12"/>
      <c r="DMH2646" s="12"/>
      <c r="DMI2646" s="12"/>
      <c r="DMJ2646" s="12"/>
      <c r="DMK2646" s="12"/>
      <c r="DML2646" s="12"/>
      <c r="DMM2646" s="12"/>
      <c r="DMN2646" s="12"/>
      <c r="DMO2646" s="12"/>
      <c r="DMP2646" s="12"/>
      <c r="DMQ2646" s="12"/>
    </row>
    <row r="2647" spans="3044:3059">
      <c r="DMB2647" s="12"/>
      <c r="DMC2647" s="12"/>
      <c r="DMD2647" s="12"/>
      <c r="DME2647" s="12"/>
      <c r="DMF2647" s="12"/>
      <c r="DMG2647" s="12"/>
      <c r="DMH2647" s="12"/>
      <c r="DMI2647" s="12"/>
      <c r="DMJ2647" s="12"/>
      <c r="DMK2647" s="12"/>
      <c r="DML2647" s="12"/>
      <c r="DMM2647" s="12"/>
      <c r="DMN2647" s="12"/>
      <c r="DMO2647" s="12"/>
      <c r="DMP2647" s="12"/>
      <c r="DMQ2647" s="12"/>
    </row>
    <row r="2648" spans="3044:3059">
      <c r="DMB2648" s="12"/>
      <c r="DMC2648" s="12"/>
      <c r="DMD2648" s="12"/>
      <c r="DME2648" s="12"/>
      <c r="DMF2648" s="12"/>
      <c r="DMG2648" s="12"/>
      <c r="DMH2648" s="12"/>
      <c r="DMI2648" s="12"/>
      <c r="DMJ2648" s="12"/>
      <c r="DMK2648" s="12"/>
      <c r="DML2648" s="12"/>
      <c r="DMM2648" s="12"/>
      <c r="DMN2648" s="12"/>
      <c r="DMO2648" s="12"/>
      <c r="DMP2648" s="12"/>
      <c r="DMQ2648" s="12"/>
    </row>
    <row r="2649" spans="3044:3059">
      <c r="DMB2649" s="12"/>
      <c r="DMC2649" s="12"/>
      <c r="DMD2649" s="12"/>
      <c r="DME2649" s="12"/>
      <c r="DMF2649" s="12"/>
      <c r="DMG2649" s="12"/>
      <c r="DMH2649" s="12"/>
      <c r="DMI2649" s="12"/>
      <c r="DMJ2649" s="12"/>
      <c r="DMK2649" s="12"/>
      <c r="DML2649" s="12"/>
      <c r="DMM2649" s="12"/>
      <c r="DMN2649" s="12"/>
      <c r="DMO2649" s="12"/>
      <c r="DMP2649" s="12"/>
      <c r="DMQ2649" s="12"/>
    </row>
    <row r="2650" spans="3044:3059">
      <c r="DMB2650" s="12"/>
      <c r="DMC2650" s="12"/>
      <c r="DMD2650" s="12"/>
      <c r="DME2650" s="12"/>
      <c r="DMF2650" s="12"/>
      <c r="DMG2650" s="12"/>
      <c r="DMH2650" s="12"/>
      <c r="DMI2650" s="12"/>
      <c r="DMJ2650" s="12"/>
      <c r="DMK2650" s="12"/>
      <c r="DML2650" s="12"/>
      <c r="DMM2650" s="12"/>
      <c r="DMN2650" s="12"/>
      <c r="DMO2650" s="12"/>
      <c r="DMP2650" s="12"/>
      <c r="DMQ2650" s="12"/>
    </row>
    <row r="2651" spans="3044:3059">
      <c r="DMB2651" s="12"/>
      <c r="DMC2651" s="12"/>
      <c r="DMD2651" s="12"/>
      <c r="DME2651" s="12"/>
      <c r="DMF2651" s="12"/>
      <c r="DMG2651" s="12"/>
      <c r="DMH2651" s="12"/>
      <c r="DMI2651" s="12"/>
      <c r="DMJ2651" s="12"/>
      <c r="DMK2651" s="12"/>
      <c r="DML2651" s="12"/>
      <c r="DMM2651" s="12"/>
      <c r="DMN2651" s="12"/>
      <c r="DMO2651" s="12"/>
      <c r="DMP2651" s="12"/>
      <c r="DMQ2651" s="12"/>
    </row>
    <row r="2652" spans="3044:3059">
      <c r="DMB2652" s="12"/>
      <c r="DMC2652" s="12"/>
      <c r="DMD2652" s="12"/>
      <c r="DME2652" s="12"/>
      <c r="DMF2652" s="12"/>
      <c r="DMG2652" s="12"/>
      <c r="DMH2652" s="12"/>
      <c r="DMI2652" s="12"/>
      <c r="DMJ2652" s="12"/>
      <c r="DMK2652" s="12"/>
      <c r="DML2652" s="12"/>
      <c r="DMM2652" s="12"/>
      <c r="DMN2652" s="12"/>
      <c r="DMO2652" s="12"/>
      <c r="DMP2652" s="12"/>
      <c r="DMQ2652" s="12"/>
    </row>
    <row r="2653" spans="3044:3059">
      <c r="DMB2653" s="12"/>
      <c r="DMC2653" s="12"/>
      <c r="DMD2653" s="12"/>
      <c r="DME2653" s="12"/>
      <c r="DMF2653" s="12"/>
      <c r="DMG2653" s="12"/>
      <c r="DMH2653" s="12"/>
      <c r="DMI2653" s="12"/>
      <c r="DMJ2653" s="12"/>
      <c r="DMK2653" s="12"/>
      <c r="DML2653" s="12"/>
      <c r="DMM2653" s="12"/>
      <c r="DMN2653" s="12"/>
      <c r="DMO2653" s="12"/>
      <c r="DMP2653" s="12"/>
      <c r="DMQ2653" s="12"/>
    </row>
    <row r="2654" spans="3044:3059">
      <c r="DMB2654" s="12"/>
      <c r="DMC2654" s="12"/>
      <c r="DMD2654" s="12"/>
      <c r="DME2654" s="12"/>
      <c r="DMF2654" s="12"/>
      <c r="DMG2654" s="12"/>
      <c r="DMH2654" s="12"/>
      <c r="DMI2654" s="12"/>
      <c r="DMJ2654" s="12"/>
      <c r="DMK2654" s="12"/>
      <c r="DML2654" s="12"/>
      <c r="DMM2654" s="12"/>
      <c r="DMN2654" s="12"/>
      <c r="DMO2654" s="12"/>
      <c r="DMP2654" s="12"/>
      <c r="DMQ2654" s="12"/>
    </row>
    <row r="2655" spans="3044:3059">
      <c r="DMB2655" s="12"/>
      <c r="DMC2655" s="12"/>
      <c r="DMD2655" s="12"/>
      <c r="DME2655" s="12"/>
      <c r="DMF2655" s="12"/>
      <c r="DMG2655" s="12"/>
      <c r="DMH2655" s="12"/>
      <c r="DMI2655" s="12"/>
      <c r="DMJ2655" s="12"/>
      <c r="DMK2655" s="12"/>
      <c r="DML2655" s="12"/>
      <c r="DMM2655" s="12"/>
      <c r="DMN2655" s="12"/>
      <c r="DMO2655" s="12"/>
      <c r="DMP2655" s="12"/>
      <c r="DMQ2655" s="12"/>
    </row>
    <row r="2656" spans="3044:3059">
      <c r="DMB2656" s="12"/>
      <c r="DMC2656" s="12"/>
      <c r="DMD2656" s="12"/>
      <c r="DME2656" s="12"/>
      <c r="DMF2656" s="12"/>
      <c r="DMG2656" s="12"/>
      <c r="DMH2656" s="12"/>
      <c r="DMI2656" s="12"/>
      <c r="DMJ2656" s="12"/>
      <c r="DMK2656" s="12"/>
      <c r="DML2656" s="12"/>
      <c r="DMM2656" s="12"/>
      <c r="DMN2656" s="12"/>
      <c r="DMO2656" s="12"/>
      <c r="DMP2656" s="12"/>
      <c r="DMQ2656" s="12"/>
    </row>
    <row r="2657" spans="3044:3059">
      <c r="DMB2657" s="12"/>
      <c r="DMC2657" s="12"/>
      <c r="DMD2657" s="12"/>
      <c r="DME2657" s="12"/>
      <c r="DMF2657" s="12"/>
      <c r="DMG2657" s="12"/>
      <c r="DMH2657" s="12"/>
      <c r="DMI2657" s="12"/>
      <c r="DMJ2657" s="12"/>
      <c r="DMK2657" s="12"/>
      <c r="DML2657" s="12"/>
      <c r="DMM2657" s="12"/>
      <c r="DMN2657" s="12"/>
      <c r="DMO2657" s="12"/>
      <c r="DMP2657" s="12"/>
      <c r="DMQ2657" s="12"/>
    </row>
    <row r="2658" spans="3044:3059">
      <c r="DMB2658" s="12"/>
      <c r="DMC2658" s="12"/>
      <c r="DMD2658" s="12"/>
      <c r="DME2658" s="12"/>
      <c r="DMF2658" s="12"/>
      <c r="DMG2658" s="12"/>
      <c r="DMH2658" s="12"/>
      <c r="DMI2658" s="12"/>
      <c r="DMJ2658" s="12"/>
      <c r="DMK2658" s="12"/>
      <c r="DML2658" s="12"/>
      <c r="DMM2658" s="12"/>
      <c r="DMN2658" s="12"/>
      <c r="DMO2658" s="12"/>
      <c r="DMP2658" s="12"/>
      <c r="DMQ2658" s="12"/>
    </row>
    <row r="2659" spans="3044:3059">
      <c r="DMB2659" s="12"/>
      <c r="DMC2659" s="12"/>
      <c r="DMD2659" s="12"/>
      <c r="DME2659" s="12"/>
      <c r="DMF2659" s="12"/>
      <c r="DMG2659" s="12"/>
      <c r="DMH2659" s="12"/>
      <c r="DMI2659" s="12"/>
      <c r="DMJ2659" s="12"/>
      <c r="DMK2659" s="12"/>
      <c r="DML2659" s="12"/>
      <c r="DMM2659" s="12"/>
      <c r="DMN2659" s="12"/>
      <c r="DMO2659" s="12"/>
      <c r="DMP2659" s="12"/>
      <c r="DMQ2659" s="12"/>
    </row>
    <row r="2660" spans="3044:3059">
      <c r="DMB2660" s="12"/>
      <c r="DMC2660" s="12"/>
      <c r="DMD2660" s="12"/>
      <c r="DME2660" s="12"/>
      <c r="DMF2660" s="12"/>
      <c r="DMG2660" s="12"/>
      <c r="DMH2660" s="12"/>
      <c r="DMI2660" s="12"/>
      <c r="DMJ2660" s="12"/>
      <c r="DMK2660" s="12"/>
      <c r="DML2660" s="12"/>
      <c r="DMM2660" s="12"/>
      <c r="DMN2660" s="12"/>
      <c r="DMO2660" s="12"/>
      <c r="DMP2660" s="12"/>
      <c r="DMQ2660" s="12"/>
    </row>
    <row r="2661" spans="3044:3059">
      <c r="DMB2661" s="12"/>
      <c r="DMC2661" s="12"/>
      <c r="DMD2661" s="12"/>
      <c r="DME2661" s="12"/>
      <c r="DMF2661" s="12"/>
      <c r="DMG2661" s="12"/>
      <c r="DMH2661" s="12"/>
      <c r="DMI2661" s="12"/>
      <c r="DMJ2661" s="12"/>
      <c r="DMK2661" s="12"/>
      <c r="DML2661" s="12"/>
      <c r="DMM2661" s="12"/>
      <c r="DMN2661" s="12"/>
      <c r="DMO2661" s="12"/>
      <c r="DMP2661" s="12"/>
      <c r="DMQ2661" s="12"/>
    </row>
    <row r="2662" spans="3044:3059">
      <c r="DMB2662" s="12"/>
      <c r="DMC2662" s="12"/>
      <c r="DMD2662" s="12"/>
      <c r="DME2662" s="12"/>
      <c r="DMF2662" s="12"/>
      <c r="DMG2662" s="12"/>
      <c r="DMH2662" s="12"/>
      <c r="DMI2662" s="12"/>
      <c r="DMJ2662" s="12"/>
      <c r="DMK2662" s="12"/>
      <c r="DML2662" s="12"/>
      <c r="DMM2662" s="12"/>
      <c r="DMN2662" s="12"/>
      <c r="DMO2662" s="12"/>
      <c r="DMP2662" s="12"/>
      <c r="DMQ2662" s="12"/>
    </row>
    <row r="2663" spans="3044:3059">
      <c r="DMB2663" s="12"/>
      <c r="DMC2663" s="12"/>
      <c r="DMD2663" s="12"/>
      <c r="DME2663" s="12"/>
      <c r="DMF2663" s="12"/>
      <c r="DMG2663" s="12"/>
      <c r="DMH2663" s="12"/>
      <c r="DMI2663" s="12"/>
      <c r="DMJ2663" s="12"/>
      <c r="DMK2663" s="12"/>
      <c r="DML2663" s="12"/>
      <c r="DMM2663" s="12"/>
      <c r="DMN2663" s="12"/>
      <c r="DMO2663" s="12"/>
      <c r="DMP2663" s="12"/>
      <c r="DMQ2663" s="12"/>
    </row>
    <row r="2664" spans="3044:3059">
      <c r="DMB2664" s="12"/>
      <c r="DMC2664" s="12"/>
      <c r="DMD2664" s="12"/>
      <c r="DME2664" s="12"/>
      <c r="DMF2664" s="12"/>
      <c r="DMG2664" s="12"/>
      <c r="DMH2664" s="12"/>
      <c r="DMI2664" s="12"/>
      <c r="DMJ2664" s="12"/>
      <c r="DMK2664" s="12"/>
      <c r="DML2664" s="12"/>
      <c r="DMM2664" s="12"/>
      <c r="DMN2664" s="12"/>
      <c r="DMO2664" s="12"/>
      <c r="DMP2664" s="12"/>
      <c r="DMQ2664" s="12"/>
    </row>
    <row r="2665" spans="3044:3059">
      <c r="DMB2665" s="12"/>
      <c r="DMC2665" s="12"/>
      <c r="DMD2665" s="12"/>
      <c r="DME2665" s="12"/>
      <c r="DMF2665" s="12"/>
      <c r="DMG2665" s="12"/>
      <c r="DMH2665" s="12"/>
      <c r="DMI2665" s="12"/>
      <c r="DMJ2665" s="12"/>
      <c r="DMK2665" s="12"/>
      <c r="DML2665" s="12"/>
      <c r="DMM2665" s="12"/>
      <c r="DMN2665" s="12"/>
      <c r="DMO2665" s="12"/>
      <c r="DMP2665" s="12"/>
      <c r="DMQ2665" s="12"/>
    </row>
    <row r="2666" spans="3044:3059">
      <c r="DMB2666" s="12"/>
      <c r="DMC2666" s="12"/>
      <c r="DMD2666" s="12"/>
      <c r="DME2666" s="12"/>
      <c r="DMF2666" s="12"/>
      <c r="DMG2666" s="12"/>
      <c r="DMH2666" s="12"/>
      <c r="DMI2666" s="12"/>
      <c r="DMJ2666" s="12"/>
      <c r="DMK2666" s="12"/>
      <c r="DML2666" s="12"/>
      <c r="DMM2666" s="12"/>
      <c r="DMN2666" s="12"/>
      <c r="DMO2666" s="12"/>
      <c r="DMP2666" s="12"/>
      <c r="DMQ2666" s="12"/>
    </row>
    <row r="2667" spans="3044:3059">
      <c r="DMB2667" s="12"/>
      <c r="DMC2667" s="12"/>
      <c r="DMD2667" s="12"/>
      <c r="DME2667" s="12"/>
      <c r="DMF2667" s="12"/>
      <c r="DMG2667" s="12"/>
      <c r="DMH2667" s="12"/>
      <c r="DMI2667" s="12"/>
      <c r="DMJ2667" s="12"/>
      <c r="DMK2667" s="12"/>
      <c r="DML2667" s="12"/>
      <c r="DMM2667" s="12"/>
      <c r="DMN2667" s="12"/>
      <c r="DMO2667" s="12"/>
      <c r="DMP2667" s="12"/>
      <c r="DMQ2667" s="12"/>
    </row>
    <row r="2668" spans="3044:3059">
      <c r="DMB2668" s="12"/>
      <c r="DMC2668" s="12"/>
      <c r="DMD2668" s="12"/>
      <c r="DME2668" s="12"/>
      <c r="DMF2668" s="12"/>
      <c r="DMG2668" s="12"/>
      <c r="DMH2668" s="12"/>
      <c r="DMI2668" s="12"/>
      <c r="DMJ2668" s="12"/>
      <c r="DMK2668" s="12"/>
      <c r="DML2668" s="12"/>
      <c r="DMM2668" s="12"/>
      <c r="DMN2668" s="12"/>
      <c r="DMO2668" s="12"/>
      <c r="DMP2668" s="12"/>
      <c r="DMQ2668" s="12"/>
    </row>
    <row r="2669" spans="3044:3059">
      <c r="DMB2669" s="12"/>
      <c r="DMC2669" s="12"/>
      <c r="DMD2669" s="12"/>
      <c r="DME2669" s="12"/>
      <c r="DMF2669" s="12"/>
      <c r="DMG2669" s="12"/>
      <c r="DMH2669" s="12"/>
      <c r="DMI2669" s="12"/>
      <c r="DMJ2669" s="12"/>
      <c r="DMK2669" s="12"/>
      <c r="DML2669" s="12"/>
      <c r="DMM2669" s="12"/>
      <c r="DMN2669" s="12"/>
      <c r="DMO2669" s="12"/>
      <c r="DMP2669" s="12"/>
      <c r="DMQ2669" s="12"/>
    </row>
    <row r="2670" spans="3044:3059">
      <c r="DMB2670" s="12"/>
      <c r="DMC2670" s="12"/>
      <c r="DMD2670" s="12"/>
      <c r="DME2670" s="12"/>
      <c r="DMF2670" s="12"/>
      <c r="DMG2670" s="12"/>
      <c r="DMH2670" s="12"/>
      <c r="DMI2670" s="12"/>
      <c r="DMJ2670" s="12"/>
      <c r="DMK2670" s="12"/>
      <c r="DML2670" s="12"/>
      <c r="DMM2670" s="12"/>
      <c r="DMN2670" s="12"/>
      <c r="DMO2670" s="12"/>
      <c r="DMP2670" s="12"/>
      <c r="DMQ2670" s="12"/>
    </row>
    <row r="2671" spans="3044:3059">
      <c r="DMB2671" s="12"/>
      <c r="DMC2671" s="12"/>
      <c r="DMD2671" s="12"/>
      <c r="DME2671" s="12"/>
      <c r="DMF2671" s="12"/>
      <c r="DMG2671" s="12"/>
      <c r="DMH2671" s="12"/>
      <c r="DMI2671" s="12"/>
      <c r="DMJ2671" s="12"/>
      <c r="DMK2671" s="12"/>
      <c r="DML2671" s="12"/>
      <c r="DMM2671" s="12"/>
      <c r="DMN2671" s="12"/>
      <c r="DMO2671" s="12"/>
      <c r="DMP2671" s="12"/>
      <c r="DMQ2671" s="12"/>
    </row>
    <row r="2672" spans="3044:3059">
      <c r="DMB2672" s="12"/>
      <c r="DMC2672" s="12"/>
      <c r="DMD2672" s="12"/>
      <c r="DME2672" s="12"/>
      <c r="DMF2672" s="12"/>
      <c r="DMG2672" s="12"/>
      <c r="DMH2672" s="12"/>
      <c r="DMI2672" s="12"/>
      <c r="DMJ2672" s="12"/>
      <c r="DMK2672" s="12"/>
      <c r="DML2672" s="12"/>
      <c r="DMM2672" s="12"/>
      <c r="DMN2672" s="12"/>
      <c r="DMO2672" s="12"/>
      <c r="DMP2672" s="12"/>
      <c r="DMQ2672" s="12"/>
    </row>
    <row r="2673" spans="3044:3059">
      <c r="DMB2673" s="12"/>
      <c r="DMC2673" s="12"/>
      <c r="DMD2673" s="12"/>
      <c r="DME2673" s="12"/>
      <c r="DMF2673" s="12"/>
      <c r="DMG2673" s="12"/>
      <c r="DMH2673" s="12"/>
      <c r="DMI2673" s="12"/>
      <c r="DMJ2673" s="12"/>
      <c r="DMK2673" s="12"/>
      <c r="DML2673" s="12"/>
      <c r="DMM2673" s="12"/>
      <c r="DMN2673" s="12"/>
      <c r="DMO2673" s="12"/>
      <c r="DMP2673" s="12"/>
      <c r="DMQ2673" s="12"/>
    </row>
    <row r="2674" spans="3044:3059">
      <c r="DMB2674" s="12"/>
      <c r="DMC2674" s="12"/>
      <c r="DMD2674" s="12"/>
      <c r="DME2674" s="12"/>
      <c r="DMF2674" s="12"/>
      <c r="DMG2674" s="12"/>
      <c r="DMH2674" s="12"/>
      <c r="DMI2674" s="12"/>
      <c r="DMJ2674" s="12"/>
      <c r="DMK2674" s="12"/>
      <c r="DML2674" s="12"/>
      <c r="DMM2674" s="12"/>
      <c r="DMN2674" s="12"/>
      <c r="DMO2674" s="12"/>
      <c r="DMP2674" s="12"/>
      <c r="DMQ2674" s="12"/>
    </row>
    <row r="2675" spans="3044:3059">
      <c r="DMB2675" s="12"/>
      <c r="DMC2675" s="12"/>
      <c r="DMD2675" s="12"/>
      <c r="DME2675" s="12"/>
      <c r="DMF2675" s="12"/>
      <c r="DMG2675" s="12"/>
      <c r="DMH2675" s="12"/>
      <c r="DMI2675" s="12"/>
      <c r="DMJ2675" s="12"/>
      <c r="DMK2675" s="12"/>
      <c r="DML2675" s="12"/>
      <c r="DMM2675" s="12"/>
      <c r="DMN2675" s="12"/>
      <c r="DMO2675" s="12"/>
      <c r="DMP2675" s="12"/>
      <c r="DMQ2675" s="12"/>
    </row>
    <row r="2676" spans="3044:3059">
      <c r="DMB2676" s="12"/>
      <c r="DMC2676" s="12"/>
      <c r="DMD2676" s="12"/>
      <c r="DME2676" s="12"/>
      <c r="DMF2676" s="12"/>
      <c r="DMG2676" s="12"/>
      <c r="DMH2676" s="12"/>
      <c r="DMI2676" s="12"/>
      <c r="DMJ2676" s="12"/>
      <c r="DMK2676" s="12"/>
      <c r="DML2676" s="12"/>
      <c r="DMM2676" s="12"/>
      <c r="DMN2676" s="12"/>
      <c r="DMO2676" s="12"/>
      <c r="DMP2676" s="12"/>
      <c r="DMQ2676" s="12"/>
    </row>
    <row r="2677" spans="3044:3059">
      <c r="DMB2677" s="12"/>
      <c r="DMC2677" s="12"/>
      <c r="DMD2677" s="12"/>
      <c r="DME2677" s="12"/>
      <c r="DMF2677" s="12"/>
      <c r="DMG2677" s="12"/>
      <c r="DMH2677" s="12"/>
      <c r="DMI2677" s="12"/>
      <c r="DMJ2677" s="12"/>
      <c r="DMK2677" s="12"/>
      <c r="DML2677" s="12"/>
      <c r="DMM2677" s="12"/>
      <c r="DMN2677" s="12"/>
      <c r="DMO2677" s="12"/>
      <c r="DMP2677" s="12"/>
      <c r="DMQ2677" s="12"/>
    </row>
    <row r="2678" spans="3044:3059">
      <c r="DMB2678" s="12"/>
      <c r="DMC2678" s="12"/>
      <c r="DMD2678" s="12"/>
      <c r="DME2678" s="12"/>
      <c r="DMF2678" s="12"/>
      <c r="DMG2678" s="12"/>
      <c r="DMH2678" s="12"/>
      <c r="DMI2678" s="12"/>
      <c r="DMJ2678" s="12"/>
      <c r="DMK2678" s="12"/>
      <c r="DML2678" s="12"/>
      <c r="DMM2678" s="12"/>
      <c r="DMN2678" s="12"/>
      <c r="DMO2678" s="12"/>
      <c r="DMP2678" s="12"/>
      <c r="DMQ2678" s="12"/>
    </row>
    <row r="2679" spans="3044:3059">
      <c r="DMB2679" s="12"/>
      <c r="DMC2679" s="12"/>
      <c r="DMD2679" s="12"/>
      <c r="DME2679" s="12"/>
      <c r="DMF2679" s="12"/>
      <c r="DMG2679" s="12"/>
      <c r="DMH2679" s="12"/>
      <c r="DMI2679" s="12"/>
      <c r="DMJ2679" s="12"/>
      <c r="DMK2679" s="12"/>
      <c r="DML2679" s="12"/>
      <c r="DMM2679" s="12"/>
      <c r="DMN2679" s="12"/>
      <c r="DMO2679" s="12"/>
      <c r="DMP2679" s="12"/>
      <c r="DMQ2679" s="12"/>
    </row>
    <row r="2680" spans="3044:3059">
      <c r="DMB2680" s="12"/>
      <c r="DMC2680" s="12"/>
      <c r="DMD2680" s="12"/>
      <c r="DME2680" s="12"/>
      <c r="DMF2680" s="12"/>
      <c r="DMG2680" s="12"/>
      <c r="DMH2680" s="12"/>
      <c r="DMI2680" s="12"/>
      <c r="DMJ2680" s="12"/>
      <c r="DMK2680" s="12"/>
      <c r="DML2680" s="12"/>
      <c r="DMM2680" s="12"/>
      <c r="DMN2680" s="12"/>
      <c r="DMO2680" s="12"/>
      <c r="DMP2680" s="12"/>
      <c r="DMQ2680" s="12"/>
    </row>
    <row r="2681" spans="3044:3059">
      <c r="DMB2681" s="12"/>
      <c r="DMC2681" s="12"/>
      <c r="DMD2681" s="12"/>
      <c r="DME2681" s="12"/>
      <c r="DMF2681" s="12"/>
      <c r="DMG2681" s="12"/>
      <c r="DMH2681" s="12"/>
      <c r="DMI2681" s="12"/>
      <c r="DMJ2681" s="12"/>
      <c r="DMK2681" s="12"/>
      <c r="DML2681" s="12"/>
      <c r="DMM2681" s="12"/>
      <c r="DMN2681" s="12"/>
      <c r="DMO2681" s="12"/>
      <c r="DMP2681" s="12"/>
      <c r="DMQ2681" s="12"/>
    </row>
    <row r="2682" spans="3044:3059">
      <c r="DMB2682" s="12"/>
      <c r="DMC2682" s="12"/>
      <c r="DMD2682" s="12"/>
      <c r="DME2682" s="12"/>
      <c r="DMF2682" s="12"/>
      <c r="DMG2682" s="12"/>
      <c r="DMH2682" s="12"/>
      <c r="DMI2682" s="12"/>
      <c r="DMJ2682" s="12"/>
      <c r="DMK2682" s="12"/>
      <c r="DML2682" s="12"/>
      <c r="DMM2682" s="12"/>
      <c r="DMN2682" s="12"/>
      <c r="DMO2682" s="12"/>
      <c r="DMP2682" s="12"/>
      <c r="DMQ2682" s="12"/>
    </row>
    <row r="2683" spans="3044:3059">
      <c r="DMB2683" s="12"/>
      <c r="DMC2683" s="12"/>
      <c r="DMD2683" s="12"/>
      <c r="DME2683" s="12"/>
      <c r="DMF2683" s="12"/>
      <c r="DMG2683" s="12"/>
      <c r="DMH2683" s="12"/>
      <c r="DMI2683" s="12"/>
      <c r="DMJ2683" s="12"/>
      <c r="DMK2683" s="12"/>
      <c r="DML2683" s="12"/>
      <c r="DMM2683" s="12"/>
      <c r="DMN2683" s="12"/>
      <c r="DMO2683" s="12"/>
      <c r="DMP2683" s="12"/>
      <c r="DMQ2683" s="12"/>
    </row>
    <row r="2684" spans="3044:3059">
      <c r="DMB2684" s="12"/>
      <c r="DMC2684" s="12"/>
      <c r="DMD2684" s="12"/>
      <c r="DME2684" s="12"/>
      <c r="DMF2684" s="12"/>
      <c r="DMG2684" s="12"/>
      <c r="DMH2684" s="12"/>
      <c r="DMI2684" s="12"/>
      <c r="DMJ2684" s="12"/>
      <c r="DMK2684" s="12"/>
      <c r="DML2684" s="12"/>
      <c r="DMM2684" s="12"/>
      <c r="DMN2684" s="12"/>
      <c r="DMO2684" s="12"/>
      <c r="DMP2684" s="12"/>
      <c r="DMQ2684" s="12"/>
    </row>
    <row r="2685" spans="3044:3059">
      <c r="DMB2685" s="12"/>
      <c r="DMC2685" s="12"/>
      <c r="DMD2685" s="12"/>
      <c r="DME2685" s="12"/>
      <c r="DMF2685" s="12"/>
      <c r="DMG2685" s="12"/>
      <c r="DMH2685" s="12"/>
      <c r="DMI2685" s="12"/>
      <c r="DMJ2685" s="12"/>
      <c r="DMK2685" s="12"/>
      <c r="DML2685" s="12"/>
      <c r="DMM2685" s="12"/>
      <c r="DMN2685" s="12"/>
      <c r="DMO2685" s="12"/>
      <c r="DMP2685" s="12"/>
      <c r="DMQ2685" s="12"/>
    </row>
    <row r="2686" spans="3044:3059">
      <c r="DMB2686" s="12"/>
      <c r="DMC2686" s="12"/>
      <c r="DMD2686" s="12"/>
      <c r="DME2686" s="12"/>
      <c r="DMF2686" s="12"/>
      <c r="DMG2686" s="12"/>
      <c r="DMH2686" s="12"/>
      <c r="DMI2686" s="12"/>
      <c r="DMJ2686" s="12"/>
      <c r="DMK2686" s="12"/>
      <c r="DML2686" s="12"/>
      <c r="DMM2686" s="12"/>
      <c r="DMN2686" s="12"/>
      <c r="DMO2686" s="12"/>
      <c r="DMP2686" s="12"/>
      <c r="DMQ2686" s="12"/>
    </row>
    <row r="2687" spans="3044:3059">
      <c r="DMB2687" s="12"/>
      <c r="DMC2687" s="12"/>
      <c r="DMD2687" s="12"/>
      <c r="DME2687" s="12"/>
      <c r="DMF2687" s="12"/>
      <c r="DMG2687" s="12"/>
      <c r="DMH2687" s="12"/>
      <c r="DMI2687" s="12"/>
      <c r="DMJ2687" s="12"/>
      <c r="DMK2687" s="12"/>
      <c r="DML2687" s="12"/>
      <c r="DMM2687" s="12"/>
      <c r="DMN2687" s="12"/>
      <c r="DMO2687" s="12"/>
      <c r="DMP2687" s="12"/>
      <c r="DMQ2687" s="12"/>
    </row>
    <row r="2688" spans="3044:3059">
      <c r="DMB2688" s="12"/>
      <c r="DMC2688" s="12"/>
      <c r="DMD2688" s="12"/>
      <c r="DME2688" s="12"/>
      <c r="DMF2688" s="12"/>
      <c r="DMG2688" s="12"/>
      <c r="DMH2688" s="12"/>
      <c r="DMI2688" s="12"/>
      <c r="DMJ2688" s="12"/>
      <c r="DMK2688" s="12"/>
      <c r="DML2688" s="12"/>
      <c r="DMM2688" s="12"/>
      <c r="DMN2688" s="12"/>
      <c r="DMO2688" s="12"/>
      <c r="DMP2688" s="12"/>
      <c r="DMQ2688" s="12"/>
    </row>
    <row r="2689" spans="3044:3059">
      <c r="DMB2689" s="12"/>
      <c r="DMC2689" s="12"/>
      <c r="DMD2689" s="12"/>
      <c r="DME2689" s="12"/>
      <c r="DMF2689" s="12"/>
      <c r="DMG2689" s="12"/>
      <c r="DMH2689" s="12"/>
      <c r="DMI2689" s="12"/>
      <c r="DMJ2689" s="12"/>
      <c r="DMK2689" s="12"/>
      <c r="DML2689" s="12"/>
      <c r="DMM2689" s="12"/>
      <c r="DMN2689" s="12"/>
      <c r="DMO2689" s="12"/>
      <c r="DMP2689" s="12"/>
      <c r="DMQ2689" s="12"/>
    </row>
    <row r="2690" spans="3044:3059">
      <c r="DMB2690" s="12"/>
      <c r="DMC2690" s="12"/>
      <c r="DMD2690" s="12"/>
      <c r="DME2690" s="12"/>
      <c r="DMF2690" s="12"/>
      <c r="DMG2690" s="12"/>
      <c r="DMH2690" s="12"/>
      <c r="DMI2690" s="12"/>
      <c r="DMJ2690" s="12"/>
      <c r="DMK2690" s="12"/>
      <c r="DML2690" s="12"/>
      <c r="DMM2690" s="12"/>
      <c r="DMN2690" s="12"/>
      <c r="DMO2690" s="12"/>
      <c r="DMP2690" s="12"/>
      <c r="DMQ2690" s="12"/>
    </row>
    <row r="2691" spans="3044:3059">
      <c r="DMB2691" s="12"/>
      <c r="DMC2691" s="12"/>
      <c r="DMD2691" s="12"/>
      <c r="DME2691" s="12"/>
      <c r="DMF2691" s="12"/>
      <c r="DMG2691" s="12"/>
      <c r="DMH2691" s="12"/>
      <c r="DMI2691" s="12"/>
      <c r="DMJ2691" s="12"/>
      <c r="DMK2691" s="12"/>
      <c r="DML2691" s="12"/>
      <c r="DMM2691" s="12"/>
      <c r="DMN2691" s="12"/>
      <c r="DMO2691" s="12"/>
      <c r="DMP2691" s="12"/>
      <c r="DMQ2691" s="12"/>
    </row>
    <row r="2692" spans="3044:3059">
      <c r="DMB2692" s="12"/>
      <c r="DMC2692" s="12"/>
      <c r="DMD2692" s="12"/>
      <c r="DME2692" s="12"/>
      <c r="DMF2692" s="12"/>
      <c r="DMG2692" s="12"/>
      <c r="DMH2692" s="12"/>
      <c r="DMI2692" s="12"/>
      <c r="DMJ2692" s="12"/>
      <c r="DMK2692" s="12"/>
      <c r="DML2692" s="12"/>
      <c r="DMM2692" s="12"/>
      <c r="DMN2692" s="12"/>
      <c r="DMO2692" s="12"/>
      <c r="DMP2692" s="12"/>
      <c r="DMQ2692" s="12"/>
    </row>
    <row r="2693" spans="3044:3059">
      <c r="DMB2693" s="12"/>
      <c r="DMC2693" s="12"/>
      <c r="DMD2693" s="12"/>
      <c r="DME2693" s="12"/>
      <c r="DMF2693" s="12"/>
      <c r="DMG2693" s="12"/>
      <c r="DMH2693" s="12"/>
      <c r="DMI2693" s="12"/>
      <c r="DMJ2693" s="12"/>
      <c r="DMK2693" s="12"/>
      <c r="DML2693" s="12"/>
      <c r="DMM2693" s="12"/>
      <c r="DMN2693" s="12"/>
      <c r="DMO2693" s="12"/>
      <c r="DMP2693" s="12"/>
      <c r="DMQ2693" s="12"/>
    </row>
    <row r="2694" spans="3044:3059">
      <c r="DMB2694" s="12"/>
      <c r="DMC2694" s="12"/>
      <c r="DMD2694" s="12"/>
      <c r="DME2694" s="12"/>
      <c r="DMF2694" s="12"/>
      <c r="DMG2694" s="12"/>
      <c r="DMH2694" s="12"/>
      <c r="DMI2694" s="12"/>
      <c r="DMJ2694" s="12"/>
      <c r="DMK2694" s="12"/>
      <c r="DML2694" s="12"/>
      <c r="DMM2694" s="12"/>
      <c r="DMN2694" s="12"/>
      <c r="DMO2694" s="12"/>
      <c r="DMP2694" s="12"/>
      <c r="DMQ2694" s="12"/>
    </row>
    <row r="2695" spans="3044:3059">
      <c r="DMB2695" s="12"/>
      <c r="DMC2695" s="12"/>
      <c r="DMD2695" s="12"/>
      <c r="DME2695" s="12"/>
      <c r="DMF2695" s="12"/>
      <c r="DMG2695" s="12"/>
      <c r="DMH2695" s="12"/>
      <c r="DMI2695" s="12"/>
      <c r="DMJ2695" s="12"/>
      <c r="DMK2695" s="12"/>
      <c r="DML2695" s="12"/>
      <c r="DMM2695" s="12"/>
      <c r="DMN2695" s="12"/>
      <c r="DMO2695" s="12"/>
      <c r="DMP2695" s="12"/>
      <c r="DMQ2695" s="12"/>
    </row>
    <row r="2696" spans="3044:3059">
      <c r="DMB2696" s="12"/>
      <c r="DMC2696" s="12"/>
      <c r="DMD2696" s="12"/>
      <c r="DME2696" s="12"/>
      <c r="DMF2696" s="12"/>
      <c r="DMG2696" s="12"/>
      <c r="DMH2696" s="12"/>
      <c r="DMI2696" s="12"/>
      <c r="DMJ2696" s="12"/>
      <c r="DMK2696" s="12"/>
      <c r="DML2696" s="12"/>
      <c r="DMM2696" s="12"/>
      <c r="DMN2696" s="12"/>
      <c r="DMO2696" s="12"/>
      <c r="DMP2696" s="12"/>
      <c r="DMQ2696" s="12"/>
    </row>
    <row r="2697" spans="3044:3059">
      <c r="DMB2697" s="12"/>
      <c r="DMC2697" s="12"/>
      <c r="DMD2697" s="12"/>
      <c r="DME2697" s="12"/>
      <c r="DMF2697" s="12"/>
      <c r="DMG2697" s="12"/>
      <c r="DMH2697" s="12"/>
      <c r="DMI2697" s="12"/>
      <c r="DMJ2697" s="12"/>
      <c r="DMK2697" s="12"/>
      <c r="DML2697" s="12"/>
      <c r="DMM2697" s="12"/>
      <c r="DMN2697" s="12"/>
      <c r="DMO2697" s="12"/>
      <c r="DMP2697" s="12"/>
      <c r="DMQ2697" s="12"/>
    </row>
    <row r="2698" spans="3044:3059">
      <c r="DMB2698" s="12"/>
      <c r="DMC2698" s="12"/>
      <c r="DMD2698" s="12"/>
      <c r="DME2698" s="12"/>
      <c r="DMF2698" s="12"/>
      <c r="DMG2698" s="12"/>
      <c r="DMH2698" s="12"/>
      <c r="DMI2698" s="12"/>
      <c r="DMJ2698" s="12"/>
      <c r="DMK2698" s="12"/>
      <c r="DML2698" s="12"/>
      <c r="DMM2698" s="12"/>
      <c r="DMN2698" s="12"/>
      <c r="DMO2698" s="12"/>
      <c r="DMP2698" s="12"/>
      <c r="DMQ2698" s="12"/>
    </row>
    <row r="2699" spans="3044:3059">
      <c r="DMB2699" s="12"/>
      <c r="DMC2699" s="12"/>
      <c r="DMD2699" s="12"/>
      <c r="DME2699" s="12"/>
      <c r="DMF2699" s="12"/>
      <c r="DMG2699" s="12"/>
      <c r="DMH2699" s="12"/>
      <c r="DMI2699" s="12"/>
      <c r="DMJ2699" s="12"/>
      <c r="DMK2699" s="12"/>
      <c r="DML2699" s="12"/>
      <c r="DMM2699" s="12"/>
      <c r="DMN2699" s="12"/>
      <c r="DMO2699" s="12"/>
      <c r="DMP2699" s="12"/>
      <c r="DMQ2699" s="12"/>
    </row>
    <row r="2700" spans="3044:3059">
      <c r="DMB2700" s="12"/>
      <c r="DMC2700" s="12"/>
      <c r="DMD2700" s="12"/>
      <c r="DME2700" s="12"/>
      <c r="DMF2700" s="12"/>
      <c r="DMG2700" s="12"/>
      <c r="DMH2700" s="12"/>
      <c r="DMI2700" s="12"/>
      <c r="DMJ2700" s="12"/>
      <c r="DMK2700" s="12"/>
      <c r="DML2700" s="12"/>
      <c r="DMM2700" s="12"/>
      <c r="DMN2700" s="12"/>
      <c r="DMO2700" s="12"/>
      <c r="DMP2700" s="12"/>
      <c r="DMQ2700" s="12"/>
    </row>
    <row r="2701" spans="3044:3059">
      <c r="DMB2701" s="12"/>
      <c r="DMC2701" s="12"/>
      <c r="DMD2701" s="12"/>
      <c r="DME2701" s="12"/>
      <c r="DMF2701" s="12"/>
      <c r="DMG2701" s="12"/>
      <c r="DMH2701" s="12"/>
      <c r="DMI2701" s="12"/>
      <c r="DMJ2701" s="12"/>
      <c r="DMK2701" s="12"/>
      <c r="DML2701" s="12"/>
      <c r="DMM2701" s="12"/>
      <c r="DMN2701" s="12"/>
      <c r="DMO2701" s="12"/>
      <c r="DMP2701" s="12"/>
      <c r="DMQ2701" s="12"/>
    </row>
    <row r="2702" spans="3044:3059">
      <c r="DMB2702" s="12"/>
      <c r="DMC2702" s="12"/>
      <c r="DMD2702" s="12"/>
      <c r="DME2702" s="12"/>
      <c r="DMF2702" s="12"/>
      <c r="DMG2702" s="12"/>
      <c r="DMH2702" s="12"/>
      <c r="DMI2702" s="12"/>
      <c r="DMJ2702" s="12"/>
      <c r="DMK2702" s="12"/>
      <c r="DML2702" s="12"/>
      <c r="DMM2702" s="12"/>
      <c r="DMN2702" s="12"/>
      <c r="DMO2702" s="12"/>
      <c r="DMP2702" s="12"/>
      <c r="DMQ2702" s="12"/>
    </row>
    <row r="2703" spans="3044:3059">
      <c r="DMB2703" s="12"/>
      <c r="DMC2703" s="12"/>
      <c r="DMD2703" s="12"/>
      <c r="DME2703" s="12"/>
      <c r="DMF2703" s="12"/>
      <c r="DMG2703" s="12"/>
      <c r="DMH2703" s="12"/>
      <c r="DMI2703" s="12"/>
      <c r="DMJ2703" s="12"/>
      <c r="DMK2703" s="12"/>
      <c r="DML2703" s="12"/>
      <c r="DMM2703" s="12"/>
      <c r="DMN2703" s="12"/>
      <c r="DMO2703" s="12"/>
      <c r="DMP2703" s="12"/>
      <c r="DMQ2703" s="12"/>
    </row>
    <row r="2704" spans="3044:3059">
      <c r="DMB2704" s="12"/>
      <c r="DMC2704" s="12"/>
      <c r="DMD2704" s="12"/>
      <c r="DME2704" s="12"/>
      <c r="DMF2704" s="12"/>
      <c r="DMG2704" s="12"/>
      <c r="DMH2704" s="12"/>
      <c r="DMI2704" s="12"/>
      <c r="DMJ2704" s="12"/>
      <c r="DMK2704" s="12"/>
      <c r="DML2704" s="12"/>
      <c r="DMM2704" s="12"/>
      <c r="DMN2704" s="12"/>
      <c r="DMO2704" s="12"/>
      <c r="DMP2704" s="12"/>
      <c r="DMQ2704" s="12"/>
    </row>
    <row r="2705" spans="3044:3059">
      <c r="DMB2705" s="12"/>
      <c r="DMC2705" s="12"/>
      <c r="DMD2705" s="12"/>
      <c r="DME2705" s="12"/>
      <c r="DMF2705" s="12"/>
      <c r="DMG2705" s="12"/>
      <c r="DMH2705" s="12"/>
      <c r="DMI2705" s="12"/>
      <c r="DMJ2705" s="12"/>
      <c r="DMK2705" s="12"/>
      <c r="DML2705" s="12"/>
      <c r="DMM2705" s="12"/>
      <c r="DMN2705" s="12"/>
      <c r="DMO2705" s="12"/>
      <c r="DMP2705" s="12"/>
      <c r="DMQ2705" s="12"/>
    </row>
    <row r="2706" spans="3044:3059">
      <c r="DMB2706" s="12"/>
      <c r="DMC2706" s="12"/>
      <c r="DMD2706" s="12"/>
      <c r="DME2706" s="12"/>
      <c r="DMF2706" s="12"/>
      <c r="DMG2706" s="12"/>
      <c r="DMH2706" s="12"/>
      <c r="DMI2706" s="12"/>
      <c r="DMJ2706" s="12"/>
      <c r="DMK2706" s="12"/>
      <c r="DML2706" s="12"/>
      <c r="DMM2706" s="12"/>
      <c r="DMN2706" s="12"/>
      <c r="DMO2706" s="12"/>
      <c r="DMP2706" s="12"/>
      <c r="DMQ2706" s="12"/>
    </row>
    <row r="2707" spans="3044:3059">
      <c r="DMB2707" s="12"/>
      <c r="DMC2707" s="12"/>
      <c r="DMD2707" s="12"/>
      <c r="DME2707" s="12"/>
      <c r="DMF2707" s="12"/>
      <c r="DMG2707" s="12"/>
      <c r="DMH2707" s="12"/>
      <c r="DMI2707" s="12"/>
      <c r="DMJ2707" s="12"/>
      <c r="DMK2707" s="12"/>
      <c r="DML2707" s="12"/>
      <c r="DMM2707" s="12"/>
      <c r="DMN2707" s="12"/>
      <c r="DMO2707" s="12"/>
      <c r="DMP2707" s="12"/>
      <c r="DMQ2707" s="12"/>
    </row>
    <row r="2708" spans="3044:3059">
      <c r="DMB2708" s="12"/>
      <c r="DMC2708" s="12"/>
      <c r="DMD2708" s="12"/>
      <c r="DME2708" s="12"/>
      <c r="DMF2708" s="12"/>
      <c r="DMG2708" s="12"/>
      <c r="DMH2708" s="12"/>
      <c r="DMI2708" s="12"/>
      <c r="DMJ2708" s="12"/>
      <c r="DMK2708" s="12"/>
      <c r="DML2708" s="12"/>
      <c r="DMM2708" s="12"/>
      <c r="DMN2708" s="12"/>
      <c r="DMO2708" s="12"/>
      <c r="DMP2708" s="12"/>
      <c r="DMQ2708" s="12"/>
    </row>
    <row r="2709" spans="3044:3059">
      <c r="DMB2709" s="12"/>
      <c r="DMC2709" s="12"/>
      <c r="DMD2709" s="12"/>
      <c r="DME2709" s="12"/>
      <c r="DMF2709" s="12"/>
      <c r="DMG2709" s="12"/>
      <c r="DMH2709" s="12"/>
      <c r="DMI2709" s="12"/>
      <c r="DMJ2709" s="12"/>
      <c r="DMK2709" s="12"/>
      <c r="DML2709" s="12"/>
      <c r="DMM2709" s="12"/>
      <c r="DMN2709" s="12"/>
      <c r="DMO2709" s="12"/>
      <c r="DMP2709" s="12"/>
      <c r="DMQ2709" s="12"/>
    </row>
    <row r="2710" spans="3044:3059">
      <c r="DMB2710" s="12"/>
      <c r="DMC2710" s="12"/>
      <c r="DMD2710" s="12"/>
      <c r="DME2710" s="12"/>
      <c r="DMF2710" s="12"/>
      <c r="DMG2710" s="12"/>
      <c r="DMH2710" s="12"/>
      <c r="DMI2710" s="12"/>
      <c r="DMJ2710" s="12"/>
      <c r="DMK2710" s="12"/>
      <c r="DML2710" s="12"/>
      <c r="DMM2710" s="12"/>
      <c r="DMN2710" s="12"/>
      <c r="DMO2710" s="12"/>
      <c r="DMP2710" s="12"/>
      <c r="DMQ2710" s="12"/>
    </row>
    <row r="2711" spans="3044:3059">
      <c r="DMB2711" s="12"/>
      <c r="DMC2711" s="12"/>
      <c r="DMD2711" s="12"/>
      <c r="DME2711" s="12"/>
      <c r="DMF2711" s="12"/>
      <c r="DMG2711" s="12"/>
      <c r="DMH2711" s="12"/>
      <c r="DMI2711" s="12"/>
      <c r="DMJ2711" s="12"/>
      <c r="DMK2711" s="12"/>
      <c r="DML2711" s="12"/>
      <c r="DMM2711" s="12"/>
      <c r="DMN2711" s="12"/>
      <c r="DMO2711" s="12"/>
      <c r="DMP2711" s="12"/>
      <c r="DMQ2711" s="12"/>
    </row>
    <row r="2712" spans="3044:3059">
      <c r="DMB2712" s="12"/>
      <c r="DMC2712" s="12"/>
      <c r="DMD2712" s="12"/>
      <c r="DME2712" s="12"/>
      <c r="DMF2712" s="12"/>
      <c r="DMG2712" s="12"/>
      <c r="DMH2712" s="12"/>
      <c r="DMI2712" s="12"/>
      <c r="DMJ2712" s="12"/>
      <c r="DMK2712" s="12"/>
      <c r="DML2712" s="12"/>
      <c r="DMM2712" s="12"/>
      <c r="DMN2712" s="12"/>
      <c r="DMO2712" s="12"/>
      <c r="DMP2712" s="12"/>
      <c r="DMQ2712" s="12"/>
    </row>
    <row r="2713" spans="3044:3059">
      <c r="DMB2713" s="12"/>
      <c r="DMC2713" s="12"/>
      <c r="DMD2713" s="12"/>
      <c r="DME2713" s="12"/>
      <c r="DMF2713" s="12"/>
      <c r="DMG2713" s="12"/>
      <c r="DMH2713" s="12"/>
      <c r="DMI2713" s="12"/>
      <c r="DMJ2713" s="12"/>
      <c r="DMK2713" s="12"/>
      <c r="DML2713" s="12"/>
      <c r="DMM2713" s="12"/>
      <c r="DMN2713" s="12"/>
      <c r="DMO2713" s="12"/>
      <c r="DMP2713" s="12"/>
      <c r="DMQ2713" s="12"/>
    </row>
    <row r="2714" spans="3044:3059">
      <c r="DMB2714" s="12"/>
      <c r="DMC2714" s="12"/>
      <c r="DMD2714" s="12"/>
      <c r="DME2714" s="12"/>
      <c r="DMF2714" s="12"/>
      <c r="DMG2714" s="12"/>
      <c r="DMH2714" s="12"/>
      <c r="DMI2714" s="12"/>
      <c r="DMJ2714" s="12"/>
      <c r="DMK2714" s="12"/>
      <c r="DML2714" s="12"/>
      <c r="DMM2714" s="12"/>
      <c r="DMN2714" s="12"/>
      <c r="DMO2714" s="12"/>
      <c r="DMP2714" s="12"/>
      <c r="DMQ2714" s="12"/>
    </row>
    <row r="2715" spans="3044:3059">
      <c r="DMB2715" s="12"/>
      <c r="DMC2715" s="12"/>
      <c r="DMD2715" s="12"/>
      <c r="DME2715" s="12"/>
      <c r="DMF2715" s="12"/>
      <c r="DMG2715" s="12"/>
      <c r="DMH2715" s="12"/>
      <c r="DMI2715" s="12"/>
      <c r="DMJ2715" s="12"/>
      <c r="DMK2715" s="12"/>
      <c r="DML2715" s="12"/>
      <c r="DMM2715" s="12"/>
      <c r="DMN2715" s="12"/>
      <c r="DMO2715" s="12"/>
      <c r="DMP2715" s="12"/>
      <c r="DMQ2715" s="12"/>
    </row>
    <row r="2716" spans="3044:3059">
      <c r="DMB2716" s="12"/>
      <c r="DMC2716" s="12"/>
      <c r="DMD2716" s="12"/>
      <c r="DME2716" s="12"/>
      <c r="DMF2716" s="12"/>
      <c r="DMG2716" s="12"/>
      <c r="DMH2716" s="12"/>
      <c r="DMI2716" s="12"/>
      <c r="DMJ2716" s="12"/>
      <c r="DMK2716" s="12"/>
      <c r="DML2716" s="12"/>
      <c r="DMM2716" s="12"/>
      <c r="DMN2716" s="12"/>
      <c r="DMO2716" s="12"/>
      <c r="DMP2716" s="12"/>
      <c r="DMQ2716" s="12"/>
    </row>
    <row r="2717" spans="3044:3059">
      <c r="DMB2717" s="12"/>
      <c r="DMC2717" s="12"/>
      <c r="DMD2717" s="12"/>
      <c r="DME2717" s="12"/>
      <c r="DMF2717" s="12"/>
      <c r="DMG2717" s="12"/>
      <c r="DMH2717" s="12"/>
      <c r="DMI2717" s="12"/>
      <c r="DMJ2717" s="12"/>
      <c r="DMK2717" s="12"/>
      <c r="DML2717" s="12"/>
      <c r="DMM2717" s="12"/>
      <c r="DMN2717" s="12"/>
      <c r="DMO2717" s="12"/>
      <c r="DMP2717" s="12"/>
      <c r="DMQ2717" s="12"/>
    </row>
    <row r="2718" spans="3044:3059">
      <c r="DMB2718" s="12"/>
      <c r="DMC2718" s="12"/>
      <c r="DMD2718" s="12"/>
      <c r="DME2718" s="12"/>
      <c r="DMF2718" s="12"/>
      <c r="DMG2718" s="12"/>
      <c r="DMH2718" s="12"/>
      <c r="DMI2718" s="12"/>
      <c r="DMJ2718" s="12"/>
      <c r="DMK2718" s="12"/>
      <c r="DML2718" s="12"/>
      <c r="DMM2718" s="12"/>
      <c r="DMN2718" s="12"/>
      <c r="DMO2718" s="12"/>
      <c r="DMP2718" s="12"/>
      <c r="DMQ2718" s="12"/>
    </row>
    <row r="2719" spans="3044:3059">
      <c r="DMB2719" s="12"/>
      <c r="DMC2719" s="12"/>
      <c r="DMD2719" s="12"/>
      <c r="DME2719" s="12"/>
      <c r="DMF2719" s="12"/>
      <c r="DMG2719" s="12"/>
      <c r="DMH2719" s="12"/>
      <c r="DMI2719" s="12"/>
      <c r="DMJ2719" s="12"/>
      <c r="DMK2719" s="12"/>
      <c r="DML2719" s="12"/>
      <c r="DMM2719" s="12"/>
      <c r="DMN2719" s="12"/>
      <c r="DMO2719" s="12"/>
      <c r="DMP2719" s="12"/>
      <c r="DMQ2719" s="12"/>
    </row>
    <row r="2720" spans="3044:3059">
      <c r="DMB2720" s="12"/>
      <c r="DMC2720" s="12"/>
      <c r="DMD2720" s="12"/>
      <c r="DME2720" s="12"/>
      <c r="DMF2720" s="12"/>
      <c r="DMG2720" s="12"/>
      <c r="DMH2720" s="12"/>
      <c r="DMI2720" s="12"/>
      <c r="DMJ2720" s="12"/>
      <c r="DMK2720" s="12"/>
      <c r="DML2720" s="12"/>
      <c r="DMM2720" s="12"/>
      <c r="DMN2720" s="12"/>
      <c r="DMO2720" s="12"/>
      <c r="DMP2720" s="12"/>
      <c r="DMQ2720" s="12"/>
    </row>
    <row r="2721" spans="3044:3059">
      <c r="DMB2721" s="12"/>
      <c r="DMC2721" s="12"/>
      <c r="DMD2721" s="12"/>
      <c r="DME2721" s="12"/>
      <c r="DMF2721" s="12"/>
      <c r="DMG2721" s="12"/>
      <c r="DMH2721" s="12"/>
      <c r="DMI2721" s="12"/>
      <c r="DMJ2721" s="12"/>
      <c r="DMK2721" s="12"/>
      <c r="DML2721" s="12"/>
      <c r="DMM2721" s="12"/>
      <c r="DMN2721" s="12"/>
      <c r="DMO2721" s="12"/>
      <c r="DMP2721" s="12"/>
      <c r="DMQ2721" s="12"/>
    </row>
    <row r="2722" spans="3044:3059">
      <c r="DMB2722" s="12"/>
      <c r="DMC2722" s="12"/>
      <c r="DMD2722" s="12"/>
      <c r="DME2722" s="12"/>
      <c r="DMF2722" s="12"/>
      <c r="DMG2722" s="12"/>
      <c r="DMH2722" s="12"/>
      <c r="DMI2722" s="12"/>
      <c r="DMJ2722" s="12"/>
      <c r="DMK2722" s="12"/>
      <c r="DML2722" s="12"/>
      <c r="DMM2722" s="12"/>
      <c r="DMN2722" s="12"/>
      <c r="DMO2722" s="12"/>
      <c r="DMP2722" s="12"/>
      <c r="DMQ2722" s="12"/>
    </row>
    <row r="2723" spans="3044:3059">
      <c r="DMB2723" s="12"/>
      <c r="DMC2723" s="12"/>
      <c r="DMD2723" s="12"/>
      <c r="DME2723" s="12"/>
      <c r="DMF2723" s="12"/>
      <c r="DMG2723" s="12"/>
      <c r="DMH2723" s="12"/>
      <c r="DMI2723" s="12"/>
      <c r="DMJ2723" s="12"/>
      <c r="DMK2723" s="12"/>
      <c r="DML2723" s="12"/>
      <c r="DMM2723" s="12"/>
      <c r="DMN2723" s="12"/>
      <c r="DMO2723" s="12"/>
      <c r="DMP2723" s="12"/>
      <c r="DMQ2723" s="12"/>
    </row>
    <row r="2724" spans="3044:3059">
      <c r="DMB2724" s="12"/>
      <c r="DMC2724" s="12"/>
      <c r="DMD2724" s="12"/>
      <c r="DME2724" s="12"/>
      <c r="DMF2724" s="12"/>
      <c r="DMG2724" s="12"/>
      <c r="DMH2724" s="12"/>
      <c r="DMI2724" s="12"/>
      <c r="DMJ2724" s="12"/>
      <c r="DMK2724" s="12"/>
      <c r="DML2724" s="12"/>
      <c r="DMM2724" s="12"/>
      <c r="DMN2724" s="12"/>
      <c r="DMO2724" s="12"/>
      <c r="DMP2724" s="12"/>
      <c r="DMQ2724" s="12"/>
    </row>
    <row r="2725" spans="3044:3059">
      <c r="DMB2725" s="12"/>
      <c r="DMC2725" s="12"/>
      <c r="DMD2725" s="12"/>
      <c r="DME2725" s="12"/>
      <c r="DMF2725" s="12"/>
      <c r="DMG2725" s="12"/>
      <c r="DMH2725" s="12"/>
      <c r="DMI2725" s="12"/>
      <c r="DMJ2725" s="12"/>
      <c r="DMK2725" s="12"/>
      <c r="DML2725" s="12"/>
      <c r="DMM2725" s="12"/>
      <c r="DMN2725" s="12"/>
      <c r="DMO2725" s="12"/>
      <c r="DMP2725" s="12"/>
      <c r="DMQ2725" s="12"/>
    </row>
    <row r="2726" spans="3044:3059">
      <c r="DMB2726" s="12"/>
      <c r="DMC2726" s="12"/>
      <c r="DMD2726" s="12"/>
      <c r="DME2726" s="12"/>
      <c r="DMF2726" s="12"/>
      <c r="DMG2726" s="12"/>
      <c r="DMH2726" s="12"/>
      <c r="DMI2726" s="12"/>
      <c r="DMJ2726" s="12"/>
      <c r="DMK2726" s="12"/>
      <c r="DML2726" s="12"/>
      <c r="DMM2726" s="12"/>
      <c r="DMN2726" s="12"/>
      <c r="DMO2726" s="12"/>
      <c r="DMP2726" s="12"/>
      <c r="DMQ2726" s="12"/>
    </row>
    <row r="2727" spans="3044:3059">
      <c r="DMB2727" s="12"/>
      <c r="DMC2727" s="12"/>
      <c r="DMD2727" s="12"/>
      <c r="DME2727" s="12"/>
      <c r="DMF2727" s="12"/>
      <c r="DMG2727" s="12"/>
      <c r="DMH2727" s="12"/>
      <c r="DMI2727" s="12"/>
      <c r="DMJ2727" s="12"/>
      <c r="DMK2727" s="12"/>
      <c r="DML2727" s="12"/>
      <c r="DMM2727" s="12"/>
      <c r="DMN2727" s="12"/>
      <c r="DMO2727" s="12"/>
      <c r="DMP2727" s="12"/>
      <c r="DMQ2727" s="12"/>
    </row>
    <row r="2728" spans="3044:3059">
      <c r="DMB2728" s="12"/>
      <c r="DMC2728" s="12"/>
      <c r="DMD2728" s="12"/>
      <c r="DME2728" s="12"/>
      <c r="DMF2728" s="12"/>
      <c r="DMG2728" s="12"/>
      <c r="DMH2728" s="12"/>
      <c r="DMI2728" s="12"/>
      <c r="DMJ2728" s="12"/>
      <c r="DMK2728" s="12"/>
      <c r="DML2728" s="12"/>
      <c r="DMM2728" s="12"/>
      <c r="DMN2728" s="12"/>
      <c r="DMO2728" s="12"/>
      <c r="DMP2728" s="12"/>
      <c r="DMQ2728" s="12"/>
    </row>
    <row r="2729" spans="3044:3059">
      <c r="DMB2729" s="12"/>
      <c r="DMC2729" s="12"/>
      <c r="DMD2729" s="12"/>
      <c r="DME2729" s="12"/>
      <c r="DMF2729" s="12"/>
      <c r="DMG2729" s="12"/>
      <c r="DMH2729" s="12"/>
      <c r="DMI2729" s="12"/>
      <c r="DMJ2729" s="12"/>
      <c r="DMK2729" s="12"/>
      <c r="DML2729" s="12"/>
      <c r="DMM2729" s="12"/>
      <c r="DMN2729" s="12"/>
      <c r="DMO2729" s="12"/>
      <c r="DMP2729" s="12"/>
      <c r="DMQ2729" s="12"/>
    </row>
    <row r="2730" spans="3044:3059">
      <c r="DMB2730" s="12"/>
      <c r="DMC2730" s="12"/>
      <c r="DMD2730" s="12"/>
      <c r="DME2730" s="12"/>
      <c r="DMF2730" s="12"/>
      <c r="DMG2730" s="12"/>
      <c r="DMH2730" s="12"/>
      <c r="DMI2730" s="12"/>
      <c r="DMJ2730" s="12"/>
      <c r="DMK2730" s="12"/>
      <c r="DML2730" s="12"/>
      <c r="DMM2730" s="12"/>
      <c r="DMN2730" s="12"/>
      <c r="DMO2730" s="12"/>
      <c r="DMP2730" s="12"/>
      <c r="DMQ2730" s="12"/>
    </row>
    <row r="2731" spans="3044:3059">
      <c r="DMB2731" s="12"/>
      <c r="DMC2731" s="12"/>
      <c r="DMD2731" s="12"/>
      <c r="DME2731" s="12"/>
      <c r="DMF2731" s="12"/>
      <c r="DMG2731" s="12"/>
      <c r="DMH2731" s="12"/>
      <c r="DMI2731" s="12"/>
      <c r="DMJ2731" s="12"/>
      <c r="DMK2731" s="12"/>
      <c r="DML2731" s="12"/>
      <c r="DMM2731" s="12"/>
      <c r="DMN2731" s="12"/>
      <c r="DMO2731" s="12"/>
      <c r="DMP2731" s="12"/>
      <c r="DMQ2731" s="12"/>
    </row>
    <row r="2732" spans="3044:3059">
      <c r="DMB2732" s="12"/>
      <c r="DMC2732" s="12"/>
      <c r="DMD2732" s="12"/>
      <c r="DME2732" s="12"/>
      <c r="DMF2732" s="12"/>
      <c r="DMG2732" s="12"/>
      <c r="DMH2732" s="12"/>
      <c r="DMI2732" s="12"/>
      <c r="DMJ2732" s="12"/>
      <c r="DMK2732" s="12"/>
      <c r="DML2732" s="12"/>
      <c r="DMM2732" s="12"/>
      <c r="DMN2732" s="12"/>
      <c r="DMO2732" s="12"/>
      <c r="DMP2732" s="12"/>
      <c r="DMQ2732" s="12"/>
    </row>
    <row r="2733" spans="3044:3059">
      <c r="DMB2733" s="12"/>
      <c r="DMC2733" s="12"/>
      <c r="DMD2733" s="12"/>
      <c r="DME2733" s="12"/>
      <c r="DMF2733" s="12"/>
      <c r="DMG2733" s="12"/>
      <c r="DMH2733" s="12"/>
      <c r="DMI2733" s="12"/>
      <c r="DMJ2733" s="12"/>
      <c r="DMK2733" s="12"/>
      <c r="DML2733" s="12"/>
      <c r="DMM2733" s="12"/>
      <c r="DMN2733" s="12"/>
      <c r="DMO2733" s="12"/>
      <c r="DMP2733" s="12"/>
      <c r="DMQ2733" s="12"/>
    </row>
    <row r="2734" spans="3044:3059">
      <c r="DMB2734" s="12"/>
      <c r="DMC2734" s="12"/>
      <c r="DMD2734" s="12"/>
      <c r="DME2734" s="12"/>
      <c r="DMF2734" s="12"/>
      <c r="DMG2734" s="12"/>
      <c r="DMH2734" s="12"/>
      <c r="DMI2734" s="12"/>
      <c r="DMJ2734" s="12"/>
      <c r="DMK2734" s="12"/>
      <c r="DML2734" s="12"/>
      <c r="DMM2734" s="12"/>
      <c r="DMN2734" s="12"/>
      <c r="DMO2734" s="12"/>
      <c r="DMP2734" s="12"/>
      <c r="DMQ2734" s="12"/>
    </row>
    <row r="2735" spans="3044:3059">
      <c r="DMB2735" s="12"/>
      <c r="DMC2735" s="12"/>
      <c r="DMD2735" s="12"/>
      <c r="DME2735" s="12"/>
      <c r="DMF2735" s="12"/>
      <c r="DMG2735" s="12"/>
      <c r="DMH2735" s="12"/>
      <c r="DMI2735" s="12"/>
      <c r="DMJ2735" s="12"/>
      <c r="DMK2735" s="12"/>
      <c r="DML2735" s="12"/>
      <c r="DMM2735" s="12"/>
      <c r="DMN2735" s="12"/>
      <c r="DMO2735" s="12"/>
      <c r="DMP2735" s="12"/>
      <c r="DMQ2735" s="12"/>
    </row>
    <row r="2736" spans="3044:3059">
      <c r="DMB2736" s="12"/>
      <c r="DMC2736" s="12"/>
      <c r="DMD2736" s="12"/>
      <c r="DME2736" s="12"/>
      <c r="DMF2736" s="12"/>
      <c r="DMG2736" s="12"/>
      <c r="DMH2736" s="12"/>
      <c r="DMI2736" s="12"/>
      <c r="DMJ2736" s="12"/>
      <c r="DMK2736" s="12"/>
      <c r="DML2736" s="12"/>
      <c r="DMM2736" s="12"/>
      <c r="DMN2736" s="12"/>
      <c r="DMO2736" s="12"/>
      <c r="DMP2736" s="12"/>
      <c r="DMQ2736" s="12"/>
    </row>
    <row r="2737" spans="3044:3059">
      <c r="DMB2737" s="12"/>
      <c r="DMC2737" s="12"/>
      <c r="DMD2737" s="12"/>
      <c r="DME2737" s="12"/>
      <c r="DMF2737" s="12"/>
      <c r="DMG2737" s="12"/>
      <c r="DMH2737" s="12"/>
      <c r="DMI2737" s="12"/>
      <c r="DMJ2737" s="12"/>
      <c r="DMK2737" s="12"/>
      <c r="DML2737" s="12"/>
      <c r="DMM2737" s="12"/>
      <c r="DMN2737" s="12"/>
      <c r="DMO2737" s="12"/>
      <c r="DMP2737" s="12"/>
      <c r="DMQ2737" s="12"/>
    </row>
    <row r="2738" spans="3044:3059">
      <c r="DMB2738" s="12"/>
      <c r="DMC2738" s="12"/>
      <c r="DMD2738" s="12"/>
      <c r="DME2738" s="12"/>
      <c r="DMF2738" s="12"/>
      <c r="DMG2738" s="12"/>
      <c r="DMH2738" s="12"/>
      <c r="DMI2738" s="12"/>
      <c r="DMJ2738" s="12"/>
      <c r="DMK2738" s="12"/>
      <c r="DML2738" s="12"/>
      <c r="DMM2738" s="12"/>
      <c r="DMN2738" s="12"/>
      <c r="DMO2738" s="12"/>
      <c r="DMP2738" s="12"/>
      <c r="DMQ2738" s="12"/>
    </row>
    <row r="2739" spans="3044:3059">
      <c r="DMB2739" s="12"/>
      <c r="DMC2739" s="12"/>
      <c r="DMD2739" s="12"/>
      <c r="DME2739" s="12"/>
      <c r="DMF2739" s="12"/>
      <c r="DMG2739" s="12"/>
      <c r="DMH2739" s="12"/>
      <c r="DMI2739" s="12"/>
      <c r="DMJ2739" s="12"/>
      <c r="DMK2739" s="12"/>
      <c r="DML2739" s="12"/>
      <c r="DMM2739" s="12"/>
      <c r="DMN2739" s="12"/>
      <c r="DMO2739" s="12"/>
      <c r="DMP2739" s="12"/>
      <c r="DMQ2739" s="12"/>
    </row>
    <row r="2740" spans="3044:3059">
      <c r="DMB2740" s="12"/>
      <c r="DMC2740" s="12"/>
      <c r="DMD2740" s="12"/>
      <c r="DME2740" s="12"/>
      <c r="DMF2740" s="12"/>
      <c r="DMG2740" s="12"/>
      <c r="DMH2740" s="12"/>
      <c r="DMI2740" s="12"/>
      <c r="DMJ2740" s="12"/>
      <c r="DMK2740" s="12"/>
      <c r="DML2740" s="12"/>
      <c r="DMM2740" s="12"/>
      <c r="DMN2740" s="12"/>
      <c r="DMO2740" s="12"/>
      <c r="DMP2740" s="12"/>
      <c r="DMQ2740" s="12"/>
    </row>
    <row r="2741" spans="3044:3059">
      <c r="DMB2741" s="12"/>
      <c r="DMC2741" s="12"/>
      <c r="DMD2741" s="12"/>
      <c r="DME2741" s="12"/>
      <c r="DMF2741" s="12"/>
      <c r="DMG2741" s="12"/>
      <c r="DMH2741" s="12"/>
      <c r="DMI2741" s="12"/>
      <c r="DMJ2741" s="12"/>
      <c r="DMK2741" s="12"/>
      <c r="DML2741" s="12"/>
      <c r="DMM2741" s="12"/>
      <c r="DMN2741" s="12"/>
      <c r="DMO2741" s="12"/>
      <c r="DMP2741" s="12"/>
      <c r="DMQ2741" s="12"/>
    </row>
    <row r="2742" spans="3044:3059">
      <c r="DMB2742" s="12"/>
      <c r="DMC2742" s="12"/>
      <c r="DMD2742" s="12"/>
      <c r="DME2742" s="12"/>
      <c r="DMF2742" s="12"/>
      <c r="DMG2742" s="12"/>
      <c r="DMH2742" s="12"/>
      <c r="DMI2742" s="12"/>
      <c r="DMJ2742" s="12"/>
      <c r="DMK2742" s="12"/>
      <c r="DML2742" s="12"/>
      <c r="DMM2742" s="12"/>
      <c r="DMN2742" s="12"/>
      <c r="DMO2742" s="12"/>
      <c r="DMP2742" s="12"/>
      <c r="DMQ2742" s="12"/>
    </row>
    <row r="2743" spans="3044:3059">
      <c r="DMB2743" s="12"/>
      <c r="DMC2743" s="12"/>
      <c r="DMD2743" s="12"/>
      <c r="DME2743" s="12"/>
      <c r="DMF2743" s="12"/>
      <c r="DMG2743" s="12"/>
      <c r="DMH2743" s="12"/>
      <c r="DMI2743" s="12"/>
      <c r="DMJ2743" s="12"/>
      <c r="DMK2743" s="12"/>
      <c r="DML2743" s="12"/>
      <c r="DMM2743" s="12"/>
      <c r="DMN2743" s="12"/>
      <c r="DMO2743" s="12"/>
      <c r="DMP2743" s="12"/>
      <c r="DMQ2743" s="12"/>
    </row>
    <row r="2744" spans="3044:3059">
      <c r="DMB2744" s="12"/>
      <c r="DMC2744" s="12"/>
      <c r="DMD2744" s="12"/>
      <c r="DME2744" s="12"/>
      <c r="DMF2744" s="12"/>
      <c r="DMG2744" s="12"/>
      <c r="DMH2744" s="12"/>
      <c r="DMI2744" s="12"/>
      <c r="DMJ2744" s="12"/>
      <c r="DMK2744" s="12"/>
      <c r="DML2744" s="12"/>
      <c r="DMM2744" s="12"/>
      <c r="DMN2744" s="12"/>
      <c r="DMO2744" s="12"/>
      <c r="DMP2744" s="12"/>
      <c r="DMQ2744" s="12"/>
    </row>
    <row r="2745" spans="3044:3059">
      <c r="DMB2745" s="12"/>
      <c r="DMC2745" s="12"/>
      <c r="DMD2745" s="12"/>
      <c r="DME2745" s="12"/>
      <c r="DMF2745" s="12"/>
      <c r="DMG2745" s="12"/>
      <c r="DMH2745" s="12"/>
      <c r="DMI2745" s="12"/>
      <c r="DMJ2745" s="12"/>
      <c r="DMK2745" s="12"/>
      <c r="DML2745" s="12"/>
      <c r="DMM2745" s="12"/>
      <c r="DMN2745" s="12"/>
      <c r="DMO2745" s="12"/>
      <c r="DMP2745" s="12"/>
      <c r="DMQ2745" s="12"/>
    </row>
    <row r="2746" spans="3044:3059">
      <c r="DMB2746" s="12"/>
      <c r="DMC2746" s="12"/>
      <c r="DMD2746" s="12"/>
      <c r="DME2746" s="12"/>
      <c r="DMF2746" s="12"/>
      <c r="DMG2746" s="12"/>
      <c r="DMH2746" s="12"/>
      <c r="DMI2746" s="12"/>
      <c r="DMJ2746" s="12"/>
      <c r="DMK2746" s="12"/>
      <c r="DML2746" s="12"/>
      <c r="DMM2746" s="12"/>
      <c r="DMN2746" s="12"/>
      <c r="DMO2746" s="12"/>
      <c r="DMP2746" s="12"/>
      <c r="DMQ2746" s="12"/>
    </row>
    <row r="2747" spans="3044:3059">
      <c r="DMB2747" s="12"/>
      <c r="DMC2747" s="12"/>
      <c r="DMD2747" s="12"/>
      <c r="DME2747" s="12"/>
      <c r="DMF2747" s="12"/>
      <c r="DMG2747" s="12"/>
      <c r="DMH2747" s="12"/>
      <c r="DMI2747" s="12"/>
      <c r="DMJ2747" s="12"/>
      <c r="DMK2747" s="12"/>
      <c r="DML2747" s="12"/>
      <c r="DMM2747" s="12"/>
      <c r="DMN2747" s="12"/>
      <c r="DMO2747" s="12"/>
      <c r="DMP2747" s="12"/>
      <c r="DMQ2747" s="12"/>
    </row>
    <row r="2748" spans="3044:3059">
      <c r="DMB2748" s="12"/>
      <c r="DMC2748" s="12"/>
      <c r="DMD2748" s="12"/>
      <c r="DME2748" s="12"/>
      <c r="DMF2748" s="12"/>
      <c r="DMG2748" s="12"/>
      <c r="DMH2748" s="12"/>
      <c r="DMI2748" s="12"/>
      <c r="DMJ2748" s="12"/>
      <c r="DMK2748" s="12"/>
      <c r="DML2748" s="12"/>
      <c r="DMM2748" s="12"/>
      <c r="DMN2748" s="12"/>
      <c r="DMO2748" s="12"/>
      <c r="DMP2748" s="12"/>
      <c r="DMQ2748" s="12"/>
    </row>
    <row r="2749" spans="3044:3059">
      <c r="DMB2749" s="12"/>
      <c r="DMC2749" s="12"/>
      <c r="DMD2749" s="12"/>
      <c r="DME2749" s="12"/>
      <c r="DMF2749" s="12"/>
      <c r="DMG2749" s="12"/>
      <c r="DMH2749" s="12"/>
      <c r="DMI2749" s="12"/>
      <c r="DMJ2749" s="12"/>
      <c r="DMK2749" s="12"/>
      <c r="DML2749" s="12"/>
      <c r="DMM2749" s="12"/>
      <c r="DMN2749" s="12"/>
      <c r="DMO2749" s="12"/>
      <c r="DMP2749" s="12"/>
      <c r="DMQ2749" s="12"/>
    </row>
    <row r="2750" spans="3044:3059">
      <c r="DMB2750" s="12"/>
      <c r="DMC2750" s="12"/>
      <c r="DMD2750" s="12"/>
      <c r="DME2750" s="12"/>
      <c r="DMF2750" s="12"/>
      <c r="DMG2750" s="12"/>
      <c r="DMH2750" s="12"/>
      <c r="DMI2750" s="12"/>
      <c r="DMJ2750" s="12"/>
      <c r="DMK2750" s="12"/>
      <c r="DML2750" s="12"/>
      <c r="DMM2750" s="12"/>
      <c r="DMN2750" s="12"/>
      <c r="DMO2750" s="12"/>
      <c r="DMP2750" s="12"/>
      <c r="DMQ2750" s="12"/>
    </row>
    <row r="2751" spans="3044:3059">
      <c r="DMB2751" s="12"/>
      <c r="DMC2751" s="12"/>
      <c r="DMD2751" s="12"/>
      <c r="DME2751" s="12"/>
      <c r="DMF2751" s="12"/>
      <c r="DMG2751" s="12"/>
      <c r="DMH2751" s="12"/>
      <c r="DMI2751" s="12"/>
      <c r="DMJ2751" s="12"/>
      <c r="DMK2751" s="12"/>
      <c r="DML2751" s="12"/>
      <c r="DMM2751" s="12"/>
      <c r="DMN2751" s="12"/>
      <c r="DMO2751" s="12"/>
      <c r="DMP2751" s="12"/>
      <c r="DMQ2751" s="12"/>
    </row>
    <row r="2752" spans="3044:3059">
      <c r="DMB2752" s="12"/>
      <c r="DMC2752" s="12"/>
      <c r="DMD2752" s="12"/>
      <c r="DME2752" s="12"/>
      <c r="DMF2752" s="12"/>
      <c r="DMG2752" s="12"/>
      <c r="DMH2752" s="12"/>
      <c r="DMI2752" s="12"/>
      <c r="DMJ2752" s="12"/>
      <c r="DMK2752" s="12"/>
      <c r="DML2752" s="12"/>
      <c r="DMM2752" s="12"/>
      <c r="DMN2752" s="12"/>
      <c r="DMO2752" s="12"/>
      <c r="DMP2752" s="12"/>
      <c r="DMQ2752" s="12"/>
    </row>
    <row r="2753" spans="3044:3059">
      <c r="DMB2753" s="12"/>
      <c r="DMC2753" s="12"/>
      <c r="DMD2753" s="12"/>
      <c r="DME2753" s="12"/>
      <c r="DMF2753" s="12"/>
      <c r="DMG2753" s="12"/>
      <c r="DMH2753" s="12"/>
      <c r="DMI2753" s="12"/>
      <c r="DMJ2753" s="12"/>
      <c r="DMK2753" s="12"/>
      <c r="DML2753" s="12"/>
      <c r="DMM2753" s="12"/>
      <c r="DMN2753" s="12"/>
      <c r="DMO2753" s="12"/>
      <c r="DMP2753" s="12"/>
      <c r="DMQ2753" s="12"/>
    </row>
    <row r="2754" spans="3044:3059">
      <c r="DMB2754" s="12"/>
      <c r="DMC2754" s="12"/>
      <c r="DMD2754" s="12"/>
      <c r="DME2754" s="12"/>
      <c r="DMF2754" s="12"/>
      <c r="DMG2754" s="12"/>
      <c r="DMH2754" s="12"/>
      <c r="DMI2754" s="12"/>
      <c r="DMJ2754" s="12"/>
      <c r="DMK2754" s="12"/>
      <c r="DML2754" s="12"/>
      <c r="DMM2754" s="12"/>
      <c r="DMN2754" s="12"/>
      <c r="DMO2754" s="12"/>
      <c r="DMP2754" s="12"/>
      <c r="DMQ2754" s="12"/>
    </row>
    <row r="2755" spans="3044:3059">
      <c r="DMB2755" s="12"/>
      <c r="DMC2755" s="12"/>
      <c r="DMD2755" s="12"/>
      <c r="DME2755" s="12"/>
      <c r="DMF2755" s="12"/>
      <c r="DMG2755" s="12"/>
      <c r="DMH2755" s="12"/>
      <c r="DMI2755" s="12"/>
      <c r="DMJ2755" s="12"/>
      <c r="DMK2755" s="12"/>
      <c r="DML2755" s="12"/>
      <c r="DMM2755" s="12"/>
      <c r="DMN2755" s="12"/>
      <c r="DMO2755" s="12"/>
      <c r="DMP2755" s="12"/>
      <c r="DMQ2755" s="12"/>
    </row>
    <row r="2756" spans="3044:3059">
      <c r="DMB2756" s="12"/>
      <c r="DMC2756" s="12"/>
      <c r="DMD2756" s="12"/>
      <c r="DME2756" s="12"/>
      <c r="DMF2756" s="12"/>
      <c r="DMG2756" s="12"/>
      <c r="DMH2756" s="12"/>
      <c r="DMI2756" s="12"/>
      <c r="DMJ2756" s="12"/>
      <c r="DMK2756" s="12"/>
      <c r="DML2756" s="12"/>
      <c r="DMM2756" s="12"/>
      <c r="DMN2756" s="12"/>
      <c r="DMO2756" s="12"/>
      <c r="DMP2756" s="12"/>
      <c r="DMQ2756" s="12"/>
    </row>
    <row r="2757" spans="3044:3059">
      <c r="DMB2757" s="12"/>
      <c r="DMC2757" s="12"/>
      <c r="DMD2757" s="12"/>
      <c r="DME2757" s="12"/>
      <c r="DMF2757" s="12"/>
      <c r="DMG2757" s="12"/>
      <c r="DMH2757" s="12"/>
      <c r="DMI2757" s="12"/>
      <c r="DMJ2757" s="12"/>
      <c r="DMK2757" s="12"/>
      <c r="DML2757" s="12"/>
      <c r="DMM2757" s="12"/>
      <c r="DMN2757" s="12"/>
      <c r="DMO2757" s="12"/>
      <c r="DMP2757" s="12"/>
      <c r="DMQ2757" s="12"/>
    </row>
    <row r="2758" spans="3044:3059">
      <c r="DMB2758" s="12"/>
      <c r="DMC2758" s="12"/>
      <c r="DMD2758" s="12"/>
      <c r="DME2758" s="12"/>
      <c r="DMF2758" s="12"/>
      <c r="DMG2758" s="12"/>
      <c r="DMH2758" s="12"/>
      <c r="DMI2758" s="12"/>
      <c r="DMJ2758" s="12"/>
      <c r="DMK2758" s="12"/>
      <c r="DML2758" s="12"/>
      <c r="DMM2758" s="12"/>
      <c r="DMN2758" s="12"/>
      <c r="DMO2758" s="12"/>
      <c r="DMP2758" s="12"/>
      <c r="DMQ2758" s="12"/>
    </row>
    <row r="2759" spans="3044:3059">
      <c r="DMB2759" s="12"/>
      <c r="DMC2759" s="12"/>
      <c r="DMD2759" s="12"/>
      <c r="DME2759" s="12"/>
      <c r="DMF2759" s="12"/>
      <c r="DMG2759" s="12"/>
      <c r="DMH2759" s="12"/>
      <c r="DMI2759" s="12"/>
      <c r="DMJ2759" s="12"/>
      <c r="DMK2759" s="12"/>
      <c r="DML2759" s="12"/>
      <c r="DMM2759" s="12"/>
      <c r="DMN2759" s="12"/>
      <c r="DMO2759" s="12"/>
      <c r="DMP2759" s="12"/>
      <c r="DMQ2759" s="12"/>
    </row>
    <row r="2760" spans="3044:3059">
      <c r="DMB2760" s="12"/>
      <c r="DMC2760" s="12"/>
      <c r="DMD2760" s="12"/>
      <c r="DME2760" s="12"/>
      <c r="DMF2760" s="12"/>
      <c r="DMG2760" s="12"/>
      <c r="DMH2760" s="12"/>
      <c r="DMI2760" s="12"/>
      <c r="DMJ2760" s="12"/>
      <c r="DMK2760" s="12"/>
      <c r="DML2760" s="12"/>
      <c r="DMM2760" s="12"/>
      <c r="DMN2760" s="12"/>
      <c r="DMO2760" s="12"/>
      <c r="DMP2760" s="12"/>
      <c r="DMQ2760" s="12"/>
    </row>
    <row r="2761" spans="3044:3059">
      <c r="DMB2761" s="12"/>
      <c r="DMC2761" s="12"/>
      <c r="DMD2761" s="12"/>
      <c r="DME2761" s="12"/>
      <c r="DMF2761" s="12"/>
      <c r="DMG2761" s="12"/>
      <c r="DMH2761" s="12"/>
      <c r="DMI2761" s="12"/>
      <c r="DMJ2761" s="12"/>
      <c r="DMK2761" s="12"/>
      <c r="DML2761" s="12"/>
      <c r="DMM2761" s="12"/>
      <c r="DMN2761" s="12"/>
      <c r="DMO2761" s="12"/>
      <c r="DMP2761" s="12"/>
      <c r="DMQ2761" s="12"/>
    </row>
    <row r="2762" spans="3044:3059">
      <c r="DMB2762" s="12"/>
      <c r="DMC2762" s="12"/>
      <c r="DMD2762" s="12"/>
      <c r="DME2762" s="12"/>
      <c r="DMF2762" s="12"/>
      <c r="DMG2762" s="12"/>
      <c r="DMH2762" s="12"/>
      <c r="DMI2762" s="12"/>
      <c r="DMJ2762" s="12"/>
      <c r="DMK2762" s="12"/>
      <c r="DML2762" s="12"/>
      <c r="DMM2762" s="12"/>
      <c r="DMN2762" s="12"/>
      <c r="DMO2762" s="12"/>
      <c r="DMP2762" s="12"/>
      <c r="DMQ2762" s="12"/>
    </row>
    <row r="2763" spans="3044:3059">
      <c r="DMB2763" s="12"/>
      <c r="DMC2763" s="12"/>
      <c r="DMD2763" s="12"/>
      <c r="DME2763" s="12"/>
      <c r="DMF2763" s="12"/>
      <c r="DMG2763" s="12"/>
      <c r="DMH2763" s="12"/>
      <c r="DMI2763" s="12"/>
      <c r="DMJ2763" s="12"/>
      <c r="DMK2763" s="12"/>
      <c r="DML2763" s="12"/>
      <c r="DMM2763" s="12"/>
      <c r="DMN2763" s="12"/>
      <c r="DMO2763" s="12"/>
      <c r="DMP2763" s="12"/>
      <c r="DMQ2763" s="12"/>
    </row>
    <row r="2764" spans="3044:3059">
      <c r="DMB2764" s="12"/>
      <c r="DMC2764" s="12"/>
      <c r="DMD2764" s="12"/>
      <c r="DME2764" s="12"/>
      <c r="DMF2764" s="12"/>
      <c r="DMG2764" s="12"/>
      <c r="DMH2764" s="12"/>
      <c r="DMI2764" s="12"/>
      <c r="DMJ2764" s="12"/>
      <c r="DMK2764" s="12"/>
      <c r="DML2764" s="12"/>
      <c r="DMM2764" s="12"/>
      <c r="DMN2764" s="12"/>
      <c r="DMO2764" s="12"/>
      <c r="DMP2764" s="12"/>
      <c r="DMQ2764" s="12"/>
    </row>
    <row r="2765" spans="3044:3059">
      <c r="DMB2765" s="12"/>
      <c r="DMC2765" s="12"/>
      <c r="DMD2765" s="12"/>
      <c r="DME2765" s="12"/>
      <c r="DMF2765" s="12"/>
      <c r="DMG2765" s="12"/>
      <c r="DMH2765" s="12"/>
      <c r="DMI2765" s="12"/>
      <c r="DMJ2765" s="12"/>
      <c r="DMK2765" s="12"/>
      <c r="DML2765" s="12"/>
      <c r="DMM2765" s="12"/>
      <c r="DMN2765" s="12"/>
      <c r="DMO2765" s="12"/>
      <c r="DMP2765" s="12"/>
      <c r="DMQ2765" s="12"/>
    </row>
    <row r="2766" spans="3044:3059">
      <c r="DMB2766" s="12"/>
      <c r="DMC2766" s="12"/>
      <c r="DMD2766" s="12"/>
      <c r="DME2766" s="12"/>
      <c r="DMF2766" s="12"/>
      <c r="DMG2766" s="12"/>
      <c r="DMH2766" s="12"/>
      <c r="DMI2766" s="12"/>
      <c r="DMJ2766" s="12"/>
      <c r="DMK2766" s="12"/>
      <c r="DML2766" s="12"/>
      <c r="DMM2766" s="12"/>
      <c r="DMN2766" s="12"/>
      <c r="DMO2766" s="12"/>
      <c r="DMP2766" s="12"/>
      <c r="DMQ2766" s="12"/>
    </row>
    <row r="2767" spans="3044:3059">
      <c r="DMB2767" s="12"/>
      <c r="DMC2767" s="12"/>
      <c r="DMD2767" s="12"/>
      <c r="DME2767" s="12"/>
      <c r="DMF2767" s="12"/>
      <c r="DMG2767" s="12"/>
      <c r="DMH2767" s="12"/>
      <c r="DMI2767" s="12"/>
      <c r="DMJ2767" s="12"/>
      <c r="DMK2767" s="12"/>
      <c r="DML2767" s="12"/>
      <c r="DMM2767" s="12"/>
      <c r="DMN2767" s="12"/>
      <c r="DMO2767" s="12"/>
      <c r="DMP2767" s="12"/>
      <c r="DMQ2767" s="12"/>
    </row>
    <row r="2768" spans="3044:3059">
      <c r="DMB2768" s="12"/>
      <c r="DMC2768" s="12"/>
      <c r="DMD2768" s="12"/>
      <c r="DME2768" s="12"/>
      <c r="DMF2768" s="12"/>
      <c r="DMG2768" s="12"/>
      <c r="DMH2768" s="12"/>
      <c r="DMI2768" s="12"/>
      <c r="DMJ2768" s="12"/>
      <c r="DMK2768" s="12"/>
      <c r="DML2768" s="12"/>
      <c r="DMM2768" s="12"/>
      <c r="DMN2768" s="12"/>
      <c r="DMO2768" s="12"/>
      <c r="DMP2768" s="12"/>
      <c r="DMQ2768" s="12"/>
    </row>
    <row r="2769" spans="3044:3059">
      <c r="DMB2769" s="12"/>
      <c r="DMC2769" s="12"/>
      <c r="DMD2769" s="12"/>
      <c r="DME2769" s="12"/>
      <c r="DMF2769" s="12"/>
      <c r="DMG2769" s="12"/>
      <c r="DMH2769" s="12"/>
      <c r="DMI2769" s="12"/>
      <c r="DMJ2769" s="12"/>
      <c r="DMK2769" s="12"/>
      <c r="DML2769" s="12"/>
      <c r="DMM2769" s="12"/>
      <c r="DMN2769" s="12"/>
      <c r="DMO2769" s="12"/>
      <c r="DMP2769" s="12"/>
      <c r="DMQ2769" s="12"/>
    </row>
    <row r="2770" spans="3044:3059">
      <c r="DMB2770" s="12"/>
      <c r="DMC2770" s="12"/>
      <c r="DMD2770" s="12"/>
      <c r="DME2770" s="12"/>
      <c r="DMF2770" s="12"/>
      <c r="DMG2770" s="12"/>
      <c r="DMH2770" s="12"/>
      <c r="DMI2770" s="12"/>
      <c r="DMJ2770" s="12"/>
      <c r="DMK2770" s="12"/>
      <c r="DML2770" s="12"/>
      <c r="DMM2770" s="12"/>
      <c r="DMN2770" s="12"/>
      <c r="DMO2770" s="12"/>
      <c r="DMP2770" s="12"/>
      <c r="DMQ2770" s="12"/>
    </row>
    <row r="2771" spans="3044:3059">
      <c r="DMB2771" s="12"/>
      <c r="DMC2771" s="12"/>
      <c r="DMD2771" s="12"/>
      <c r="DME2771" s="12"/>
      <c r="DMF2771" s="12"/>
      <c r="DMG2771" s="12"/>
      <c r="DMH2771" s="12"/>
      <c r="DMI2771" s="12"/>
      <c r="DMJ2771" s="12"/>
      <c r="DMK2771" s="12"/>
      <c r="DML2771" s="12"/>
      <c r="DMM2771" s="12"/>
      <c r="DMN2771" s="12"/>
      <c r="DMO2771" s="12"/>
      <c r="DMP2771" s="12"/>
      <c r="DMQ2771" s="12"/>
    </row>
    <row r="2772" spans="3044:3059">
      <c r="DMB2772" s="12"/>
      <c r="DMC2772" s="12"/>
      <c r="DMD2772" s="12"/>
      <c r="DME2772" s="12"/>
      <c r="DMF2772" s="12"/>
      <c r="DMG2772" s="12"/>
      <c r="DMH2772" s="12"/>
      <c r="DMI2772" s="12"/>
      <c r="DMJ2772" s="12"/>
      <c r="DMK2772" s="12"/>
      <c r="DML2772" s="12"/>
      <c r="DMM2772" s="12"/>
      <c r="DMN2772" s="12"/>
      <c r="DMO2772" s="12"/>
      <c r="DMP2772" s="12"/>
      <c r="DMQ2772" s="12"/>
    </row>
    <row r="2773" spans="3044:3059">
      <c r="DMB2773" s="12"/>
      <c r="DMC2773" s="12"/>
      <c r="DMD2773" s="12"/>
      <c r="DME2773" s="12"/>
      <c r="DMF2773" s="12"/>
      <c r="DMG2773" s="12"/>
      <c r="DMH2773" s="12"/>
      <c r="DMI2773" s="12"/>
      <c r="DMJ2773" s="12"/>
      <c r="DMK2773" s="12"/>
      <c r="DML2773" s="12"/>
      <c r="DMM2773" s="12"/>
      <c r="DMN2773" s="12"/>
      <c r="DMO2773" s="12"/>
      <c r="DMP2773" s="12"/>
      <c r="DMQ2773" s="12"/>
    </row>
    <row r="2774" spans="3044:3059">
      <c r="DMB2774" s="12"/>
      <c r="DMC2774" s="12"/>
      <c r="DMD2774" s="12"/>
      <c r="DME2774" s="12"/>
      <c r="DMF2774" s="12"/>
      <c r="DMG2774" s="12"/>
      <c r="DMH2774" s="12"/>
      <c r="DMI2774" s="12"/>
      <c r="DMJ2774" s="12"/>
      <c r="DMK2774" s="12"/>
      <c r="DML2774" s="12"/>
      <c r="DMM2774" s="12"/>
      <c r="DMN2774" s="12"/>
      <c r="DMO2774" s="12"/>
      <c r="DMP2774" s="12"/>
      <c r="DMQ2774" s="12"/>
    </row>
    <row r="2775" spans="3044:3059">
      <c r="DMB2775" s="12"/>
      <c r="DMC2775" s="12"/>
      <c r="DMD2775" s="12"/>
      <c r="DME2775" s="12"/>
      <c r="DMF2775" s="12"/>
      <c r="DMG2775" s="12"/>
      <c r="DMH2775" s="12"/>
      <c r="DMI2775" s="12"/>
      <c r="DMJ2775" s="12"/>
      <c r="DMK2775" s="12"/>
      <c r="DML2775" s="12"/>
      <c r="DMM2775" s="12"/>
      <c r="DMN2775" s="12"/>
      <c r="DMO2775" s="12"/>
      <c r="DMP2775" s="12"/>
      <c r="DMQ2775" s="12"/>
    </row>
    <row r="2776" spans="3044:3059">
      <c r="DMB2776" s="12"/>
      <c r="DMC2776" s="12"/>
      <c r="DMD2776" s="12"/>
      <c r="DME2776" s="12"/>
      <c r="DMF2776" s="12"/>
      <c r="DMG2776" s="12"/>
      <c r="DMH2776" s="12"/>
      <c r="DMI2776" s="12"/>
      <c r="DMJ2776" s="12"/>
      <c r="DMK2776" s="12"/>
      <c r="DML2776" s="12"/>
      <c r="DMM2776" s="12"/>
      <c r="DMN2776" s="12"/>
      <c r="DMO2776" s="12"/>
      <c r="DMP2776" s="12"/>
      <c r="DMQ2776" s="12"/>
    </row>
    <row r="2777" spans="3044:3059">
      <c r="DMB2777" s="12"/>
      <c r="DMC2777" s="12"/>
      <c r="DMD2777" s="12"/>
      <c r="DME2777" s="12"/>
      <c r="DMF2777" s="12"/>
      <c r="DMG2777" s="12"/>
      <c r="DMH2777" s="12"/>
      <c r="DMI2777" s="12"/>
      <c r="DMJ2777" s="12"/>
      <c r="DMK2777" s="12"/>
      <c r="DML2777" s="12"/>
      <c r="DMM2777" s="12"/>
      <c r="DMN2777" s="12"/>
      <c r="DMO2777" s="12"/>
      <c r="DMP2777" s="12"/>
      <c r="DMQ2777" s="12"/>
    </row>
    <row r="2778" spans="3044:3059">
      <c r="DMB2778" s="12"/>
      <c r="DMC2778" s="12"/>
      <c r="DMD2778" s="12"/>
      <c r="DME2778" s="12"/>
      <c r="DMF2778" s="12"/>
      <c r="DMG2778" s="12"/>
      <c r="DMH2778" s="12"/>
      <c r="DMI2778" s="12"/>
      <c r="DMJ2778" s="12"/>
      <c r="DMK2778" s="12"/>
      <c r="DML2778" s="12"/>
      <c r="DMM2778" s="12"/>
      <c r="DMN2778" s="12"/>
      <c r="DMO2778" s="12"/>
      <c r="DMP2778" s="12"/>
      <c r="DMQ2778" s="12"/>
    </row>
    <row r="2779" spans="3044:3059">
      <c r="DMB2779" s="12"/>
      <c r="DMC2779" s="12"/>
      <c r="DMD2779" s="12"/>
      <c r="DME2779" s="12"/>
      <c r="DMF2779" s="12"/>
      <c r="DMG2779" s="12"/>
      <c r="DMH2779" s="12"/>
      <c r="DMI2779" s="12"/>
      <c r="DMJ2779" s="12"/>
      <c r="DMK2779" s="12"/>
      <c r="DML2779" s="12"/>
      <c r="DMM2779" s="12"/>
      <c r="DMN2779" s="12"/>
      <c r="DMO2779" s="12"/>
      <c r="DMP2779" s="12"/>
      <c r="DMQ2779" s="12"/>
    </row>
    <row r="2780" spans="3044:3059">
      <c r="DMB2780" s="12"/>
      <c r="DMC2780" s="12"/>
      <c r="DMD2780" s="12"/>
      <c r="DME2780" s="12"/>
      <c r="DMF2780" s="12"/>
      <c r="DMG2780" s="12"/>
      <c r="DMH2780" s="12"/>
      <c r="DMI2780" s="12"/>
      <c r="DMJ2780" s="12"/>
      <c r="DMK2780" s="12"/>
      <c r="DML2780" s="12"/>
      <c r="DMM2780" s="12"/>
      <c r="DMN2780" s="12"/>
      <c r="DMO2780" s="12"/>
      <c r="DMP2780" s="12"/>
      <c r="DMQ2780" s="12"/>
    </row>
    <row r="2781" spans="3044:3059">
      <c r="DMB2781" s="12"/>
      <c r="DMC2781" s="12"/>
      <c r="DMD2781" s="12"/>
      <c r="DME2781" s="12"/>
      <c r="DMF2781" s="12"/>
      <c r="DMG2781" s="12"/>
      <c r="DMH2781" s="12"/>
      <c r="DMI2781" s="12"/>
      <c r="DMJ2781" s="12"/>
      <c r="DMK2781" s="12"/>
      <c r="DML2781" s="12"/>
      <c r="DMM2781" s="12"/>
      <c r="DMN2781" s="12"/>
      <c r="DMO2781" s="12"/>
      <c r="DMP2781" s="12"/>
      <c r="DMQ2781" s="12"/>
    </row>
    <row r="2782" spans="3044:3059">
      <c r="DMB2782" s="12"/>
      <c r="DMC2782" s="12"/>
      <c r="DMD2782" s="12"/>
      <c r="DME2782" s="12"/>
      <c r="DMF2782" s="12"/>
      <c r="DMG2782" s="12"/>
      <c r="DMH2782" s="12"/>
      <c r="DMI2782" s="12"/>
      <c r="DMJ2782" s="12"/>
      <c r="DMK2782" s="12"/>
      <c r="DML2782" s="12"/>
      <c r="DMM2782" s="12"/>
      <c r="DMN2782" s="12"/>
      <c r="DMO2782" s="12"/>
      <c r="DMP2782" s="12"/>
      <c r="DMQ2782" s="12"/>
    </row>
    <row r="2783" spans="3044:3059">
      <c r="DMB2783" s="12"/>
      <c r="DMC2783" s="12"/>
      <c r="DMD2783" s="12"/>
      <c r="DME2783" s="12"/>
      <c r="DMF2783" s="12"/>
      <c r="DMG2783" s="12"/>
      <c r="DMH2783" s="12"/>
      <c r="DMI2783" s="12"/>
      <c r="DMJ2783" s="12"/>
      <c r="DMK2783" s="12"/>
      <c r="DML2783" s="12"/>
      <c r="DMM2783" s="12"/>
      <c r="DMN2783" s="12"/>
      <c r="DMO2783" s="12"/>
      <c r="DMP2783" s="12"/>
      <c r="DMQ2783" s="12"/>
    </row>
    <row r="2784" spans="3044:3059">
      <c r="DMB2784" s="12"/>
      <c r="DMC2784" s="12"/>
      <c r="DMD2784" s="12"/>
      <c r="DME2784" s="12"/>
      <c r="DMF2784" s="12"/>
      <c r="DMG2784" s="12"/>
      <c r="DMH2784" s="12"/>
      <c r="DMI2784" s="12"/>
      <c r="DMJ2784" s="12"/>
      <c r="DMK2784" s="12"/>
      <c r="DML2784" s="12"/>
      <c r="DMM2784" s="12"/>
      <c r="DMN2784" s="12"/>
      <c r="DMO2784" s="12"/>
      <c r="DMP2784" s="12"/>
      <c r="DMQ2784" s="12"/>
    </row>
    <row r="2785" spans="3044:3059">
      <c r="DMB2785" s="12"/>
      <c r="DMC2785" s="12"/>
      <c r="DMD2785" s="12"/>
      <c r="DME2785" s="12"/>
      <c r="DMF2785" s="12"/>
      <c r="DMG2785" s="12"/>
      <c r="DMH2785" s="12"/>
      <c r="DMI2785" s="12"/>
      <c r="DMJ2785" s="12"/>
      <c r="DMK2785" s="12"/>
      <c r="DML2785" s="12"/>
      <c r="DMM2785" s="12"/>
      <c r="DMN2785" s="12"/>
      <c r="DMO2785" s="12"/>
      <c r="DMP2785" s="12"/>
      <c r="DMQ2785" s="12"/>
    </row>
    <row r="2786" spans="3044:3059">
      <c r="DMB2786" s="12"/>
      <c r="DMC2786" s="12"/>
      <c r="DMD2786" s="12"/>
      <c r="DME2786" s="12"/>
      <c r="DMF2786" s="12"/>
      <c r="DMG2786" s="12"/>
      <c r="DMH2786" s="12"/>
      <c r="DMI2786" s="12"/>
      <c r="DMJ2786" s="12"/>
      <c r="DMK2786" s="12"/>
      <c r="DML2786" s="12"/>
      <c r="DMM2786" s="12"/>
      <c r="DMN2786" s="12"/>
      <c r="DMO2786" s="12"/>
      <c r="DMP2786" s="12"/>
      <c r="DMQ2786" s="12"/>
    </row>
    <row r="2787" spans="3044:3059">
      <c r="DMB2787" s="12"/>
      <c r="DMC2787" s="12"/>
      <c r="DMD2787" s="12"/>
      <c r="DME2787" s="12"/>
      <c r="DMF2787" s="12"/>
      <c r="DMG2787" s="12"/>
      <c r="DMH2787" s="12"/>
      <c r="DMI2787" s="12"/>
      <c r="DMJ2787" s="12"/>
      <c r="DMK2787" s="12"/>
      <c r="DML2787" s="12"/>
      <c r="DMM2787" s="12"/>
      <c r="DMN2787" s="12"/>
      <c r="DMO2787" s="12"/>
      <c r="DMP2787" s="12"/>
      <c r="DMQ2787" s="12"/>
    </row>
    <row r="2788" spans="3044:3059">
      <c r="DMB2788" s="12"/>
      <c r="DMC2788" s="12"/>
      <c r="DMD2788" s="12"/>
      <c r="DME2788" s="12"/>
      <c r="DMF2788" s="12"/>
      <c r="DMG2788" s="12"/>
      <c r="DMH2788" s="12"/>
      <c r="DMI2788" s="12"/>
      <c r="DMJ2788" s="12"/>
      <c r="DMK2788" s="12"/>
      <c r="DML2788" s="12"/>
      <c r="DMM2788" s="12"/>
      <c r="DMN2788" s="12"/>
      <c r="DMO2788" s="12"/>
      <c r="DMP2788" s="12"/>
      <c r="DMQ2788" s="12"/>
    </row>
    <row r="2789" spans="3044:3059">
      <c r="DMB2789" s="12"/>
      <c r="DMC2789" s="12"/>
      <c r="DMD2789" s="12"/>
      <c r="DME2789" s="12"/>
      <c r="DMF2789" s="12"/>
      <c r="DMG2789" s="12"/>
      <c r="DMH2789" s="12"/>
      <c r="DMI2789" s="12"/>
      <c r="DMJ2789" s="12"/>
      <c r="DMK2789" s="12"/>
      <c r="DML2789" s="12"/>
      <c r="DMM2789" s="12"/>
      <c r="DMN2789" s="12"/>
      <c r="DMO2789" s="12"/>
      <c r="DMP2789" s="12"/>
      <c r="DMQ2789" s="12"/>
    </row>
    <row r="2790" spans="3044:3059">
      <c r="DMB2790" s="12"/>
      <c r="DMC2790" s="12"/>
      <c r="DMD2790" s="12"/>
      <c r="DME2790" s="12"/>
      <c r="DMF2790" s="12"/>
      <c r="DMG2790" s="12"/>
      <c r="DMH2790" s="12"/>
      <c r="DMI2790" s="12"/>
      <c r="DMJ2790" s="12"/>
      <c r="DMK2790" s="12"/>
      <c r="DML2790" s="12"/>
      <c r="DMM2790" s="12"/>
      <c r="DMN2790" s="12"/>
      <c r="DMO2790" s="12"/>
      <c r="DMP2790" s="12"/>
      <c r="DMQ2790" s="12"/>
    </row>
    <row r="2791" spans="3044:3059">
      <c r="DMB2791" s="12"/>
      <c r="DMC2791" s="12"/>
      <c r="DMD2791" s="12"/>
      <c r="DME2791" s="12"/>
      <c r="DMF2791" s="12"/>
      <c r="DMG2791" s="12"/>
      <c r="DMH2791" s="12"/>
      <c r="DMI2791" s="12"/>
      <c r="DMJ2791" s="12"/>
      <c r="DMK2791" s="12"/>
      <c r="DML2791" s="12"/>
      <c r="DMM2791" s="12"/>
      <c r="DMN2791" s="12"/>
      <c r="DMO2791" s="12"/>
      <c r="DMP2791" s="12"/>
      <c r="DMQ2791" s="12"/>
    </row>
    <row r="2792" spans="3044:3059">
      <c r="DMB2792" s="12"/>
      <c r="DMC2792" s="12"/>
      <c r="DMD2792" s="12"/>
      <c r="DME2792" s="12"/>
      <c r="DMF2792" s="12"/>
      <c r="DMG2792" s="12"/>
      <c r="DMH2792" s="12"/>
      <c r="DMI2792" s="12"/>
      <c r="DMJ2792" s="12"/>
      <c r="DMK2792" s="12"/>
      <c r="DML2792" s="12"/>
      <c r="DMM2792" s="12"/>
      <c r="DMN2792" s="12"/>
      <c r="DMO2792" s="12"/>
      <c r="DMP2792" s="12"/>
      <c r="DMQ2792" s="12"/>
    </row>
    <row r="2793" spans="3044:3059">
      <c r="DMB2793" s="12"/>
      <c r="DMC2793" s="12"/>
      <c r="DMD2793" s="12"/>
      <c r="DME2793" s="12"/>
      <c r="DMF2793" s="12"/>
      <c r="DMG2793" s="12"/>
      <c r="DMH2793" s="12"/>
      <c r="DMI2793" s="12"/>
      <c r="DMJ2793" s="12"/>
      <c r="DMK2793" s="12"/>
      <c r="DML2793" s="12"/>
      <c r="DMM2793" s="12"/>
      <c r="DMN2793" s="12"/>
      <c r="DMO2793" s="12"/>
      <c r="DMP2793" s="12"/>
      <c r="DMQ2793" s="12"/>
    </row>
    <row r="2794" spans="3044:3059">
      <c r="DMB2794" s="12"/>
      <c r="DMC2794" s="12"/>
      <c r="DMD2794" s="12"/>
      <c r="DME2794" s="12"/>
      <c r="DMF2794" s="12"/>
      <c r="DMG2794" s="12"/>
      <c r="DMH2794" s="12"/>
      <c r="DMI2794" s="12"/>
      <c r="DMJ2794" s="12"/>
      <c r="DMK2794" s="12"/>
      <c r="DML2794" s="12"/>
      <c r="DMM2794" s="12"/>
      <c r="DMN2794" s="12"/>
      <c r="DMO2794" s="12"/>
      <c r="DMP2794" s="12"/>
      <c r="DMQ2794" s="12"/>
    </row>
    <row r="2795" spans="3044:3059">
      <c r="DMB2795" s="12"/>
      <c r="DMC2795" s="12"/>
      <c r="DMD2795" s="12"/>
      <c r="DME2795" s="12"/>
      <c r="DMF2795" s="12"/>
      <c r="DMG2795" s="12"/>
      <c r="DMH2795" s="12"/>
      <c r="DMI2795" s="12"/>
      <c r="DMJ2795" s="12"/>
      <c r="DMK2795" s="12"/>
      <c r="DML2795" s="12"/>
      <c r="DMM2795" s="12"/>
      <c r="DMN2795" s="12"/>
      <c r="DMO2795" s="12"/>
      <c r="DMP2795" s="12"/>
      <c r="DMQ2795" s="12"/>
    </row>
    <row r="2796" spans="3044:3059">
      <c r="DMB2796" s="12"/>
      <c r="DMC2796" s="12"/>
      <c r="DMD2796" s="12"/>
      <c r="DME2796" s="12"/>
      <c r="DMF2796" s="12"/>
      <c r="DMG2796" s="12"/>
      <c r="DMH2796" s="12"/>
      <c r="DMI2796" s="12"/>
      <c r="DMJ2796" s="12"/>
      <c r="DMK2796" s="12"/>
      <c r="DML2796" s="12"/>
      <c r="DMM2796" s="12"/>
      <c r="DMN2796" s="12"/>
      <c r="DMO2796" s="12"/>
      <c r="DMP2796" s="12"/>
      <c r="DMQ2796" s="12"/>
    </row>
    <row r="2797" spans="3044:3059">
      <c r="DMB2797" s="12"/>
      <c r="DMC2797" s="12"/>
      <c r="DMD2797" s="12"/>
      <c r="DME2797" s="12"/>
      <c r="DMF2797" s="12"/>
      <c r="DMG2797" s="12"/>
      <c r="DMH2797" s="12"/>
      <c r="DMI2797" s="12"/>
      <c r="DMJ2797" s="12"/>
      <c r="DMK2797" s="12"/>
      <c r="DML2797" s="12"/>
      <c r="DMM2797" s="12"/>
      <c r="DMN2797" s="12"/>
      <c r="DMO2797" s="12"/>
      <c r="DMP2797" s="12"/>
      <c r="DMQ2797" s="12"/>
    </row>
    <row r="2798" spans="3044:3059">
      <c r="DMB2798" s="12"/>
      <c r="DMC2798" s="12"/>
      <c r="DMD2798" s="12"/>
      <c r="DME2798" s="12"/>
      <c r="DMF2798" s="12"/>
      <c r="DMG2798" s="12"/>
      <c r="DMH2798" s="12"/>
      <c r="DMI2798" s="12"/>
      <c r="DMJ2798" s="12"/>
      <c r="DMK2798" s="12"/>
      <c r="DML2798" s="12"/>
      <c r="DMM2798" s="12"/>
      <c r="DMN2798" s="12"/>
      <c r="DMO2798" s="12"/>
      <c r="DMP2798" s="12"/>
      <c r="DMQ2798" s="12"/>
    </row>
    <row r="2799" spans="3044:3059">
      <c r="DMB2799" s="12"/>
      <c r="DMC2799" s="12"/>
      <c r="DMD2799" s="12"/>
      <c r="DME2799" s="12"/>
      <c r="DMF2799" s="12"/>
      <c r="DMG2799" s="12"/>
      <c r="DMH2799" s="12"/>
      <c r="DMI2799" s="12"/>
      <c r="DMJ2799" s="12"/>
      <c r="DMK2799" s="12"/>
      <c r="DML2799" s="12"/>
      <c r="DMM2799" s="12"/>
      <c r="DMN2799" s="12"/>
      <c r="DMO2799" s="12"/>
      <c r="DMP2799" s="12"/>
      <c r="DMQ2799" s="12"/>
    </row>
    <row r="2800" spans="3044:3059">
      <c r="DMB2800" s="12"/>
      <c r="DMC2800" s="12"/>
      <c r="DMD2800" s="12"/>
      <c r="DME2800" s="12"/>
      <c r="DMF2800" s="12"/>
      <c r="DMG2800" s="12"/>
      <c r="DMH2800" s="12"/>
      <c r="DMI2800" s="12"/>
      <c r="DMJ2800" s="12"/>
      <c r="DMK2800" s="12"/>
      <c r="DML2800" s="12"/>
      <c r="DMM2800" s="12"/>
      <c r="DMN2800" s="12"/>
      <c r="DMO2800" s="12"/>
      <c r="DMP2800" s="12"/>
      <c r="DMQ2800" s="12"/>
    </row>
    <row r="2801" spans="3044:3059">
      <c r="DMB2801" s="12"/>
      <c r="DMC2801" s="12"/>
      <c r="DMD2801" s="12"/>
      <c r="DME2801" s="12"/>
      <c r="DMF2801" s="12"/>
      <c r="DMG2801" s="12"/>
      <c r="DMH2801" s="12"/>
      <c r="DMI2801" s="12"/>
      <c r="DMJ2801" s="12"/>
      <c r="DMK2801" s="12"/>
      <c r="DML2801" s="12"/>
      <c r="DMM2801" s="12"/>
      <c r="DMN2801" s="12"/>
      <c r="DMO2801" s="12"/>
      <c r="DMP2801" s="12"/>
      <c r="DMQ2801" s="12"/>
    </row>
    <row r="2802" spans="3044:3059">
      <c r="DMB2802" s="12"/>
      <c r="DMC2802" s="12"/>
      <c r="DMD2802" s="12"/>
      <c r="DME2802" s="12"/>
      <c r="DMF2802" s="12"/>
      <c r="DMG2802" s="12"/>
      <c r="DMH2802" s="12"/>
      <c r="DMI2802" s="12"/>
      <c r="DMJ2802" s="12"/>
      <c r="DMK2802" s="12"/>
      <c r="DML2802" s="12"/>
      <c r="DMM2802" s="12"/>
      <c r="DMN2802" s="12"/>
      <c r="DMO2802" s="12"/>
      <c r="DMP2802" s="12"/>
      <c r="DMQ2802" s="12"/>
    </row>
    <row r="2803" spans="3044:3059">
      <c r="DMB2803" s="12"/>
      <c r="DMC2803" s="12"/>
      <c r="DMD2803" s="12"/>
      <c r="DME2803" s="12"/>
      <c r="DMF2803" s="12"/>
      <c r="DMG2803" s="12"/>
      <c r="DMH2803" s="12"/>
      <c r="DMI2803" s="12"/>
      <c r="DMJ2803" s="12"/>
      <c r="DMK2803" s="12"/>
      <c r="DML2803" s="12"/>
      <c r="DMM2803" s="12"/>
      <c r="DMN2803" s="12"/>
      <c r="DMO2803" s="12"/>
      <c r="DMP2803" s="12"/>
      <c r="DMQ2803" s="12"/>
    </row>
    <row r="2804" spans="3044:3059">
      <c r="DMB2804" s="12"/>
      <c r="DMC2804" s="12"/>
      <c r="DMD2804" s="12"/>
      <c r="DME2804" s="12"/>
      <c r="DMF2804" s="12"/>
      <c r="DMG2804" s="12"/>
      <c r="DMH2804" s="12"/>
      <c r="DMI2804" s="12"/>
      <c r="DMJ2804" s="12"/>
      <c r="DMK2804" s="12"/>
      <c r="DML2804" s="12"/>
      <c r="DMM2804" s="12"/>
      <c r="DMN2804" s="12"/>
      <c r="DMO2804" s="12"/>
      <c r="DMP2804" s="12"/>
      <c r="DMQ2804" s="12"/>
    </row>
    <row r="2805" spans="3044:3059">
      <c r="DMB2805" s="12"/>
      <c r="DMC2805" s="12"/>
      <c r="DMD2805" s="12"/>
      <c r="DME2805" s="12"/>
      <c r="DMF2805" s="12"/>
      <c r="DMG2805" s="12"/>
      <c r="DMH2805" s="12"/>
      <c r="DMI2805" s="12"/>
      <c r="DMJ2805" s="12"/>
      <c r="DMK2805" s="12"/>
      <c r="DML2805" s="12"/>
      <c r="DMM2805" s="12"/>
      <c r="DMN2805" s="12"/>
      <c r="DMO2805" s="12"/>
      <c r="DMP2805" s="12"/>
      <c r="DMQ2805" s="12"/>
    </row>
    <row r="2806" spans="3044:3059">
      <c r="DMB2806" s="12"/>
      <c r="DMC2806" s="12"/>
      <c r="DMD2806" s="12"/>
      <c r="DME2806" s="12"/>
      <c r="DMF2806" s="12"/>
      <c r="DMG2806" s="12"/>
      <c r="DMH2806" s="12"/>
      <c r="DMI2806" s="12"/>
      <c r="DMJ2806" s="12"/>
      <c r="DMK2806" s="12"/>
      <c r="DML2806" s="12"/>
      <c r="DMM2806" s="12"/>
      <c r="DMN2806" s="12"/>
      <c r="DMO2806" s="12"/>
      <c r="DMP2806" s="12"/>
      <c r="DMQ2806" s="12"/>
    </row>
    <row r="2807" spans="3044:3059">
      <c r="DMB2807" s="12"/>
      <c r="DMC2807" s="12"/>
      <c r="DMD2807" s="12"/>
      <c r="DME2807" s="12"/>
      <c r="DMF2807" s="12"/>
      <c r="DMG2807" s="12"/>
      <c r="DMH2807" s="12"/>
      <c r="DMI2807" s="12"/>
      <c r="DMJ2807" s="12"/>
      <c r="DMK2807" s="12"/>
      <c r="DML2807" s="12"/>
      <c r="DMM2807" s="12"/>
      <c r="DMN2807" s="12"/>
      <c r="DMO2807" s="12"/>
      <c r="DMP2807" s="12"/>
      <c r="DMQ2807" s="12"/>
    </row>
    <row r="2808" spans="3044:3059">
      <c r="DMB2808" s="12"/>
      <c r="DMC2808" s="12"/>
      <c r="DMD2808" s="12"/>
      <c r="DME2808" s="12"/>
      <c r="DMF2808" s="12"/>
      <c r="DMG2808" s="12"/>
      <c r="DMH2808" s="12"/>
      <c r="DMI2808" s="12"/>
      <c r="DMJ2808" s="12"/>
      <c r="DMK2808" s="12"/>
      <c r="DML2808" s="12"/>
      <c r="DMM2808" s="12"/>
      <c r="DMN2808" s="12"/>
      <c r="DMO2808" s="12"/>
      <c r="DMP2808" s="12"/>
      <c r="DMQ2808" s="12"/>
    </row>
    <row r="2809" spans="3044:3059">
      <c r="DMB2809" s="12"/>
      <c r="DMC2809" s="12"/>
      <c r="DMD2809" s="12"/>
      <c r="DME2809" s="12"/>
      <c r="DMF2809" s="12"/>
      <c r="DMG2809" s="12"/>
      <c r="DMH2809" s="12"/>
      <c r="DMI2809" s="12"/>
      <c r="DMJ2809" s="12"/>
      <c r="DMK2809" s="12"/>
      <c r="DML2809" s="12"/>
      <c r="DMM2809" s="12"/>
      <c r="DMN2809" s="12"/>
      <c r="DMO2809" s="12"/>
      <c r="DMP2809" s="12"/>
      <c r="DMQ2809" s="12"/>
    </row>
    <row r="2810" spans="3044:3059">
      <c r="DMB2810" s="12"/>
      <c r="DMC2810" s="12"/>
      <c r="DMD2810" s="12"/>
      <c r="DME2810" s="12"/>
      <c r="DMF2810" s="12"/>
      <c r="DMG2810" s="12"/>
      <c r="DMH2810" s="12"/>
      <c r="DMI2810" s="12"/>
      <c r="DMJ2810" s="12"/>
      <c r="DMK2810" s="12"/>
      <c r="DML2810" s="12"/>
      <c r="DMM2810" s="12"/>
      <c r="DMN2810" s="12"/>
      <c r="DMO2810" s="12"/>
      <c r="DMP2810" s="12"/>
      <c r="DMQ2810" s="12"/>
    </row>
    <row r="2811" spans="3044:3059">
      <c r="DMB2811" s="12"/>
      <c r="DMC2811" s="12"/>
      <c r="DMD2811" s="12"/>
      <c r="DME2811" s="12"/>
      <c r="DMF2811" s="12"/>
      <c r="DMG2811" s="12"/>
      <c r="DMH2811" s="12"/>
      <c r="DMI2811" s="12"/>
      <c r="DMJ2811" s="12"/>
      <c r="DMK2811" s="12"/>
      <c r="DML2811" s="12"/>
      <c r="DMM2811" s="12"/>
      <c r="DMN2811" s="12"/>
      <c r="DMO2811" s="12"/>
      <c r="DMP2811" s="12"/>
      <c r="DMQ2811" s="12"/>
    </row>
    <row r="2812" spans="3044:3059">
      <c r="DMB2812" s="12"/>
      <c r="DMC2812" s="12"/>
      <c r="DMD2812" s="12"/>
      <c r="DME2812" s="12"/>
      <c r="DMF2812" s="12"/>
      <c r="DMG2812" s="12"/>
      <c r="DMH2812" s="12"/>
      <c r="DMI2812" s="12"/>
      <c r="DMJ2812" s="12"/>
      <c r="DMK2812" s="12"/>
      <c r="DML2812" s="12"/>
      <c r="DMM2812" s="12"/>
      <c r="DMN2812" s="12"/>
      <c r="DMO2812" s="12"/>
      <c r="DMP2812" s="12"/>
      <c r="DMQ2812" s="12"/>
    </row>
    <row r="2813" spans="3044:3059">
      <c r="DMB2813" s="12"/>
      <c r="DMC2813" s="12"/>
      <c r="DMD2813" s="12"/>
      <c r="DME2813" s="12"/>
      <c r="DMF2813" s="12"/>
      <c r="DMG2813" s="12"/>
      <c r="DMH2813" s="12"/>
      <c r="DMI2813" s="12"/>
      <c r="DMJ2813" s="12"/>
      <c r="DMK2813" s="12"/>
      <c r="DML2813" s="12"/>
      <c r="DMM2813" s="12"/>
      <c r="DMN2813" s="12"/>
      <c r="DMO2813" s="12"/>
      <c r="DMP2813" s="12"/>
      <c r="DMQ2813" s="12"/>
    </row>
    <row r="2814" spans="3044:3059">
      <c r="DMB2814" s="12"/>
      <c r="DMC2814" s="12"/>
      <c r="DMD2814" s="12"/>
      <c r="DME2814" s="12"/>
      <c r="DMF2814" s="12"/>
      <c r="DMG2814" s="12"/>
      <c r="DMH2814" s="12"/>
      <c r="DMI2814" s="12"/>
      <c r="DMJ2814" s="12"/>
      <c r="DMK2814" s="12"/>
      <c r="DML2814" s="12"/>
      <c r="DMM2814" s="12"/>
      <c r="DMN2814" s="12"/>
      <c r="DMO2814" s="12"/>
      <c r="DMP2814" s="12"/>
      <c r="DMQ2814" s="12"/>
    </row>
    <row r="2815" spans="3044:3059">
      <c r="DMB2815" s="12"/>
      <c r="DMC2815" s="12"/>
      <c r="DMD2815" s="12"/>
      <c r="DME2815" s="12"/>
      <c r="DMF2815" s="12"/>
      <c r="DMG2815" s="12"/>
      <c r="DMH2815" s="12"/>
      <c r="DMI2815" s="12"/>
      <c r="DMJ2815" s="12"/>
      <c r="DMK2815" s="12"/>
      <c r="DML2815" s="12"/>
      <c r="DMM2815" s="12"/>
      <c r="DMN2815" s="12"/>
      <c r="DMO2815" s="12"/>
      <c r="DMP2815" s="12"/>
      <c r="DMQ2815" s="12"/>
    </row>
    <row r="2816" spans="3044:3059">
      <c r="DMB2816" s="12"/>
      <c r="DMC2816" s="12"/>
      <c r="DMD2816" s="12"/>
      <c r="DME2816" s="12"/>
      <c r="DMF2816" s="12"/>
      <c r="DMG2816" s="12"/>
      <c r="DMH2816" s="12"/>
      <c r="DMI2816" s="12"/>
      <c r="DMJ2816" s="12"/>
      <c r="DMK2816" s="12"/>
      <c r="DML2816" s="12"/>
      <c r="DMM2816" s="12"/>
      <c r="DMN2816" s="12"/>
      <c r="DMO2816" s="12"/>
      <c r="DMP2816" s="12"/>
      <c r="DMQ2816" s="12"/>
    </row>
    <row r="2817" spans="3044:3059">
      <c r="DMB2817" s="12"/>
      <c r="DMC2817" s="12"/>
      <c r="DMD2817" s="12"/>
      <c r="DME2817" s="12"/>
      <c r="DMF2817" s="12"/>
      <c r="DMG2817" s="12"/>
      <c r="DMH2817" s="12"/>
      <c r="DMI2817" s="12"/>
      <c r="DMJ2817" s="12"/>
      <c r="DMK2817" s="12"/>
      <c r="DML2817" s="12"/>
      <c r="DMM2817" s="12"/>
      <c r="DMN2817" s="12"/>
      <c r="DMO2817" s="12"/>
      <c r="DMP2817" s="12"/>
      <c r="DMQ2817" s="12"/>
    </row>
    <row r="2818" spans="3044:3059">
      <c r="DMB2818" s="12"/>
      <c r="DMC2818" s="12"/>
      <c r="DMD2818" s="12"/>
      <c r="DME2818" s="12"/>
      <c r="DMF2818" s="12"/>
      <c r="DMG2818" s="12"/>
      <c r="DMH2818" s="12"/>
      <c r="DMI2818" s="12"/>
      <c r="DMJ2818" s="12"/>
      <c r="DMK2818" s="12"/>
      <c r="DML2818" s="12"/>
      <c r="DMM2818" s="12"/>
      <c r="DMN2818" s="12"/>
      <c r="DMO2818" s="12"/>
      <c r="DMP2818" s="12"/>
      <c r="DMQ2818" s="12"/>
    </row>
    <row r="2819" spans="3044:3059">
      <c r="DMB2819" s="12"/>
      <c r="DMC2819" s="12"/>
      <c r="DMD2819" s="12"/>
      <c r="DME2819" s="12"/>
      <c r="DMF2819" s="12"/>
      <c r="DMG2819" s="12"/>
      <c r="DMH2819" s="12"/>
      <c r="DMI2819" s="12"/>
      <c r="DMJ2819" s="12"/>
      <c r="DMK2819" s="12"/>
      <c r="DML2819" s="12"/>
      <c r="DMM2819" s="12"/>
      <c r="DMN2819" s="12"/>
      <c r="DMO2819" s="12"/>
      <c r="DMP2819" s="12"/>
      <c r="DMQ2819" s="12"/>
    </row>
    <row r="2820" spans="3044:3059">
      <c r="DMB2820" s="12"/>
      <c r="DMC2820" s="12"/>
      <c r="DMD2820" s="12"/>
      <c r="DME2820" s="12"/>
      <c r="DMF2820" s="12"/>
      <c r="DMG2820" s="12"/>
      <c r="DMH2820" s="12"/>
      <c r="DMI2820" s="12"/>
      <c r="DMJ2820" s="12"/>
      <c r="DMK2820" s="12"/>
      <c r="DML2820" s="12"/>
      <c r="DMM2820" s="12"/>
      <c r="DMN2820" s="12"/>
      <c r="DMO2820" s="12"/>
      <c r="DMP2820" s="12"/>
      <c r="DMQ2820" s="12"/>
    </row>
    <row r="2821" spans="3044:3059">
      <c r="DMB2821" s="12"/>
      <c r="DMC2821" s="12"/>
      <c r="DMD2821" s="12"/>
      <c r="DME2821" s="12"/>
      <c r="DMF2821" s="12"/>
      <c r="DMG2821" s="12"/>
      <c r="DMH2821" s="12"/>
      <c r="DMI2821" s="12"/>
      <c r="DMJ2821" s="12"/>
      <c r="DMK2821" s="12"/>
      <c r="DML2821" s="12"/>
      <c r="DMM2821" s="12"/>
      <c r="DMN2821" s="12"/>
      <c r="DMO2821" s="12"/>
      <c r="DMP2821" s="12"/>
      <c r="DMQ2821" s="12"/>
    </row>
    <row r="2822" spans="3044:3059">
      <c r="DMB2822" s="12"/>
      <c r="DMC2822" s="12"/>
      <c r="DMD2822" s="12"/>
      <c r="DME2822" s="12"/>
      <c r="DMF2822" s="12"/>
      <c r="DMG2822" s="12"/>
      <c r="DMH2822" s="12"/>
      <c r="DMI2822" s="12"/>
      <c r="DMJ2822" s="12"/>
      <c r="DMK2822" s="12"/>
      <c r="DML2822" s="12"/>
      <c r="DMM2822" s="12"/>
      <c r="DMN2822" s="12"/>
      <c r="DMO2822" s="12"/>
      <c r="DMP2822" s="12"/>
      <c r="DMQ2822" s="12"/>
    </row>
    <row r="2823" spans="3044:3059">
      <c r="DMB2823" s="12"/>
      <c r="DMC2823" s="12"/>
      <c r="DMD2823" s="12"/>
      <c r="DME2823" s="12"/>
      <c r="DMF2823" s="12"/>
      <c r="DMG2823" s="12"/>
      <c r="DMH2823" s="12"/>
      <c r="DMI2823" s="12"/>
      <c r="DMJ2823" s="12"/>
      <c r="DMK2823" s="12"/>
      <c r="DML2823" s="12"/>
      <c r="DMM2823" s="12"/>
      <c r="DMN2823" s="12"/>
      <c r="DMO2823" s="12"/>
      <c r="DMP2823" s="12"/>
      <c r="DMQ2823" s="12"/>
    </row>
    <row r="2824" spans="3044:3059">
      <c r="DMB2824" s="12"/>
      <c r="DMC2824" s="12"/>
      <c r="DMD2824" s="12"/>
      <c r="DME2824" s="12"/>
      <c r="DMF2824" s="12"/>
      <c r="DMG2824" s="12"/>
      <c r="DMH2824" s="12"/>
      <c r="DMI2824" s="12"/>
      <c r="DMJ2824" s="12"/>
      <c r="DMK2824" s="12"/>
      <c r="DML2824" s="12"/>
      <c r="DMM2824" s="12"/>
      <c r="DMN2824" s="12"/>
      <c r="DMO2824" s="12"/>
      <c r="DMP2824" s="12"/>
      <c r="DMQ2824" s="12"/>
    </row>
    <row r="2825" spans="3044:3059">
      <c r="DMB2825" s="12"/>
      <c r="DMC2825" s="12"/>
      <c r="DMD2825" s="12"/>
      <c r="DME2825" s="12"/>
      <c r="DMF2825" s="12"/>
      <c r="DMG2825" s="12"/>
      <c r="DMH2825" s="12"/>
      <c r="DMI2825" s="12"/>
      <c r="DMJ2825" s="12"/>
      <c r="DMK2825" s="12"/>
      <c r="DML2825" s="12"/>
      <c r="DMM2825" s="12"/>
      <c r="DMN2825" s="12"/>
      <c r="DMO2825" s="12"/>
      <c r="DMP2825" s="12"/>
      <c r="DMQ2825" s="12"/>
    </row>
    <row r="2826" spans="3044:3059">
      <c r="DMB2826" s="12"/>
      <c r="DMC2826" s="12"/>
      <c r="DMD2826" s="12"/>
      <c r="DME2826" s="12"/>
      <c r="DMF2826" s="12"/>
      <c r="DMG2826" s="12"/>
      <c r="DMH2826" s="12"/>
      <c r="DMI2826" s="12"/>
      <c r="DMJ2826" s="12"/>
      <c r="DMK2826" s="12"/>
      <c r="DML2826" s="12"/>
      <c r="DMM2826" s="12"/>
      <c r="DMN2826" s="12"/>
      <c r="DMO2826" s="12"/>
      <c r="DMP2826" s="12"/>
      <c r="DMQ2826" s="12"/>
    </row>
    <row r="2827" spans="3044:3059">
      <c r="DMB2827" s="12"/>
      <c r="DMC2827" s="12"/>
      <c r="DMD2827" s="12"/>
      <c r="DME2827" s="12"/>
      <c r="DMF2827" s="12"/>
      <c r="DMG2827" s="12"/>
      <c r="DMH2827" s="12"/>
      <c r="DMI2827" s="12"/>
      <c r="DMJ2827" s="12"/>
      <c r="DMK2827" s="12"/>
      <c r="DML2827" s="12"/>
      <c r="DMM2827" s="12"/>
      <c r="DMN2827" s="12"/>
      <c r="DMO2827" s="12"/>
      <c r="DMP2827" s="12"/>
      <c r="DMQ2827" s="12"/>
    </row>
    <row r="2828" spans="3044:3059">
      <c r="DMB2828" s="12"/>
      <c r="DMC2828" s="12"/>
      <c r="DMD2828" s="12"/>
      <c r="DME2828" s="12"/>
      <c r="DMF2828" s="12"/>
      <c r="DMG2828" s="12"/>
      <c r="DMH2828" s="12"/>
      <c r="DMI2828" s="12"/>
      <c r="DMJ2828" s="12"/>
      <c r="DMK2828" s="12"/>
      <c r="DML2828" s="12"/>
      <c r="DMM2828" s="12"/>
      <c r="DMN2828" s="12"/>
      <c r="DMO2828" s="12"/>
      <c r="DMP2828" s="12"/>
      <c r="DMQ2828" s="12"/>
    </row>
    <row r="2829" spans="3044:3059">
      <c r="DMB2829" s="12"/>
      <c r="DMC2829" s="12"/>
      <c r="DMD2829" s="12"/>
      <c r="DME2829" s="12"/>
      <c r="DMF2829" s="12"/>
      <c r="DMG2829" s="12"/>
      <c r="DMH2829" s="12"/>
      <c r="DMI2829" s="12"/>
      <c r="DMJ2829" s="12"/>
      <c r="DMK2829" s="12"/>
      <c r="DML2829" s="12"/>
      <c r="DMM2829" s="12"/>
      <c r="DMN2829" s="12"/>
      <c r="DMO2829" s="12"/>
      <c r="DMP2829" s="12"/>
      <c r="DMQ2829" s="12"/>
    </row>
    <row r="2830" spans="3044:3059">
      <c r="DMB2830" s="12"/>
      <c r="DMC2830" s="12"/>
      <c r="DMD2830" s="12"/>
      <c r="DME2830" s="12"/>
      <c r="DMF2830" s="12"/>
      <c r="DMG2830" s="12"/>
      <c r="DMH2830" s="12"/>
      <c r="DMI2830" s="12"/>
      <c r="DMJ2830" s="12"/>
      <c r="DMK2830" s="12"/>
      <c r="DML2830" s="12"/>
      <c r="DMM2830" s="12"/>
      <c r="DMN2830" s="12"/>
      <c r="DMO2830" s="12"/>
      <c r="DMP2830" s="12"/>
      <c r="DMQ2830" s="12"/>
    </row>
    <row r="2831" spans="3044:3059">
      <c r="DMB2831" s="12"/>
      <c r="DMC2831" s="12"/>
      <c r="DMD2831" s="12"/>
      <c r="DME2831" s="12"/>
      <c r="DMF2831" s="12"/>
      <c r="DMG2831" s="12"/>
      <c r="DMH2831" s="12"/>
      <c r="DMI2831" s="12"/>
      <c r="DMJ2831" s="12"/>
      <c r="DMK2831" s="12"/>
      <c r="DML2831" s="12"/>
      <c r="DMM2831" s="12"/>
      <c r="DMN2831" s="12"/>
      <c r="DMO2831" s="12"/>
      <c r="DMP2831" s="12"/>
      <c r="DMQ2831" s="12"/>
    </row>
    <row r="2832" spans="3044:3059">
      <c r="DMB2832" s="12"/>
      <c r="DMC2832" s="12"/>
      <c r="DMD2832" s="12"/>
      <c r="DME2832" s="12"/>
      <c r="DMF2832" s="12"/>
      <c r="DMG2832" s="12"/>
      <c r="DMH2832" s="12"/>
      <c r="DMI2832" s="12"/>
      <c r="DMJ2832" s="12"/>
      <c r="DMK2832" s="12"/>
      <c r="DML2832" s="12"/>
      <c r="DMM2832" s="12"/>
      <c r="DMN2832" s="12"/>
      <c r="DMO2832" s="12"/>
      <c r="DMP2832" s="12"/>
      <c r="DMQ2832" s="12"/>
    </row>
    <row r="2833" spans="3044:3059">
      <c r="DMB2833" s="12"/>
      <c r="DMC2833" s="12"/>
      <c r="DMD2833" s="12"/>
      <c r="DME2833" s="12"/>
      <c r="DMF2833" s="12"/>
      <c r="DMG2833" s="12"/>
      <c r="DMH2833" s="12"/>
      <c r="DMI2833" s="12"/>
      <c r="DMJ2833" s="12"/>
      <c r="DMK2833" s="12"/>
      <c r="DML2833" s="12"/>
      <c r="DMM2833" s="12"/>
      <c r="DMN2833" s="12"/>
      <c r="DMO2833" s="12"/>
      <c r="DMP2833" s="12"/>
      <c r="DMQ2833" s="12"/>
    </row>
    <row r="2834" spans="3044:3059">
      <c r="DMB2834" s="12"/>
      <c r="DMC2834" s="12"/>
      <c r="DMD2834" s="12"/>
      <c r="DME2834" s="12"/>
      <c r="DMF2834" s="12"/>
      <c r="DMG2834" s="12"/>
      <c r="DMH2834" s="12"/>
      <c r="DMI2834" s="12"/>
      <c r="DMJ2834" s="12"/>
      <c r="DMK2834" s="12"/>
      <c r="DML2834" s="12"/>
      <c r="DMM2834" s="12"/>
      <c r="DMN2834" s="12"/>
      <c r="DMO2834" s="12"/>
      <c r="DMP2834" s="12"/>
      <c r="DMQ2834" s="12"/>
    </row>
    <row r="2835" spans="3044:3059">
      <c r="DMB2835" s="12"/>
      <c r="DMC2835" s="12"/>
      <c r="DMD2835" s="12"/>
      <c r="DME2835" s="12"/>
      <c r="DMF2835" s="12"/>
      <c r="DMG2835" s="12"/>
      <c r="DMH2835" s="12"/>
      <c r="DMI2835" s="12"/>
      <c r="DMJ2835" s="12"/>
      <c r="DMK2835" s="12"/>
      <c r="DML2835" s="12"/>
      <c r="DMM2835" s="12"/>
      <c r="DMN2835" s="12"/>
      <c r="DMO2835" s="12"/>
      <c r="DMP2835" s="12"/>
      <c r="DMQ2835" s="12"/>
    </row>
    <row r="2836" spans="3044:3059">
      <c r="DMB2836" s="12"/>
      <c r="DMC2836" s="12"/>
      <c r="DMD2836" s="12"/>
      <c r="DME2836" s="12"/>
      <c r="DMF2836" s="12"/>
      <c r="DMG2836" s="12"/>
      <c r="DMH2836" s="12"/>
      <c r="DMI2836" s="12"/>
      <c r="DMJ2836" s="12"/>
      <c r="DMK2836" s="12"/>
      <c r="DML2836" s="12"/>
      <c r="DMM2836" s="12"/>
      <c r="DMN2836" s="12"/>
      <c r="DMO2836" s="12"/>
      <c r="DMP2836" s="12"/>
      <c r="DMQ2836" s="12"/>
    </row>
    <row r="2837" spans="3044:3059">
      <c r="DMB2837" s="12"/>
      <c r="DMC2837" s="12"/>
      <c r="DMD2837" s="12"/>
      <c r="DME2837" s="12"/>
      <c r="DMF2837" s="12"/>
      <c r="DMG2837" s="12"/>
      <c r="DMH2837" s="12"/>
      <c r="DMI2837" s="12"/>
      <c r="DMJ2837" s="12"/>
      <c r="DMK2837" s="12"/>
      <c r="DML2837" s="12"/>
      <c r="DMM2837" s="12"/>
      <c r="DMN2837" s="12"/>
      <c r="DMO2837" s="12"/>
      <c r="DMP2837" s="12"/>
      <c r="DMQ2837" s="12"/>
    </row>
    <row r="2838" spans="3044:3059">
      <c r="DMB2838" s="12"/>
      <c r="DMC2838" s="12"/>
      <c r="DMD2838" s="12"/>
      <c r="DME2838" s="12"/>
      <c r="DMF2838" s="12"/>
      <c r="DMG2838" s="12"/>
      <c r="DMH2838" s="12"/>
      <c r="DMI2838" s="12"/>
      <c r="DMJ2838" s="12"/>
      <c r="DMK2838" s="12"/>
      <c r="DML2838" s="12"/>
      <c r="DMM2838" s="12"/>
      <c r="DMN2838" s="12"/>
      <c r="DMO2838" s="12"/>
      <c r="DMP2838" s="12"/>
      <c r="DMQ2838" s="12"/>
    </row>
    <row r="2839" spans="3044:3059">
      <c r="DMB2839" s="12"/>
      <c r="DMC2839" s="12"/>
      <c r="DMD2839" s="12"/>
      <c r="DME2839" s="12"/>
      <c r="DMF2839" s="12"/>
      <c r="DMG2839" s="12"/>
      <c r="DMH2839" s="12"/>
      <c r="DMI2839" s="12"/>
      <c r="DMJ2839" s="12"/>
      <c r="DMK2839" s="12"/>
      <c r="DML2839" s="12"/>
      <c r="DMM2839" s="12"/>
      <c r="DMN2839" s="12"/>
      <c r="DMO2839" s="12"/>
      <c r="DMP2839" s="12"/>
      <c r="DMQ2839" s="12"/>
    </row>
    <row r="2840" spans="3044:3059">
      <c r="DMB2840" s="12"/>
      <c r="DMC2840" s="12"/>
      <c r="DMD2840" s="12"/>
      <c r="DME2840" s="12"/>
      <c r="DMF2840" s="12"/>
      <c r="DMG2840" s="12"/>
      <c r="DMH2840" s="12"/>
      <c r="DMI2840" s="12"/>
      <c r="DMJ2840" s="12"/>
      <c r="DMK2840" s="12"/>
      <c r="DML2840" s="12"/>
      <c r="DMM2840" s="12"/>
      <c r="DMN2840" s="12"/>
      <c r="DMO2840" s="12"/>
      <c r="DMP2840" s="12"/>
      <c r="DMQ2840" s="12"/>
    </row>
    <row r="2841" spans="3044:3059">
      <c r="DMB2841" s="12"/>
      <c r="DMC2841" s="12"/>
      <c r="DMD2841" s="12"/>
      <c r="DME2841" s="12"/>
      <c r="DMF2841" s="12"/>
      <c r="DMG2841" s="12"/>
      <c r="DMH2841" s="12"/>
      <c r="DMI2841" s="12"/>
      <c r="DMJ2841" s="12"/>
      <c r="DMK2841" s="12"/>
      <c r="DML2841" s="12"/>
      <c r="DMM2841" s="12"/>
      <c r="DMN2841" s="12"/>
      <c r="DMO2841" s="12"/>
      <c r="DMP2841" s="12"/>
      <c r="DMQ2841" s="12"/>
    </row>
    <row r="2842" spans="3044:3059">
      <c r="DMB2842" s="12"/>
      <c r="DMC2842" s="12"/>
      <c r="DMD2842" s="12"/>
      <c r="DME2842" s="12"/>
      <c r="DMF2842" s="12"/>
      <c r="DMG2842" s="12"/>
      <c r="DMH2842" s="12"/>
      <c r="DMI2842" s="12"/>
      <c r="DMJ2842" s="12"/>
      <c r="DMK2842" s="12"/>
      <c r="DML2842" s="12"/>
      <c r="DMM2842" s="12"/>
      <c r="DMN2842" s="12"/>
      <c r="DMO2842" s="12"/>
      <c r="DMP2842" s="12"/>
      <c r="DMQ2842" s="12"/>
    </row>
    <row r="2843" spans="3044:3059">
      <c r="DMB2843" s="12"/>
      <c r="DMC2843" s="12"/>
      <c r="DMD2843" s="12"/>
      <c r="DME2843" s="12"/>
      <c r="DMF2843" s="12"/>
      <c r="DMG2843" s="12"/>
      <c r="DMH2843" s="12"/>
      <c r="DMI2843" s="12"/>
      <c r="DMJ2843" s="12"/>
      <c r="DMK2843" s="12"/>
      <c r="DML2843" s="12"/>
      <c r="DMM2843" s="12"/>
      <c r="DMN2843" s="12"/>
      <c r="DMO2843" s="12"/>
      <c r="DMP2843" s="12"/>
      <c r="DMQ2843" s="12"/>
    </row>
    <row r="2844" spans="3044:3059">
      <c r="DMB2844" s="12"/>
      <c r="DMC2844" s="12"/>
      <c r="DMD2844" s="12"/>
      <c r="DME2844" s="12"/>
      <c r="DMF2844" s="12"/>
      <c r="DMG2844" s="12"/>
      <c r="DMH2844" s="12"/>
      <c r="DMI2844" s="12"/>
      <c r="DMJ2844" s="12"/>
      <c r="DMK2844" s="12"/>
      <c r="DML2844" s="12"/>
      <c r="DMM2844" s="12"/>
      <c r="DMN2844" s="12"/>
      <c r="DMO2844" s="12"/>
      <c r="DMP2844" s="12"/>
      <c r="DMQ2844" s="12"/>
    </row>
    <row r="2845" spans="3044:3059">
      <c r="DMB2845" s="12"/>
      <c r="DMC2845" s="12"/>
      <c r="DMD2845" s="12"/>
      <c r="DME2845" s="12"/>
      <c r="DMF2845" s="12"/>
      <c r="DMG2845" s="12"/>
      <c r="DMH2845" s="12"/>
      <c r="DMI2845" s="12"/>
      <c r="DMJ2845" s="12"/>
      <c r="DMK2845" s="12"/>
      <c r="DML2845" s="12"/>
      <c r="DMM2845" s="12"/>
      <c r="DMN2845" s="12"/>
      <c r="DMO2845" s="12"/>
      <c r="DMP2845" s="12"/>
      <c r="DMQ2845" s="12"/>
    </row>
    <row r="2846" spans="3044:3059">
      <c r="DMB2846" s="12"/>
      <c r="DMC2846" s="12"/>
      <c r="DMD2846" s="12"/>
      <c r="DME2846" s="12"/>
      <c r="DMF2846" s="12"/>
      <c r="DMG2846" s="12"/>
      <c r="DMH2846" s="12"/>
      <c r="DMI2846" s="12"/>
      <c r="DMJ2846" s="12"/>
      <c r="DMK2846" s="12"/>
      <c r="DML2846" s="12"/>
      <c r="DMM2846" s="12"/>
      <c r="DMN2846" s="12"/>
      <c r="DMO2846" s="12"/>
      <c r="DMP2846" s="12"/>
      <c r="DMQ2846" s="12"/>
    </row>
    <row r="2847" spans="3044:3059">
      <c r="DMB2847" s="12"/>
      <c r="DMC2847" s="12"/>
      <c r="DMD2847" s="12"/>
      <c r="DME2847" s="12"/>
      <c r="DMF2847" s="12"/>
      <c r="DMG2847" s="12"/>
      <c r="DMH2847" s="12"/>
      <c r="DMI2847" s="12"/>
      <c r="DMJ2847" s="12"/>
      <c r="DMK2847" s="12"/>
      <c r="DML2847" s="12"/>
      <c r="DMM2847" s="12"/>
      <c r="DMN2847" s="12"/>
      <c r="DMO2847" s="12"/>
      <c r="DMP2847" s="12"/>
      <c r="DMQ2847" s="12"/>
    </row>
    <row r="2848" spans="3044:3059">
      <c r="DMB2848" s="12"/>
      <c r="DMC2848" s="12"/>
      <c r="DMD2848" s="12"/>
      <c r="DME2848" s="12"/>
      <c r="DMF2848" s="12"/>
      <c r="DMG2848" s="12"/>
      <c r="DMH2848" s="12"/>
      <c r="DMI2848" s="12"/>
      <c r="DMJ2848" s="12"/>
      <c r="DMK2848" s="12"/>
      <c r="DML2848" s="12"/>
      <c r="DMM2848" s="12"/>
      <c r="DMN2848" s="12"/>
      <c r="DMO2848" s="12"/>
      <c r="DMP2848" s="12"/>
      <c r="DMQ2848" s="12"/>
    </row>
    <row r="2849" spans="3044:3059">
      <c r="DMB2849" s="12"/>
      <c r="DMC2849" s="12"/>
      <c r="DMD2849" s="12"/>
      <c r="DME2849" s="12"/>
      <c r="DMF2849" s="12"/>
      <c r="DMG2849" s="12"/>
      <c r="DMH2849" s="12"/>
      <c r="DMI2849" s="12"/>
      <c r="DMJ2849" s="12"/>
      <c r="DMK2849" s="12"/>
      <c r="DML2849" s="12"/>
      <c r="DMM2849" s="12"/>
      <c r="DMN2849" s="12"/>
      <c r="DMO2849" s="12"/>
      <c r="DMP2849" s="12"/>
      <c r="DMQ2849" s="12"/>
    </row>
    <row r="2850" spans="3044:3059">
      <c r="DMB2850" s="12"/>
      <c r="DMC2850" s="12"/>
      <c r="DMD2850" s="12"/>
      <c r="DME2850" s="12"/>
      <c r="DMF2850" s="12"/>
      <c r="DMG2850" s="12"/>
      <c r="DMH2850" s="12"/>
      <c r="DMI2850" s="12"/>
      <c r="DMJ2850" s="12"/>
      <c r="DMK2850" s="12"/>
      <c r="DML2850" s="12"/>
      <c r="DMM2850" s="12"/>
      <c r="DMN2850" s="12"/>
      <c r="DMO2850" s="12"/>
      <c r="DMP2850" s="12"/>
      <c r="DMQ2850" s="12"/>
    </row>
    <row r="2851" spans="3044:3059">
      <c r="DMB2851" s="12"/>
      <c r="DMC2851" s="12"/>
      <c r="DMD2851" s="12"/>
      <c r="DME2851" s="12"/>
      <c r="DMF2851" s="12"/>
      <c r="DMG2851" s="12"/>
      <c r="DMH2851" s="12"/>
      <c r="DMI2851" s="12"/>
      <c r="DMJ2851" s="12"/>
      <c r="DMK2851" s="12"/>
      <c r="DML2851" s="12"/>
      <c r="DMM2851" s="12"/>
      <c r="DMN2851" s="12"/>
      <c r="DMO2851" s="12"/>
      <c r="DMP2851" s="12"/>
      <c r="DMQ2851" s="12"/>
    </row>
    <row r="2852" spans="3044:3059">
      <c r="DMB2852" s="12"/>
      <c r="DMC2852" s="12"/>
      <c r="DMD2852" s="12"/>
      <c r="DME2852" s="12"/>
      <c r="DMF2852" s="12"/>
      <c r="DMG2852" s="12"/>
      <c r="DMH2852" s="12"/>
      <c r="DMI2852" s="12"/>
      <c r="DMJ2852" s="12"/>
      <c r="DMK2852" s="12"/>
      <c r="DML2852" s="12"/>
      <c r="DMM2852" s="12"/>
      <c r="DMN2852" s="12"/>
      <c r="DMO2852" s="12"/>
      <c r="DMP2852" s="12"/>
      <c r="DMQ2852" s="12"/>
    </row>
    <row r="2853" spans="3044:3059">
      <c r="DMB2853" s="12"/>
      <c r="DMC2853" s="12"/>
      <c r="DMD2853" s="12"/>
      <c r="DME2853" s="12"/>
      <c r="DMF2853" s="12"/>
      <c r="DMG2853" s="12"/>
      <c r="DMH2853" s="12"/>
      <c r="DMI2853" s="12"/>
      <c r="DMJ2853" s="12"/>
      <c r="DMK2853" s="12"/>
      <c r="DML2853" s="12"/>
      <c r="DMM2853" s="12"/>
      <c r="DMN2853" s="12"/>
      <c r="DMO2853" s="12"/>
      <c r="DMP2853" s="12"/>
      <c r="DMQ2853" s="12"/>
    </row>
    <row r="2854" spans="3044:3059">
      <c r="DMB2854" s="12"/>
      <c r="DMC2854" s="12"/>
      <c r="DMD2854" s="12"/>
      <c r="DME2854" s="12"/>
      <c r="DMF2854" s="12"/>
      <c r="DMG2854" s="12"/>
      <c r="DMH2854" s="12"/>
      <c r="DMI2854" s="12"/>
      <c r="DMJ2854" s="12"/>
      <c r="DMK2854" s="12"/>
      <c r="DML2854" s="12"/>
      <c r="DMM2854" s="12"/>
      <c r="DMN2854" s="12"/>
      <c r="DMO2854" s="12"/>
      <c r="DMP2854" s="12"/>
      <c r="DMQ2854" s="12"/>
    </row>
    <row r="2855" spans="3044:3059">
      <c r="DMB2855" s="12"/>
      <c r="DMC2855" s="12"/>
      <c r="DMD2855" s="12"/>
      <c r="DME2855" s="12"/>
      <c r="DMF2855" s="12"/>
      <c r="DMG2855" s="12"/>
      <c r="DMH2855" s="12"/>
      <c r="DMI2855" s="12"/>
      <c r="DMJ2855" s="12"/>
      <c r="DMK2855" s="12"/>
      <c r="DML2855" s="12"/>
      <c r="DMM2855" s="12"/>
      <c r="DMN2855" s="12"/>
      <c r="DMO2855" s="12"/>
      <c r="DMP2855" s="12"/>
      <c r="DMQ2855" s="12"/>
    </row>
    <row r="2856" spans="3044:3059">
      <c r="DMB2856" s="12"/>
      <c r="DMC2856" s="12"/>
      <c r="DMD2856" s="12"/>
      <c r="DME2856" s="12"/>
      <c r="DMF2856" s="12"/>
      <c r="DMG2856" s="12"/>
      <c r="DMH2856" s="12"/>
      <c r="DMI2856" s="12"/>
      <c r="DMJ2856" s="12"/>
      <c r="DMK2856" s="12"/>
      <c r="DML2856" s="12"/>
      <c r="DMM2856" s="12"/>
      <c r="DMN2856" s="12"/>
      <c r="DMO2856" s="12"/>
      <c r="DMP2856" s="12"/>
      <c r="DMQ2856" s="12"/>
    </row>
    <row r="2857" spans="3044:3059">
      <c r="DMB2857" s="12"/>
      <c r="DMC2857" s="12"/>
      <c r="DMD2857" s="12"/>
      <c r="DME2857" s="12"/>
      <c r="DMF2857" s="12"/>
      <c r="DMG2857" s="12"/>
      <c r="DMH2857" s="12"/>
      <c r="DMI2857" s="12"/>
      <c r="DMJ2857" s="12"/>
      <c r="DMK2857" s="12"/>
      <c r="DML2857" s="12"/>
      <c r="DMM2857" s="12"/>
      <c r="DMN2857" s="12"/>
      <c r="DMO2857" s="12"/>
      <c r="DMP2857" s="12"/>
      <c r="DMQ2857" s="12"/>
    </row>
    <row r="2858" spans="3044:3059">
      <c r="DMB2858" s="12"/>
      <c r="DMC2858" s="12"/>
      <c r="DMD2858" s="12"/>
      <c r="DME2858" s="12"/>
      <c r="DMF2858" s="12"/>
      <c r="DMG2858" s="12"/>
      <c r="DMH2858" s="12"/>
      <c r="DMI2858" s="12"/>
      <c r="DMJ2858" s="12"/>
      <c r="DMK2858" s="12"/>
      <c r="DML2858" s="12"/>
      <c r="DMM2858" s="12"/>
      <c r="DMN2858" s="12"/>
      <c r="DMO2858" s="12"/>
      <c r="DMP2858" s="12"/>
      <c r="DMQ2858" s="12"/>
    </row>
    <row r="2859" spans="3044:3059">
      <c r="DMB2859" s="12"/>
      <c r="DMC2859" s="12"/>
      <c r="DMD2859" s="12"/>
      <c r="DME2859" s="12"/>
      <c r="DMF2859" s="12"/>
      <c r="DMG2859" s="12"/>
      <c r="DMH2859" s="12"/>
      <c r="DMI2859" s="12"/>
      <c r="DMJ2859" s="12"/>
      <c r="DMK2859" s="12"/>
      <c r="DML2859" s="12"/>
      <c r="DMM2859" s="12"/>
      <c r="DMN2859" s="12"/>
      <c r="DMO2859" s="12"/>
      <c r="DMP2859" s="12"/>
      <c r="DMQ2859" s="12"/>
    </row>
    <row r="2860" spans="3044:3059">
      <c r="DMB2860" s="12"/>
      <c r="DMC2860" s="12"/>
      <c r="DMD2860" s="12"/>
      <c r="DME2860" s="12"/>
      <c r="DMF2860" s="12"/>
      <c r="DMG2860" s="12"/>
      <c r="DMH2860" s="12"/>
      <c r="DMI2860" s="12"/>
      <c r="DMJ2860" s="12"/>
      <c r="DMK2860" s="12"/>
      <c r="DML2860" s="12"/>
      <c r="DMM2860" s="12"/>
      <c r="DMN2860" s="12"/>
      <c r="DMO2860" s="12"/>
      <c r="DMP2860" s="12"/>
      <c r="DMQ2860" s="12"/>
    </row>
    <row r="2861" spans="3044:3059">
      <c r="DMB2861" s="12"/>
      <c r="DMC2861" s="12"/>
      <c r="DMD2861" s="12"/>
      <c r="DME2861" s="12"/>
      <c r="DMF2861" s="12"/>
      <c r="DMG2861" s="12"/>
      <c r="DMH2861" s="12"/>
      <c r="DMI2861" s="12"/>
      <c r="DMJ2861" s="12"/>
      <c r="DMK2861" s="12"/>
      <c r="DML2861" s="12"/>
      <c r="DMM2861" s="12"/>
      <c r="DMN2861" s="12"/>
      <c r="DMO2861" s="12"/>
      <c r="DMP2861" s="12"/>
      <c r="DMQ2861" s="12"/>
    </row>
    <row r="2862" spans="3044:3059">
      <c r="DMB2862" s="12"/>
      <c r="DMC2862" s="12"/>
      <c r="DMD2862" s="12"/>
      <c r="DME2862" s="12"/>
      <c r="DMF2862" s="12"/>
      <c r="DMG2862" s="12"/>
      <c r="DMH2862" s="12"/>
      <c r="DMI2862" s="12"/>
      <c r="DMJ2862" s="12"/>
      <c r="DMK2862" s="12"/>
      <c r="DML2862" s="12"/>
      <c r="DMM2862" s="12"/>
      <c r="DMN2862" s="12"/>
      <c r="DMO2862" s="12"/>
      <c r="DMP2862" s="12"/>
      <c r="DMQ2862" s="12"/>
    </row>
    <row r="2863" spans="3044:3059">
      <c r="DMB2863" s="12"/>
      <c r="DMC2863" s="12"/>
      <c r="DMD2863" s="12"/>
      <c r="DME2863" s="12"/>
      <c r="DMF2863" s="12"/>
      <c r="DMG2863" s="12"/>
      <c r="DMH2863" s="12"/>
      <c r="DMI2863" s="12"/>
      <c r="DMJ2863" s="12"/>
      <c r="DMK2863" s="12"/>
      <c r="DML2863" s="12"/>
      <c r="DMM2863" s="12"/>
      <c r="DMN2863" s="12"/>
      <c r="DMO2863" s="12"/>
      <c r="DMP2863" s="12"/>
      <c r="DMQ2863" s="12"/>
    </row>
    <row r="2864" spans="3044:3059">
      <c r="DMB2864" s="12"/>
      <c r="DMC2864" s="12"/>
      <c r="DMD2864" s="12"/>
      <c r="DME2864" s="12"/>
      <c r="DMF2864" s="12"/>
      <c r="DMG2864" s="12"/>
      <c r="DMH2864" s="12"/>
      <c r="DMI2864" s="12"/>
      <c r="DMJ2864" s="12"/>
      <c r="DMK2864" s="12"/>
      <c r="DML2864" s="12"/>
      <c r="DMM2864" s="12"/>
      <c r="DMN2864" s="12"/>
      <c r="DMO2864" s="12"/>
      <c r="DMP2864" s="12"/>
      <c r="DMQ2864" s="12"/>
    </row>
    <row r="2865" spans="3044:3059">
      <c r="DMB2865" s="12"/>
      <c r="DMC2865" s="12"/>
      <c r="DMD2865" s="12"/>
      <c r="DME2865" s="12"/>
      <c r="DMF2865" s="12"/>
      <c r="DMG2865" s="12"/>
      <c r="DMH2865" s="12"/>
      <c r="DMI2865" s="12"/>
      <c r="DMJ2865" s="12"/>
      <c r="DMK2865" s="12"/>
      <c r="DML2865" s="12"/>
      <c r="DMM2865" s="12"/>
      <c r="DMN2865" s="12"/>
      <c r="DMO2865" s="12"/>
      <c r="DMP2865" s="12"/>
      <c r="DMQ2865" s="12"/>
    </row>
    <row r="2866" spans="3044:3059">
      <c r="DMB2866" s="12"/>
      <c r="DMC2866" s="12"/>
      <c r="DMD2866" s="12"/>
      <c r="DME2866" s="12"/>
      <c r="DMF2866" s="12"/>
      <c r="DMG2866" s="12"/>
      <c r="DMH2866" s="12"/>
      <c r="DMI2866" s="12"/>
      <c r="DMJ2866" s="12"/>
      <c r="DMK2866" s="12"/>
      <c r="DML2866" s="12"/>
      <c r="DMM2866" s="12"/>
      <c r="DMN2866" s="12"/>
      <c r="DMO2866" s="12"/>
      <c r="DMP2866" s="12"/>
      <c r="DMQ2866" s="12"/>
    </row>
    <row r="2867" spans="3044:3059">
      <c r="DMB2867" s="12"/>
      <c r="DMC2867" s="12"/>
      <c r="DMD2867" s="12"/>
      <c r="DME2867" s="12"/>
      <c r="DMF2867" s="12"/>
      <c r="DMG2867" s="12"/>
      <c r="DMH2867" s="12"/>
      <c r="DMI2867" s="12"/>
      <c r="DMJ2867" s="12"/>
      <c r="DMK2867" s="12"/>
      <c r="DML2867" s="12"/>
      <c r="DMM2867" s="12"/>
      <c r="DMN2867" s="12"/>
      <c r="DMO2867" s="12"/>
      <c r="DMP2867" s="12"/>
      <c r="DMQ2867" s="12"/>
    </row>
    <row r="2868" spans="3044:3059">
      <c r="DMB2868" s="12"/>
      <c r="DMC2868" s="12"/>
      <c r="DMD2868" s="12"/>
      <c r="DME2868" s="12"/>
      <c r="DMF2868" s="12"/>
      <c r="DMG2868" s="12"/>
      <c r="DMH2868" s="12"/>
      <c r="DMI2868" s="12"/>
      <c r="DMJ2868" s="12"/>
      <c r="DMK2868" s="12"/>
      <c r="DML2868" s="12"/>
      <c r="DMM2868" s="12"/>
      <c r="DMN2868" s="12"/>
      <c r="DMO2868" s="12"/>
      <c r="DMP2868" s="12"/>
      <c r="DMQ2868" s="12"/>
    </row>
    <row r="2869" spans="3044:3059">
      <c r="DMB2869" s="12"/>
      <c r="DMC2869" s="12"/>
      <c r="DMD2869" s="12"/>
      <c r="DME2869" s="12"/>
      <c r="DMF2869" s="12"/>
      <c r="DMG2869" s="12"/>
      <c r="DMH2869" s="12"/>
      <c r="DMI2869" s="12"/>
      <c r="DMJ2869" s="12"/>
      <c r="DMK2869" s="12"/>
      <c r="DML2869" s="12"/>
      <c r="DMM2869" s="12"/>
      <c r="DMN2869" s="12"/>
      <c r="DMO2869" s="12"/>
      <c r="DMP2869" s="12"/>
      <c r="DMQ2869" s="12"/>
    </row>
    <row r="2870" spans="3044:3059">
      <c r="DMB2870" s="12"/>
      <c r="DMC2870" s="12"/>
      <c r="DMD2870" s="12"/>
      <c r="DME2870" s="12"/>
      <c r="DMF2870" s="12"/>
      <c r="DMG2870" s="12"/>
      <c r="DMH2870" s="12"/>
      <c r="DMI2870" s="12"/>
      <c r="DMJ2870" s="12"/>
      <c r="DMK2870" s="12"/>
      <c r="DML2870" s="12"/>
      <c r="DMM2870" s="12"/>
      <c r="DMN2870" s="12"/>
      <c r="DMO2870" s="12"/>
      <c r="DMP2870" s="12"/>
      <c r="DMQ2870" s="12"/>
    </row>
    <row r="2871" spans="3044:3059">
      <c r="DMB2871" s="12"/>
      <c r="DMC2871" s="12"/>
      <c r="DMD2871" s="12"/>
      <c r="DME2871" s="12"/>
      <c r="DMF2871" s="12"/>
      <c r="DMG2871" s="12"/>
      <c r="DMH2871" s="12"/>
      <c r="DMI2871" s="12"/>
      <c r="DMJ2871" s="12"/>
      <c r="DMK2871" s="12"/>
      <c r="DML2871" s="12"/>
      <c r="DMM2871" s="12"/>
      <c r="DMN2871" s="12"/>
      <c r="DMO2871" s="12"/>
      <c r="DMP2871" s="12"/>
      <c r="DMQ2871" s="12"/>
    </row>
    <row r="2872" spans="3044:3059">
      <c r="DMB2872" s="12"/>
      <c r="DMC2872" s="12"/>
      <c r="DMD2872" s="12"/>
      <c r="DME2872" s="12"/>
      <c r="DMF2872" s="12"/>
      <c r="DMG2872" s="12"/>
      <c r="DMH2872" s="12"/>
      <c r="DMI2872" s="12"/>
      <c r="DMJ2872" s="12"/>
      <c r="DMK2872" s="12"/>
      <c r="DML2872" s="12"/>
      <c r="DMM2872" s="12"/>
      <c r="DMN2872" s="12"/>
      <c r="DMO2872" s="12"/>
      <c r="DMP2872" s="12"/>
      <c r="DMQ2872" s="12"/>
    </row>
    <row r="2873" spans="3044:3059">
      <c r="DMB2873" s="12"/>
      <c r="DMC2873" s="12"/>
      <c r="DMD2873" s="12"/>
      <c r="DME2873" s="12"/>
      <c r="DMF2873" s="12"/>
      <c r="DMG2873" s="12"/>
      <c r="DMH2873" s="12"/>
      <c r="DMI2873" s="12"/>
      <c r="DMJ2873" s="12"/>
      <c r="DMK2873" s="12"/>
      <c r="DML2873" s="12"/>
      <c r="DMM2873" s="12"/>
      <c r="DMN2873" s="12"/>
      <c r="DMO2873" s="12"/>
      <c r="DMP2873" s="12"/>
      <c r="DMQ2873" s="12"/>
    </row>
    <row r="2874" spans="3044:3059">
      <c r="DMB2874" s="12"/>
      <c r="DMC2874" s="12"/>
      <c r="DMD2874" s="12"/>
      <c r="DME2874" s="12"/>
      <c r="DMF2874" s="12"/>
      <c r="DMG2874" s="12"/>
      <c r="DMH2874" s="12"/>
      <c r="DMI2874" s="12"/>
      <c r="DMJ2874" s="12"/>
      <c r="DMK2874" s="12"/>
      <c r="DML2874" s="12"/>
      <c r="DMM2874" s="12"/>
      <c r="DMN2874" s="12"/>
      <c r="DMO2874" s="12"/>
      <c r="DMP2874" s="12"/>
      <c r="DMQ2874" s="12"/>
    </row>
    <row r="2875" spans="3044:3059">
      <c r="DMB2875" s="12"/>
      <c r="DMC2875" s="12"/>
      <c r="DMD2875" s="12"/>
      <c r="DME2875" s="12"/>
      <c r="DMF2875" s="12"/>
      <c r="DMG2875" s="12"/>
      <c r="DMH2875" s="12"/>
      <c r="DMI2875" s="12"/>
      <c r="DMJ2875" s="12"/>
      <c r="DMK2875" s="12"/>
      <c r="DML2875" s="12"/>
      <c r="DMM2875" s="12"/>
      <c r="DMN2875" s="12"/>
      <c r="DMO2875" s="12"/>
      <c r="DMP2875" s="12"/>
      <c r="DMQ2875" s="12"/>
    </row>
    <row r="2876" spans="3044:3059">
      <c r="DMB2876" s="12"/>
      <c r="DMC2876" s="12"/>
      <c r="DMD2876" s="12"/>
      <c r="DME2876" s="12"/>
      <c r="DMF2876" s="12"/>
      <c r="DMG2876" s="12"/>
      <c r="DMH2876" s="12"/>
      <c r="DMI2876" s="12"/>
      <c r="DMJ2876" s="12"/>
      <c r="DMK2876" s="12"/>
      <c r="DML2876" s="12"/>
      <c r="DMM2876" s="12"/>
      <c r="DMN2876" s="12"/>
      <c r="DMO2876" s="12"/>
      <c r="DMP2876" s="12"/>
      <c r="DMQ2876" s="12"/>
    </row>
    <row r="2877" spans="3044:3059">
      <c r="DMB2877" s="12"/>
      <c r="DMC2877" s="12"/>
      <c r="DMD2877" s="12"/>
      <c r="DME2877" s="12"/>
      <c r="DMF2877" s="12"/>
      <c r="DMG2877" s="12"/>
      <c r="DMH2877" s="12"/>
      <c r="DMI2877" s="12"/>
      <c r="DMJ2877" s="12"/>
      <c r="DMK2877" s="12"/>
      <c r="DML2877" s="12"/>
      <c r="DMM2877" s="12"/>
      <c r="DMN2877" s="12"/>
      <c r="DMO2877" s="12"/>
      <c r="DMP2877" s="12"/>
      <c r="DMQ2877" s="12"/>
    </row>
    <row r="2878" spans="3044:3059">
      <c r="DMB2878" s="12"/>
      <c r="DMC2878" s="12"/>
      <c r="DMD2878" s="12"/>
      <c r="DME2878" s="12"/>
      <c r="DMF2878" s="12"/>
      <c r="DMG2878" s="12"/>
      <c r="DMH2878" s="12"/>
      <c r="DMI2878" s="12"/>
      <c r="DMJ2878" s="12"/>
      <c r="DMK2878" s="12"/>
      <c r="DML2878" s="12"/>
      <c r="DMM2878" s="12"/>
      <c r="DMN2878" s="12"/>
      <c r="DMO2878" s="12"/>
      <c r="DMP2878" s="12"/>
      <c r="DMQ2878" s="12"/>
    </row>
    <row r="2879" spans="3044:3059">
      <c r="DMB2879" s="12"/>
      <c r="DMC2879" s="12"/>
      <c r="DMD2879" s="12"/>
      <c r="DME2879" s="12"/>
      <c r="DMF2879" s="12"/>
      <c r="DMG2879" s="12"/>
      <c r="DMH2879" s="12"/>
      <c r="DMI2879" s="12"/>
      <c r="DMJ2879" s="12"/>
      <c r="DMK2879" s="12"/>
      <c r="DML2879" s="12"/>
      <c r="DMM2879" s="12"/>
      <c r="DMN2879" s="12"/>
      <c r="DMO2879" s="12"/>
      <c r="DMP2879" s="12"/>
      <c r="DMQ2879" s="12"/>
    </row>
    <row r="2880" spans="3044:3059">
      <c r="DMB2880" s="12"/>
      <c r="DMC2880" s="12"/>
      <c r="DMD2880" s="12"/>
      <c r="DME2880" s="12"/>
      <c r="DMF2880" s="12"/>
      <c r="DMG2880" s="12"/>
      <c r="DMH2880" s="12"/>
      <c r="DMI2880" s="12"/>
      <c r="DMJ2880" s="12"/>
      <c r="DMK2880" s="12"/>
      <c r="DML2880" s="12"/>
      <c r="DMM2880" s="12"/>
      <c r="DMN2880" s="12"/>
      <c r="DMO2880" s="12"/>
      <c r="DMP2880" s="12"/>
      <c r="DMQ2880" s="12"/>
    </row>
    <row r="2881" spans="3044:3059">
      <c r="DMB2881" s="12"/>
      <c r="DMC2881" s="12"/>
      <c r="DMD2881" s="12"/>
      <c r="DME2881" s="12"/>
      <c r="DMF2881" s="12"/>
      <c r="DMG2881" s="12"/>
      <c r="DMH2881" s="12"/>
      <c r="DMI2881" s="12"/>
      <c r="DMJ2881" s="12"/>
      <c r="DMK2881" s="12"/>
      <c r="DML2881" s="12"/>
      <c r="DMM2881" s="12"/>
      <c r="DMN2881" s="12"/>
      <c r="DMO2881" s="12"/>
      <c r="DMP2881" s="12"/>
      <c r="DMQ2881" s="12"/>
    </row>
    <row r="2882" spans="3044:3059">
      <c r="DMB2882" s="12"/>
      <c r="DMC2882" s="12"/>
      <c r="DMD2882" s="12"/>
      <c r="DME2882" s="12"/>
      <c r="DMF2882" s="12"/>
      <c r="DMG2882" s="12"/>
      <c r="DMH2882" s="12"/>
      <c r="DMI2882" s="12"/>
      <c r="DMJ2882" s="12"/>
      <c r="DMK2882" s="12"/>
      <c r="DML2882" s="12"/>
      <c r="DMM2882" s="12"/>
      <c r="DMN2882" s="12"/>
      <c r="DMO2882" s="12"/>
      <c r="DMP2882" s="12"/>
      <c r="DMQ2882" s="12"/>
    </row>
    <row r="2883" spans="3044:3059">
      <c r="DMB2883" s="12"/>
      <c r="DMC2883" s="12"/>
      <c r="DMD2883" s="12"/>
      <c r="DME2883" s="12"/>
      <c r="DMF2883" s="12"/>
      <c r="DMG2883" s="12"/>
      <c r="DMH2883" s="12"/>
      <c r="DMI2883" s="12"/>
      <c r="DMJ2883" s="12"/>
      <c r="DMK2883" s="12"/>
      <c r="DML2883" s="12"/>
      <c r="DMM2883" s="12"/>
      <c r="DMN2883" s="12"/>
      <c r="DMO2883" s="12"/>
      <c r="DMP2883" s="12"/>
      <c r="DMQ2883" s="12"/>
    </row>
    <row r="2884" spans="3044:3059">
      <c r="DMB2884" s="12"/>
      <c r="DMC2884" s="12"/>
      <c r="DMD2884" s="12"/>
      <c r="DME2884" s="12"/>
      <c r="DMF2884" s="12"/>
      <c r="DMG2884" s="12"/>
      <c r="DMH2884" s="12"/>
      <c r="DMI2884" s="12"/>
      <c r="DMJ2884" s="12"/>
      <c r="DMK2884" s="12"/>
      <c r="DML2884" s="12"/>
      <c r="DMM2884" s="12"/>
      <c r="DMN2884" s="12"/>
      <c r="DMO2884" s="12"/>
      <c r="DMP2884" s="12"/>
      <c r="DMQ2884" s="12"/>
    </row>
    <row r="2885" spans="3044:3059">
      <c r="DMB2885" s="12"/>
      <c r="DMC2885" s="12"/>
      <c r="DMD2885" s="12"/>
      <c r="DME2885" s="12"/>
      <c r="DMF2885" s="12"/>
      <c r="DMG2885" s="12"/>
      <c r="DMH2885" s="12"/>
      <c r="DMI2885" s="12"/>
      <c r="DMJ2885" s="12"/>
      <c r="DMK2885" s="12"/>
      <c r="DML2885" s="12"/>
      <c r="DMM2885" s="12"/>
      <c r="DMN2885" s="12"/>
      <c r="DMO2885" s="12"/>
      <c r="DMP2885" s="12"/>
      <c r="DMQ2885" s="12"/>
    </row>
    <row r="2886" spans="3044:3059">
      <c r="DMB2886" s="12"/>
      <c r="DMC2886" s="12"/>
      <c r="DMD2886" s="12"/>
      <c r="DME2886" s="12"/>
      <c r="DMF2886" s="12"/>
      <c r="DMG2886" s="12"/>
      <c r="DMH2886" s="12"/>
      <c r="DMI2886" s="12"/>
      <c r="DMJ2886" s="12"/>
      <c r="DMK2886" s="12"/>
      <c r="DML2886" s="12"/>
      <c r="DMM2886" s="12"/>
      <c r="DMN2886" s="12"/>
      <c r="DMO2886" s="12"/>
      <c r="DMP2886" s="12"/>
      <c r="DMQ2886" s="12"/>
    </row>
    <row r="2887" spans="3044:3059">
      <c r="DMB2887" s="12"/>
      <c r="DMC2887" s="12"/>
      <c r="DMD2887" s="12"/>
      <c r="DME2887" s="12"/>
      <c r="DMF2887" s="12"/>
      <c r="DMG2887" s="12"/>
      <c r="DMH2887" s="12"/>
      <c r="DMI2887" s="12"/>
      <c r="DMJ2887" s="12"/>
      <c r="DMK2887" s="12"/>
      <c r="DML2887" s="12"/>
      <c r="DMM2887" s="12"/>
      <c r="DMN2887" s="12"/>
      <c r="DMO2887" s="12"/>
      <c r="DMP2887" s="12"/>
      <c r="DMQ2887" s="12"/>
    </row>
    <row r="2888" spans="3044:3059">
      <c r="DMB2888" s="12"/>
      <c r="DMC2888" s="12"/>
      <c r="DMD2888" s="12"/>
      <c r="DME2888" s="12"/>
      <c r="DMF2888" s="12"/>
      <c r="DMG2888" s="12"/>
      <c r="DMH2888" s="12"/>
      <c r="DMI2888" s="12"/>
      <c r="DMJ2888" s="12"/>
      <c r="DMK2888" s="12"/>
      <c r="DML2888" s="12"/>
      <c r="DMM2888" s="12"/>
      <c r="DMN2888" s="12"/>
      <c r="DMO2888" s="12"/>
      <c r="DMP2888" s="12"/>
      <c r="DMQ2888" s="12"/>
    </row>
    <row r="2889" spans="3044:3059">
      <c r="DMB2889" s="12"/>
      <c r="DMC2889" s="12"/>
      <c r="DMD2889" s="12"/>
      <c r="DME2889" s="12"/>
      <c r="DMF2889" s="12"/>
      <c r="DMG2889" s="12"/>
      <c r="DMH2889" s="12"/>
      <c r="DMI2889" s="12"/>
      <c r="DMJ2889" s="12"/>
      <c r="DMK2889" s="12"/>
      <c r="DML2889" s="12"/>
      <c r="DMM2889" s="12"/>
      <c r="DMN2889" s="12"/>
      <c r="DMO2889" s="12"/>
      <c r="DMP2889" s="12"/>
      <c r="DMQ2889" s="12"/>
    </row>
    <row r="2890" spans="3044:3059">
      <c r="DMB2890" s="12"/>
      <c r="DMC2890" s="12"/>
      <c r="DMD2890" s="12"/>
      <c r="DME2890" s="12"/>
      <c r="DMF2890" s="12"/>
      <c r="DMG2890" s="12"/>
      <c r="DMH2890" s="12"/>
      <c r="DMI2890" s="12"/>
      <c r="DMJ2890" s="12"/>
      <c r="DMK2890" s="12"/>
      <c r="DML2890" s="12"/>
      <c r="DMM2890" s="12"/>
      <c r="DMN2890" s="12"/>
      <c r="DMO2890" s="12"/>
      <c r="DMP2890" s="12"/>
      <c r="DMQ2890" s="12"/>
    </row>
    <row r="2891" spans="3044:3059">
      <c r="DMB2891" s="12"/>
      <c r="DMC2891" s="12"/>
      <c r="DMD2891" s="12"/>
      <c r="DME2891" s="12"/>
      <c r="DMF2891" s="12"/>
      <c r="DMG2891" s="12"/>
      <c r="DMH2891" s="12"/>
      <c r="DMI2891" s="12"/>
      <c r="DMJ2891" s="12"/>
      <c r="DMK2891" s="12"/>
      <c r="DML2891" s="12"/>
      <c r="DMM2891" s="12"/>
      <c r="DMN2891" s="12"/>
      <c r="DMO2891" s="12"/>
      <c r="DMP2891" s="12"/>
      <c r="DMQ2891" s="12"/>
    </row>
    <row r="2892" spans="3044:3059">
      <c r="DMB2892" s="12"/>
      <c r="DMC2892" s="12"/>
      <c r="DMD2892" s="12"/>
      <c r="DME2892" s="12"/>
      <c r="DMF2892" s="12"/>
      <c r="DMG2892" s="12"/>
      <c r="DMH2892" s="12"/>
      <c r="DMI2892" s="12"/>
      <c r="DMJ2892" s="12"/>
      <c r="DMK2892" s="12"/>
      <c r="DML2892" s="12"/>
      <c r="DMM2892" s="12"/>
      <c r="DMN2892" s="12"/>
      <c r="DMO2892" s="12"/>
      <c r="DMP2892" s="12"/>
      <c r="DMQ2892" s="12"/>
    </row>
    <row r="2893" spans="3044:3059">
      <c r="DMB2893" s="12"/>
      <c r="DMC2893" s="12"/>
      <c r="DMD2893" s="12"/>
      <c r="DME2893" s="12"/>
      <c r="DMF2893" s="12"/>
      <c r="DMG2893" s="12"/>
      <c r="DMH2893" s="12"/>
      <c r="DMI2893" s="12"/>
      <c r="DMJ2893" s="12"/>
      <c r="DMK2893" s="12"/>
      <c r="DML2893" s="12"/>
      <c r="DMM2893" s="12"/>
      <c r="DMN2893" s="12"/>
      <c r="DMO2893" s="12"/>
      <c r="DMP2893" s="12"/>
      <c r="DMQ2893" s="12"/>
    </row>
    <row r="2894" spans="3044:3059">
      <c r="DMB2894" s="12"/>
      <c r="DMC2894" s="12"/>
      <c r="DMD2894" s="12"/>
      <c r="DME2894" s="12"/>
      <c r="DMF2894" s="12"/>
      <c r="DMG2894" s="12"/>
      <c r="DMH2894" s="12"/>
      <c r="DMI2894" s="12"/>
      <c r="DMJ2894" s="12"/>
      <c r="DMK2894" s="12"/>
      <c r="DML2894" s="12"/>
      <c r="DMM2894" s="12"/>
      <c r="DMN2894" s="12"/>
      <c r="DMO2894" s="12"/>
      <c r="DMP2894" s="12"/>
      <c r="DMQ2894" s="12"/>
    </row>
    <row r="2895" spans="3044:3059">
      <c r="DMB2895" s="12"/>
      <c r="DMC2895" s="12"/>
      <c r="DMD2895" s="12"/>
      <c r="DME2895" s="12"/>
      <c r="DMF2895" s="12"/>
      <c r="DMG2895" s="12"/>
      <c r="DMH2895" s="12"/>
      <c r="DMI2895" s="12"/>
      <c r="DMJ2895" s="12"/>
      <c r="DMK2895" s="12"/>
      <c r="DML2895" s="12"/>
      <c r="DMM2895" s="12"/>
      <c r="DMN2895" s="12"/>
      <c r="DMO2895" s="12"/>
      <c r="DMP2895" s="12"/>
      <c r="DMQ2895" s="12"/>
    </row>
    <row r="2896" spans="3044:3059">
      <c r="DMB2896" s="12"/>
      <c r="DMC2896" s="12"/>
      <c r="DMD2896" s="12"/>
      <c r="DME2896" s="12"/>
      <c r="DMF2896" s="12"/>
      <c r="DMG2896" s="12"/>
      <c r="DMH2896" s="12"/>
      <c r="DMI2896" s="12"/>
      <c r="DMJ2896" s="12"/>
      <c r="DMK2896" s="12"/>
      <c r="DML2896" s="12"/>
      <c r="DMM2896" s="12"/>
      <c r="DMN2896" s="12"/>
      <c r="DMO2896" s="12"/>
      <c r="DMP2896" s="12"/>
      <c r="DMQ2896" s="12"/>
    </row>
    <row r="2897" spans="3044:3059">
      <c r="DMB2897" s="12"/>
      <c r="DMC2897" s="12"/>
      <c r="DMD2897" s="12"/>
      <c r="DME2897" s="12"/>
      <c r="DMF2897" s="12"/>
      <c r="DMG2897" s="12"/>
      <c r="DMH2897" s="12"/>
      <c r="DMI2897" s="12"/>
      <c r="DMJ2897" s="12"/>
      <c r="DMK2897" s="12"/>
      <c r="DML2897" s="12"/>
      <c r="DMM2897" s="12"/>
      <c r="DMN2897" s="12"/>
      <c r="DMO2897" s="12"/>
      <c r="DMP2897" s="12"/>
      <c r="DMQ2897" s="12"/>
    </row>
    <row r="2898" spans="3044:3059">
      <c r="DMB2898" s="12"/>
      <c r="DMC2898" s="12"/>
      <c r="DMD2898" s="12"/>
      <c r="DME2898" s="12"/>
      <c r="DMF2898" s="12"/>
      <c r="DMG2898" s="12"/>
      <c r="DMH2898" s="12"/>
      <c r="DMI2898" s="12"/>
      <c r="DMJ2898" s="12"/>
      <c r="DMK2898" s="12"/>
      <c r="DML2898" s="12"/>
      <c r="DMM2898" s="12"/>
      <c r="DMN2898" s="12"/>
      <c r="DMO2898" s="12"/>
      <c r="DMP2898" s="12"/>
      <c r="DMQ2898" s="12"/>
    </row>
    <row r="2899" spans="3044:3059">
      <c r="DMB2899" s="12"/>
      <c r="DMC2899" s="12"/>
      <c r="DMD2899" s="12"/>
      <c r="DME2899" s="12"/>
      <c r="DMF2899" s="12"/>
      <c r="DMG2899" s="12"/>
      <c r="DMH2899" s="12"/>
      <c r="DMI2899" s="12"/>
      <c r="DMJ2899" s="12"/>
      <c r="DMK2899" s="12"/>
      <c r="DML2899" s="12"/>
      <c r="DMM2899" s="12"/>
      <c r="DMN2899" s="12"/>
      <c r="DMO2899" s="12"/>
      <c r="DMP2899" s="12"/>
      <c r="DMQ2899" s="12"/>
    </row>
    <row r="2900" spans="3044:3059">
      <c r="DMB2900" s="12"/>
      <c r="DMC2900" s="12"/>
      <c r="DMD2900" s="12"/>
      <c r="DME2900" s="12"/>
      <c r="DMF2900" s="12"/>
      <c r="DMG2900" s="12"/>
      <c r="DMH2900" s="12"/>
      <c r="DMI2900" s="12"/>
      <c r="DMJ2900" s="12"/>
      <c r="DMK2900" s="12"/>
      <c r="DML2900" s="12"/>
      <c r="DMM2900" s="12"/>
      <c r="DMN2900" s="12"/>
      <c r="DMO2900" s="12"/>
      <c r="DMP2900" s="12"/>
      <c r="DMQ2900" s="12"/>
    </row>
    <row r="2901" spans="3044:3059">
      <c r="DMB2901" s="12"/>
      <c r="DMC2901" s="12"/>
      <c r="DMD2901" s="12"/>
      <c r="DME2901" s="12"/>
      <c r="DMF2901" s="12"/>
      <c r="DMG2901" s="12"/>
      <c r="DMH2901" s="12"/>
      <c r="DMI2901" s="12"/>
      <c r="DMJ2901" s="12"/>
      <c r="DMK2901" s="12"/>
      <c r="DML2901" s="12"/>
      <c r="DMM2901" s="12"/>
      <c r="DMN2901" s="12"/>
      <c r="DMO2901" s="12"/>
      <c r="DMP2901" s="12"/>
      <c r="DMQ2901" s="12"/>
    </row>
    <row r="2902" spans="3044:3059">
      <c r="DMB2902" s="12"/>
      <c r="DMC2902" s="12"/>
      <c r="DMD2902" s="12"/>
      <c r="DME2902" s="12"/>
      <c r="DMF2902" s="12"/>
      <c r="DMG2902" s="12"/>
      <c r="DMH2902" s="12"/>
      <c r="DMI2902" s="12"/>
      <c r="DMJ2902" s="12"/>
      <c r="DMK2902" s="12"/>
      <c r="DML2902" s="12"/>
      <c r="DMM2902" s="12"/>
      <c r="DMN2902" s="12"/>
      <c r="DMO2902" s="12"/>
      <c r="DMP2902" s="12"/>
      <c r="DMQ2902" s="12"/>
    </row>
    <row r="2903" spans="3044:3059">
      <c r="DMB2903" s="12"/>
      <c r="DMC2903" s="12"/>
      <c r="DMD2903" s="12"/>
      <c r="DME2903" s="12"/>
      <c r="DMF2903" s="12"/>
      <c r="DMG2903" s="12"/>
      <c r="DMH2903" s="12"/>
      <c r="DMI2903" s="12"/>
      <c r="DMJ2903" s="12"/>
      <c r="DMK2903" s="12"/>
      <c r="DML2903" s="12"/>
      <c r="DMM2903" s="12"/>
      <c r="DMN2903" s="12"/>
      <c r="DMO2903" s="12"/>
      <c r="DMP2903" s="12"/>
      <c r="DMQ2903" s="12"/>
    </row>
    <row r="2904" spans="3044:3059">
      <c r="DMB2904" s="12"/>
      <c r="DMC2904" s="12"/>
      <c r="DMD2904" s="12"/>
      <c r="DME2904" s="12"/>
      <c r="DMF2904" s="12"/>
      <c r="DMG2904" s="12"/>
      <c r="DMH2904" s="12"/>
      <c r="DMI2904" s="12"/>
      <c r="DMJ2904" s="12"/>
      <c r="DMK2904" s="12"/>
      <c r="DML2904" s="12"/>
      <c r="DMM2904" s="12"/>
      <c r="DMN2904" s="12"/>
      <c r="DMO2904" s="12"/>
      <c r="DMP2904" s="12"/>
      <c r="DMQ2904" s="12"/>
    </row>
    <row r="2905" spans="3044:3059">
      <c r="DMB2905" s="12"/>
      <c r="DMC2905" s="12"/>
      <c r="DMD2905" s="12"/>
      <c r="DME2905" s="12"/>
      <c r="DMF2905" s="12"/>
      <c r="DMG2905" s="12"/>
      <c r="DMH2905" s="12"/>
      <c r="DMI2905" s="12"/>
      <c r="DMJ2905" s="12"/>
      <c r="DMK2905" s="12"/>
      <c r="DML2905" s="12"/>
      <c r="DMM2905" s="12"/>
      <c r="DMN2905" s="12"/>
      <c r="DMO2905" s="12"/>
      <c r="DMP2905" s="12"/>
      <c r="DMQ2905" s="12"/>
    </row>
    <row r="2906" spans="3044:3059">
      <c r="DMB2906" s="12"/>
      <c r="DMC2906" s="12"/>
      <c r="DMD2906" s="12"/>
      <c r="DME2906" s="12"/>
      <c r="DMF2906" s="12"/>
      <c r="DMG2906" s="12"/>
      <c r="DMH2906" s="12"/>
      <c r="DMI2906" s="12"/>
      <c r="DMJ2906" s="12"/>
      <c r="DMK2906" s="12"/>
      <c r="DML2906" s="12"/>
      <c r="DMM2906" s="12"/>
      <c r="DMN2906" s="12"/>
      <c r="DMO2906" s="12"/>
      <c r="DMP2906" s="12"/>
      <c r="DMQ2906" s="12"/>
    </row>
    <row r="2907" spans="3044:3059">
      <c r="DMB2907" s="12"/>
      <c r="DMC2907" s="12"/>
      <c r="DMD2907" s="12"/>
      <c r="DME2907" s="12"/>
      <c r="DMF2907" s="12"/>
      <c r="DMG2907" s="12"/>
      <c r="DMH2907" s="12"/>
      <c r="DMI2907" s="12"/>
      <c r="DMJ2907" s="12"/>
      <c r="DMK2907" s="12"/>
      <c r="DML2907" s="12"/>
      <c r="DMM2907" s="12"/>
      <c r="DMN2907" s="12"/>
      <c r="DMO2907" s="12"/>
      <c r="DMP2907" s="12"/>
      <c r="DMQ2907" s="12"/>
    </row>
    <row r="2908" spans="3044:3059">
      <c r="DMB2908" s="12"/>
      <c r="DMC2908" s="12"/>
      <c r="DMD2908" s="12"/>
      <c r="DME2908" s="12"/>
      <c r="DMF2908" s="12"/>
      <c r="DMG2908" s="12"/>
      <c r="DMH2908" s="12"/>
      <c r="DMI2908" s="12"/>
      <c r="DMJ2908" s="12"/>
      <c r="DMK2908" s="12"/>
      <c r="DML2908" s="12"/>
      <c r="DMM2908" s="12"/>
      <c r="DMN2908" s="12"/>
      <c r="DMO2908" s="12"/>
      <c r="DMP2908" s="12"/>
      <c r="DMQ2908" s="12"/>
    </row>
    <row r="2909" spans="3044:3059">
      <c r="DMB2909" s="12"/>
      <c r="DMC2909" s="12"/>
      <c r="DMD2909" s="12"/>
      <c r="DME2909" s="12"/>
      <c r="DMF2909" s="12"/>
      <c r="DMG2909" s="12"/>
      <c r="DMH2909" s="12"/>
      <c r="DMI2909" s="12"/>
      <c r="DMJ2909" s="12"/>
      <c r="DMK2909" s="12"/>
      <c r="DML2909" s="12"/>
      <c r="DMM2909" s="12"/>
      <c r="DMN2909" s="12"/>
      <c r="DMO2909" s="12"/>
      <c r="DMP2909" s="12"/>
      <c r="DMQ2909" s="12"/>
    </row>
    <row r="2910" spans="3044:3059">
      <c r="DMB2910" s="12"/>
      <c r="DMC2910" s="12"/>
      <c r="DMD2910" s="12"/>
      <c r="DME2910" s="12"/>
      <c r="DMF2910" s="12"/>
      <c r="DMG2910" s="12"/>
      <c r="DMH2910" s="12"/>
      <c r="DMI2910" s="12"/>
      <c r="DMJ2910" s="12"/>
      <c r="DMK2910" s="12"/>
      <c r="DML2910" s="12"/>
      <c r="DMM2910" s="12"/>
      <c r="DMN2910" s="12"/>
      <c r="DMO2910" s="12"/>
      <c r="DMP2910" s="12"/>
      <c r="DMQ2910" s="12"/>
    </row>
    <row r="2911" spans="3044:3059">
      <c r="DMB2911" s="12"/>
      <c r="DMC2911" s="12"/>
      <c r="DMD2911" s="12"/>
      <c r="DME2911" s="12"/>
      <c r="DMF2911" s="12"/>
      <c r="DMG2911" s="12"/>
      <c r="DMH2911" s="12"/>
      <c r="DMI2911" s="12"/>
      <c r="DMJ2911" s="12"/>
      <c r="DMK2911" s="12"/>
      <c r="DML2911" s="12"/>
      <c r="DMM2911" s="12"/>
      <c r="DMN2911" s="12"/>
      <c r="DMO2911" s="12"/>
      <c r="DMP2911" s="12"/>
      <c r="DMQ2911" s="12"/>
    </row>
    <row r="2912" spans="3044:3059">
      <c r="DMB2912" s="12"/>
      <c r="DMC2912" s="12"/>
      <c r="DMD2912" s="12"/>
      <c r="DME2912" s="12"/>
      <c r="DMF2912" s="12"/>
      <c r="DMG2912" s="12"/>
      <c r="DMH2912" s="12"/>
      <c r="DMI2912" s="12"/>
      <c r="DMJ2912" s="12"/>
      <c r="DMK2912" s="12"/>
      <c r="DML2912" s="12"/>
      <c r="DMM2912" s="12"/>
      <c r="DMN2912" s="12"/>
      <c r="DMO2912" s="12"/>
      <c r="DMP2912" s="12"/>
      <c r="DMQ2912" s="12"/>
    </row>
    <row r="2913" spans="3044:3059">
      <c r="DMB2913" s="12"/>
      <c r="DMC2913" s="12"/>
      <c r="DMD2913" s="12"/>
      <c r="DME2913" s="12"/>
      <c r="DMF2913" s="12"/>
      <c r="DMG2913" s="12"/>
      <c r="DMH2913" s="12"/>
      <c r="DMI2913" s="12"/>
      <c r="DMJ2913" s="12"/>
      <c r="DMK2913" s="12"/>
      <c r="DML2913" s="12"/>
      <c r="DMM2913" s="12"/>
      <c r="DMN2913" s="12"/>
      <c r="DMO2913" s="12"/>
      <c r="DMP2913" s="12"/>
      <c r="DMQ2913" s="12"/>
    </row>
    <row r="2914" spans="3044:3059">
      <c r="DMB2914" s="12"/>
      <c r="DMC2914" s="12"/>
      <c r="DMD2914" s="12"/>
      <c r="DME2914" s="12"/>
      <c r="DMF2914" s="12"/>
      <c r="DMG2914" s="12"/>
      <c r="DMH2914" s="12"/>
      <c r="DMI2914" s="12"/>
      <c r="DMJ2914" s="12"/>
      <c r="DMK2914" s="12"/>
      <c r="DML2914" s="12"/>
      <c r="DMM2914" s="12"/>
      <c r="DMN2914" s="12"/>
      <c r="DMO2914" s="12"/>
      <c r="DMP2914" s="12"/>
      <c r="DMQ2914" s="12"/>
    </row>
    <row r="2915" spans="3044:3059">
      <c r="DMB2915" s="12"/>
      <c r="DMC2915" s="12"/>
      <c r="DMD2915" s="12"/>
      <c r="DME2915" s="12"/>
      <c r="DMF2915" s="12"/>
      <c r="DMG2915" s="12"/>
      <c r="DMH2915" s="12"/>
      <c r="DMI2915" s="12"/>
      <c r="DMJ2915" s="12"/>
      <c r="DMK2915" s="12"/>
      <c r="DML2915" s="12"/>
      <c r="DMM2915" s="12"/>
      <c r="DMN2915" s="12"/>
      <c r="DMO2915" s="12"/>
      <c r="DMP2915" s="12"/>
      <c r="DMQ2915" s="12"/>
    </row>
    <row r="2916" spans="3044:3059">
      <c r="DMB2916" s="12"/>
      <c r="DMC2916" s="12"/>
      <c r="DMD2916" s="12"/>
      <c r="DME2916" s="12"/>
      <c r="DMF2916" s="12"/>
      <c r="DMG2916" s="12"/>
      <c r="DMH2916" s="12"/>
      <c r="DMI2916" s="12"/>
      <c r="DMJ2916" s="12"/>
      <c r="DMK2916" s="12"/>
      <c r="DML2916" s="12"/>
      <c r="DMM2916" s="12"/>
      <c r="DMN2916" s="12"/>
      <c r="DMO2916" s="12"/>
      <c r="DMP2916" s="12"/>
      <c r="DMQ2916" s="12"/>
    </row>
    <row r="2917" spans="3044:3059">
      <c r="DMB2917" s="12"/>
      <c r="DMC2917" s="12"/>
      <c r="DMD2917" s="12"/>
      <c r="DME2917" s="12"/>
      <c r="DMF2917" s="12"/>
      <c r="DMG2917" s="12"/>
      <c r="DMH2917" s="12"/>
      <c r="DMI2917" s="12"/>
      <c r="DMJ2917" s="12"/>
      <c r="DMK2917" s="12"/>
      <c r="DML2917" s="12"/>
      <c r="DMM2917" s="12"/>
      <c r="DMN2917" s="12"/>
      <c r="DMO2917" s="12"/>
      <c r="DMP2917" s="12"/>
      <c r="DMQ2917" s="12"/>
    </row>
    <row r="2918" spans="3044:3059">
      <c r="DMB2918" s="12"/>
      <c r="DMC2918" s="12"/>
      <c r="DMD2918" s="12"/>
      <c r="DME2918" s="12"/>
      <c r="DMF2918" s="12"/>
      <c r="DMG2918" s="12"/>
      <c r="DMH2918" s="12"/>
      <c r="DMI2918" s="12"/>
      <c r="DMJ2918" s="12"/>
      <c r="DMK2918" s="12"/>
      <c r="DML2918" s="12"/>
      <c r="DMM2918" s="12"/>
      <c r="DMN2918" s="12"/>
      <c r="DMO2918" s="12"/>
      <c r="DMP2918" s="12"/>
      <c r="DMQ2918" s="12"/>
    </row>
    <row r="2919" spans="3044:3059">
      <c r="DMB2919" s="12"/>
      <c r="DMC2919" s="12"/>
      <c r="DMD2919" s="12"/>
      <c r="DME2919" s="12"/>
      <c r="DMF2919" s="12"/>
      <c r="DMG2919" s="12"/>
      <c r="DMH2919" s="12"/>
      <c r="DMI2919" s="12"/>
      <c r="DMJ2919" s="12"/>
      <c r="DMK2919" s="12"/>
      <c r="DML2919" s="12"/>
      <c r="DMM2919" s="12"/>
      <c r="DMN2919" s="12"/>
      <c r="DMO2919" s="12"/>
      <c r="DMP2919" s="12"/>
      <c r="DMQ2919" s="12"/>
    </row>
    <row r="2920" spans="3044:3059">
      <c r="DMB2920" s="12"/>
      <c r="DMC2920" s="12"/>
      <c r="DMD2920" s="12"/>
      <c r="DME2920" s="12"/>
      <c r="DMF2920" s="12"/>
      <c r="DMG2920" s="12"/>
      <c r="DMH2920" s="12"/>
      <c r="DMI2920" s="12"/>
      <c r="DMJ2920" s="12"/>
      <c r="DMK2920" s="12"/>
      <c r="DML2920" s="12"/>
      <c r="DMM2920" s="12"/>
      <c r="DMN2920" s="12"/>
      <c r="DMO2920" s="12"/>
      <c r="DMP2920" s="12"/>
      <c r="DMQ2920" s="12"/>
    </row>
    <row r="2921" spans="3044:3059">
      <c r="DMB2921" s="12"/>
      <c r="DMC2921" s="12"/>
      <c r="DMD2921" s="12"/>
      <c r="DME2921" s="12"/>
      <c r="DMF2921" s="12"/>
      <c r="DMG2921" s="12"/>
      <c r="DMH2921" s="12"/>
      <c r="DMI2921" s="12"/>
      <c r="DMJ2921" s="12"/>
      <c r="DMK2921" s="12"/>
      <c r="DML2921" s="12"/>
      <c r="DMM2921" s="12"/>
      <c r="DMN2921" s="12"/>
      <c r="DMO2921" s="12"/>
      <c r="DMP2921" s="12"/>
      <c r="DMQ2921" s="12"/>
    </row>
    <row r="2922" spans="3044:3059">
      <c r="DMB2922" s="12"/>
      <c r="DMC2922" s="12"/>
      <c r="DMD2922" s="12"/>
      <c r="DME2922" s="12"/>
      <c r="DMF2922" s="12"/>
      <c r="DMG2922" s="12"/>
      <c r="DMH2922" s="12"/>
      <c r="DMI2922" s="12"/>
      <c r="DMJ2922" s="12"/>
      <c r="DMK2922" s="12"/>
      <c r="DML2922" s="12"/>
      <c r="DMM2922" s="12"/>
      <c r="DMN2922" s="12"/>
      <c r="DMO2922" s="12"/>
      <c r="DMP2922" s="12"/>
      <c r="DMQ2922" s="12"/>
    </row>
    <row r="2923" spans="3044:3059">
      <c r="DMB2923" s="12"/>
      <c r="DMC2923" s="12"/>
      <c r="DMD2923" s="12"/>
      <c r="DME2923" s="12"/>
      <c r="DMF2923" s="12"/>
      <c r="DMG2923" s="12"/>
      <c r="DMH2923" s="12"/>
      <c r="DMI2923" s="12"/>
      <c r="DMJ2923" s="12"/>
      <c r="DMK2923" s="12"/>
      <c r="DML2923" s="12"/>
      <c r="DMM2923" s="12"/>
      <c r="DMN2923" s="12"/>
      <c r="DMO2923" s="12"/>
      <c r="DMP2923" s="12"/>
      <c r="DMQ2923" s="12"/>
    </row>
    <row r="2924" spans="3044:3059">
      <c r="DMB2924" s="12"/>
      <c r="DMC2924" s="12"/>
      <c r="DMD2924" s="12"/>
      <c r="DME2924" s="12"/>
      <c r="DMF2924" s="12"/>
      <c r="DMG2924" s="12"/>
      <c r="DMH2924" s="12"/>
      <c r="DMI2924" s="12"/>
      <c r="DMJ2924" s="12"/>
      <c r="DMK2924" s="12"/>
      <c r="DML2924" s="12"/>
      <c r="DMM2924" s="12"/>
      <c r="DMN2924" s="12"/>
      <c r="DMO2924" s="12"/>
      <c r="DMP2924" s="12"/>
      <c r="DMQ2924" s="12"/>
    </row>
    <row r="2925" spans="3044:3059">
      <c r="DMB2925" s="12"/>
      <c r="DMC2925" s="12"/>
      <c r="DMD2925" s="12"/>
      <c r="DME2925" s="12"/>
      <c r="DMF2925" s="12"/>
      <c r="DMG2925" s="12"/>
      <c r="DMH2925" s="12"/>
      <c r="DMI2925" s="12"/>
      <c r="DMJ2925" s="12"/>
      <c r="DMK2925" s="12"/>
      <c r="DML2925" s="12"/>
      <c r="DMM2925" s="12"/>
      <c r="DMN2925" s="12"/>
      <c r="DMO2925" s="12"/>
      <c r="DMP2925" s="12"/>
      <c r="DMQ2925" s="12"/>
    </row>
    <row r="2926" spans="3044:3059">
      <c r="DMB2926" s="12"/>
      <c r="DMC2926" s="12"/>
      <c r="DMD2926" s="12"/>
      <c r="DME2926" s="12"/>
      <c r="DMF2926" s="12"/>
      <c r="DMG2926" s="12"/>
      <c r="DMH2926" s="12"/>
      <c r="DMI2926" s="12"/>
      <c r="DMJ2926" s="12"/>
      <c r="DMK2926" s="12"/>
      <c r="DML2926" s="12"/>
      <c r="DMM2926" s="12"/>
      <c r="DMN2926" s="12"/>
      <c r="DMO2926" s="12"/>
      <c r="DMP2926" s="12"/>
      <c r="DMQ2926" s="12"/>
    </row>
    <row r="2927" spans="3044:3059">
      <c r="DMB2927" s="12"/>
      <c r="DMC2927" s="12"/>
      <c r="DMD2927" s="12"/>
      <c r="DME2927" s="12"/>
      <c r="DMF2927" s="12"/>
      <c r="DMG2927" s="12"/>
      <c r="DMH2927" s="12"/>
      <c r="DMI2927" s="12"/>
      <c r="DMJ2927" s="12"/>
      <c r="DMK2927" s="12"/>
      <c r="DML2927" s="12"/>
      <c r="DMM2927" s="12"/>
      <c r="DMN2927" s="12"/>
      <c r="DMO2927" s="12"/>
      <c r="DMP2927" s="12"/>
      <c r="DMQ2927" s="12"/>
    </row>
    <row r="2928" spans="3044:3059">
      <c r="DMB2928" s="12"/>
      <c r="DMC2928" s="12"/>
      <c r="DMD2928" s="12"/>
      <c r="DME2928" s="12"/>
      <c r="DMF2928" s="12"/>
      <c r="DMG2928" s="12"/>
      <c r="DMH2928" s="12"/>
      <c r="DMI2928" s="12"/>
      <c r="DMJ2928" s="12"/>
      <c r="DMK2928" s="12"/>
      <c r="DML2928" s="12"/>
      <c r="DMM2928" s="12"/>
      <c r="DMN2928" s="12"/>
      <c r="DMO2928" s="12"/>
      <c r="DMP2928" s="12"/>
      <c r="DMQ2928" s="12"/>
    </row>
    <row r="2929" spans="3044:3059">
      <c r="DMB2929" s="12"/>
      <c r="DMC2929" s="12"/>
      <c r="DMD2929" s="12"/>
      <c r="DME2929" s="12"/>
      <c r="DMF2929" s="12"/>
      <c r="DMG2929" s="12"/>
      <c r="DMH2929" s="12"/>
      <c r="DMI2929" s="12"/>
      <c r="DMJ2929" s="12"/>
      <c r="DMK2929" s="12"/>
      <c r="DML2929" s="12"/>
      <c r="DMM2929" s="12"/>
      <c r="DMN2929" s="12"/>
      <c r="DMO2929" s="12"/>
      <c r="DMP2929" s="12"/>
      <c r="DMQ2929" s="12"/>
    </row>
    <row r="2930" spans="3044:3059">
      <c r="DMB2930" s="12"/>
      <c r="DMC2930" s="12"/>
      <c r="DMD2930" s="12"/>
      <c r="DME2930" s="12"/>
      <c r="DMF2930" s="12"/>
      <c r="DMG2930" s="12"/>
      <c r="DMH2930" s="12"/>
      <c r="DMI2930" s="12"/>
      <c r="DMJ2930" s="12"/>
      <c r="DMK2930" s="12"/>
      <c r="DML2930" s="12"/>
      <c r="DMM2930" s="12"/>
      <c r="DMN2930" s="12"/>
      <c r="DMO2930" s="12"/>
      <c r="DMP2930" s="12"/>
      <c r="DMQ2930" s="12"/>
    </row>
    <row r="2931" spans="3044:3059">
      <c r="DMB2931" s="12"/>
      <c r="DMC2931" s="12"/>
      <c r="DMD2931" s="12"/>
      <c r="DME2931" s="12"/>
      <c r="DMF2931" s="12"/>
      <c r="DMG2931" s="12"/>
      <c r="DMH2931" s="12"/>
      <c r="DMI2931" s="12"/>
      <c r="DMJ2931" s="12"/>
      <c r="DMK2931" s="12"/>
      <c r="DML2931" s="12"/>
      <c r="DMM2931" s="12"/>
      <c r="DMN2931" s="12"/>
      <c r="DMO2931" s="12"/>
      <c r="DMP2931" s="12"/>
      <c r="DMQ2931" s="12"/>
    </row>
    <row r="2932" spans="3044:3059">
      <c r="DMB2932" s="12"/>
      <c r="DMC2932" s="12"/>
      <c r="DMD2932" s="12"/>
      <c r="DME2932" s="12"/>
      <c r="DMF2932" s="12"/>
      <c r="DMG2932" s="12"/>
      <c r="DMH2932" s="12"/>
      <c r="DMI2932" s="12"/>
      <c r="DMJ2932" s="12"/>
      <c r="DMK2932" s="12"/>
      <c r="DML2932" s="12"/>
      <c r="DMM2932" s="12"/>
      <c r="DMN2932" s="12"/>
      <c r="DMO2932" s="12"/>
      <c r="DMP2932" s="12"/>
      <c r="DMQ2932" s="12"/>
    </row>
    <row r="2933" spans="3044:3059">
      <c r="DMB2933" s="12"/>
      <c r="DMC2933" s="12"/>
      <c r="DMD2933" s="12"/>
      <c r="DME2933" s="12"/>
      <c r="DMF2933" s="12"/>
      <c r="DMG2933" s="12"/>
      <c r="DMH2933" s="12"/>
      <c r="DMI2933" s="12"/>
      <c r="DMJ2933" s="12"/>
      <c r="DMK2933" s="12"/>
      <c r="DML2933" s="12"/>
      <c r="DMM2933" s="12"/>
      <c r="DMN2933" s="12"/>
      <c r="DMO2933" s="12"/>
      <c r="DMP2933" s="12"/>
      <c r="DMQ2933" s="12"/>
    </row>
    <row r="2934" spans="3044:3059">
      <c r="DMB2934" s="12"/>
      <c r="DMC2934" s="12"/>
      <c r="DMD2934" s="12"/>
      <c r="DME2934" s="12"/>
      <c r="DMF2934" s="12"/>
      <c r="DMG2934" s="12"/>
      <c r="DMH2934" s="12"/>
      <c r="DMI2934" s="12"/>
      <c r="DMJ2934" s="12"/>
      <c r="DMK2934" s="12"/>
      <c r="DML2934" s="12"/>
      <c r="DMM2934" s="12"/>
      <c r="DMN2934" s="12"/>
      <c r="DMO2934" s="12"/>
      <c r="DMP2934" s="12"/>
      <c r="DMQ2934" s="12"/>
    </row>
    <row r="2935" spans="3044:3059">
      <c r="DMB2935" s="12"/>
      <c r="DMC2935" s="12"/>
      <c r="DMD2935" s="12"/>
      <c r="DME2935" s="12"/>
      <c r="DMF2935" s="12"/>
      <c r="DMG2935" s="12"/>
      <c r="DMH2935" s="12"/>
      <c r="DMI2935" s="12"/>
      <c r="DMJ2935" s="12"/>
      <c r="DMK2935" s="12"/>
      <c r="DML2935" s="12"/>
      <c r="DMM2935" s="12"/>
      <c r="DMN2935" s="12"/>
      <c r="DMO2935" s="12"/>
      <c r="DMP2935" s="12"/>
      <c r="DMQ2935" s="12"/>
    </row>
    <row r="2936" spans="3044:3059">
      <c r="DMB2936" s="12"/>
      <c r="DMC2936" s="12"/>
      <c r="DMD2936" s="12"/>
      <c r="DME2936" s="12"/>
      <c r="DMF2936" s="12"/>
      <c r="DMG2936" s="12"/>
      <c r="DMH2936" s="12"/>
      <c r="DMI2936" s="12"/>
      <c r="DMJ2936" s="12"/>
      <c r="DMK2936" s="12"/>
      <c r="DML2936" s="12"/>
      <c r="DMM2936" s="12"/>
      <c r="DMN2936" s="12"/>
      <c r="DMO2936" s="12"/>
      <c r="DMP2936" s="12"/>
      <c r="DMQ2936" s="12"/>
    </row>
    <row r="2937" spans="3044:3059">
      <c r="DMB2937" s="12"/>
      <c r="DMC2937" s="12"/>
      <c r="DMD2937" s="12"/>
      <c r="DME2937" s="12"/>
      <c r="DMF2937" s="12"/>
      <c r="DMG2937" s="12"/>
      <c r="DMH2937" s="12"/>
      <c r="DMI2937" s="12"/>
      <c r="DMJ2937" s="12"/>
      <c r="DMK2937" s="12"/>
      <c r="DML2937" s="12"/>
      <c r="DMM2937" s="12"/>
      <c r="DMN2937" s="12"/>
      <c r="DMO2937" s="12"/>
      <c r="DMP2937" s="12"/>
      <c r="DMQ2937" s="12"/>
    </row>
    <row r="2938" spans="3044:3059">
      <c r="DMB2938" s="12"/>
      <c r="DMC2938" s="12"/>
      <c r="DMD2938" s="12"/>
      <c r="DME2938" s="12"/>
      <c r="DMF2938" s="12"/>
      <c r="DMG2938" s="12"/>
      <c r="DMH2938" s="12"/>
      <c r="DMI2938" s="12"/>
      <c r="DMJ2938" s="12"/>
      <c r="DMK2938" s="12"/>
      <c r="DML2938" s="12"/>
      <c r="DMM2938" s="12"/>
      <c r="DMN2938" s="12"/>
      <c r="DMO2938" s="12"/>
      <c r="DMP2938" s="12"/>
      <c r="DMQ2938" s="12"/>
    </row>
    <row r="2939" spans="3044:3059">
      <c r="DMB2939" s="12"/>
      <c r="DMC2939" s="12"/>
      <c r="DMD2939" s="12"/>
      <c r="DME2939" s="12"/>
      <c r="DMF2939" s="12"/>
      <c r="DMG2939" s="12"/>
      <c r="DMH2939" s="12"/>
      <c r="DMI2939" s="12"/>
      <c r="DMJ2939" s="12"/>
      <c r="DMK2939" s="12"/>
      <c r="DML2939" s="12"/>
      <c r="DMM2939" s="12"/>
      <c r="DMN2939" s="12"/>
      <c r="DMO2939" s="12"/>
      <c r="DMP2939" s="12"/>
      <c r="DMQ2939" s="12"/>
    </row>
    <row r="2940" spans="3044:3059">
      <c r="DMB2940" s="12"/>
      <c r="DMC2940" s="12"/>
      <c r="DMD2940" s="12"/>
      <c r="DME2940" s="12"/>
      <c r="DMF2940" s="12"/>
      <c r="DMG2940" s="12"/>
      <c r="DMH2940" s="12"/>
      <c r="DMI2940" s="12"/>
      <c r="DMJ2940" s="12"/>
      <c r="DMK2940" s="12"/>
      <c r="DML2940" s="12"/>
      <c r="DMM2940" s="12"/>
      <c r="DMN2940" s="12"/>
      <c r="DMO2940" s="12"/>
      <c r="DMP2940" s="12"/>
      <c r="DMQ2940" s="12"/>
    </row>
    <row r="2941" spans="3044:3059">
      <c r="DMB2941" s="12"/>
      <c r="DMC2941" s="12"/>
      <c r="DMD2941" s="12"/>
      <c r="DME2941" s="12"/>
      <c r="DMF2941" s="12"/>
      <c r="DMG2941" s="12"/>
      <c r="DMH2941" s="12"/>
      <c r="DMI2941" s="12"/>
      <c r="DMJ2941" s="12"/>
      <c r="DMK2941" s="12"/>
      <c r="DML2941" s="12"/>
      <c r="DMM2941" s="12"/>
      <c r="DMN2941" s="12"/>
      <c r="DMO2941" s="12"/>
      <c r="DMP2941" s="12"/>
      <c r="DMQ2941" s="12"/>
    </row>
    <row r="2942" spans="3044:3059">
      <c r="DMB2942" s="12"/>
      <c r="DMC2942" s="12"/>
      <c r="DMD2942" s="12"/>
      <c r="DME2942" s="12"/>
      <c r="DMF2942" s="12"/>
      <c r="DMG2942" s="12"/>
      <c r="DMH2942" s="12"/>
      <c r="DMI2942" s="12"/>
      <c r="DMJ2942" s="12"/>
      <c r="DMK2942" s="12"/>
      <c r="DML2942" s="12"/>
      <c r="DMM2942" s="12"/>
      <c r="DMN2942" s="12"/>
      <c r="DMO2942" s="12"/>
      <c r="DMP2942" s="12"/>
      <c r="DMQ2942" s="12"/>
    </row>
    <row r="2943" spans="3044:3059">
      <c r="DMB2943" s="12"/>
      <c r="DMC2943" s="12"/>
      <c r="DMD2943" s="12"/>
      <c r="DME2943" s="12"/>
      <c r="DMF2943" s="12"/>
      <c r="DMG2943" s="12"/>
      <c r="DMH2943" s="12"/>
      <c r="DMI2943" s="12"/>
      <c r="DMJ2943" s="12"/>
      <c r="DMK2943" s="12"/>
      <c r="DML2943" s="12"/>
      <c r="DMM2943" s="12"/>
      <c r="DMN2943" s="12"/>
      <c r="DMO2943" s="12"/>
      <c r="DMP2943" s="12"/>
      <c r="DMQ2943" s="12"/>
    </row>
    <row r="2944" spans="3044:3059">
      <c r="DMB2944" s="12"/>
      <c r="DMC2944" s="12"/>
      <c r="DMD2944" s="12"/>
      <c r="DME2944" s="12"/>
      <c r="DMF2944" s="12"/>
      <c r="DMG2944" s="12"/>
      <c r="DMH2944" s="12"/>
      <c r="DMI2944" s="12"/>
      <c r="DMJ2944" s="12"/>
      <c r="DMK2944" s="12"/>
      <c r="DML2944" s="12"/>
      <c r="DMM2944" s="12"/>
      <c r="DMN2944" s="12"/>
      <c r="DMO2944" s="12"/>
      <c r="DMP2944" s="12"/>
      <c r="DMQ2944" s="12"/>
    </row>
    <row r="2945" spans="3044:3059">
      <c r="DMB2945" s="12"/>
      <c r="DMC2945" s="12"/>
      <c r="DMD2945" s="12"/>
      <c r="DME2945" s="12"/>
      <c r="DMF2945" s="12"/>
      <c r="DMG2945" s="12"/>
      <c r="DMH2945" s="12"/>
      <c r="DMI2945" s="12"/>
      <c r="DMJ2945" s="12"/>
      <c r="DMK2945" s="12"/>
      <c r="DML2945" s="12"/>
      <c r="DMM2945" s="12"/>
      <c r="DMN2945" s="12"/>
      <c r="DMO2945" s="12"/>
      <c r="DMP2945" s="12"/>
      <c r="DMQ2945" s="12"/>
    </row>
    <row r="2946" spans="3044:3059">
      <c r="DMB2946" s="12"/>
      <c r="DMC2946" s="12"/>
      <c r="DMD2946" s="12"/>
      <c r="DME2946" s="12"/>
      <c r="DMF2946" s="12"/>
      <c r="DMG2946" s="12"/>
      <c r="DMH2946" s="12"/>
      <c r="DMI2946" s="12"/>
      <c r="DMJ2946" s="12"/>
      <c r="DMK2946" s="12"/>
      <c r="DML2946" s="12"/>
      <c r="DMM2946" s="12"/>
      <c r="DMN2946" s="12"/>
      <c r="DMO2946" s="12"/>
      <c r="DMP2946" s="12"/>
      <c r="DMQ2946" s="12"/>
    </row>
    <row r="2947" spans="3044:3059">
      <c r="DMB2947" s="12"/>
      <c r="DMC2947" s="12"/>
      <c r="DMD2947" s="12"/>
      <c r="DME2947" s="12"/>
      <c r="DMF2947" s="12"/>
      <c r="DMG2947" s="12"/>
      <c r="DMH2947" s="12"/>
      <c r="DMI2947" s="12"/>
      <c r="DMJ2947" s="12"/>
      <c r="DMK2947" s="12"/>
      <c r="DML2947" s="12"/>
      <c r="DMM2947" s="12"/>
      <c r="DMN2947" s="12"/>
      <c r="DMO2947" s="12"/>
      <c r="DMP2947" s="12"/>
      <c r="DMQ2947" s="12"/>
    </row>
    <row r="2948" spans="3044:3059">
      <c r="DMB2948" s="12"/>
      <c r="DMC2948" s="12"/>
      <c r="DMD2948" s="12"/>
      <c r="DME2948" s="12"/>
      <c r="DMF2948" s="12"/>
      <c r="DMG2948" s="12"/>
      <c r="DMH2948" s="12"/>
      <c r="DMI2948" s="12"/>
      <c r="DMJ2948" s="12"/>
      <c r="DMK2948" s="12"/>
      <c r="DML2948" s="12"/>
      <c r="DMM2948" s="12"/>
      <c r="DMN2948" s="12"/>
      <c r="DMO2948" s="12"/>
      <c r="DMP2948" s="12"/>
      <c r="DMQ2948" s="12"/>
    </row>
    <row r="2949" spans="3044:3059">
      <c r="DMB2949" s="12"/>
      <c r="DMC2949" s="12"/>
      <c r="DMD2949" s="12"/>
      <c r="DME2949" s="12"/>
      <c r="DMF2949" s="12"/>
      <c r="DMG2949" s="12"/>
      <c r="DMH2949" s="12"/>
      <c r="DMI2949" s="12"/>
      <c r="DMJ2949" s="12"/>
      <c r="DMK2949" s="12"/>
      <c r="DML2949" s="12"/>
      <c r="DMM2949" s="12"/>
      <c r="DMN2949" s="12"/>
      <c r="DMO2949" s="12"/>
      <c r="DMP2949" s="12"/>
      <c r="DMQ2949" s="12"/>
    </row>
    <row r="2950" spans="3044:3059">
      <c r="DMB2950" s="12"/>
      <c r="DMC2950" s="12"/>
      <c r="DMD2950" s="12"/>
      <c r="DME2950" s="12"/>
      <c r="DMF2950" s="12"/>
      <c r="DMG2950" s="12"/>
      <c r="DMH2950" s="12"/>
      <c r="DMI2950" s="12"/>
      <c r="DMJ2950" s="12"/>
      <c r="DMK2950" s="12"/>
      <c r="DML2950" s="12"/>
      <c r="DMM2950" s="12"/>
      <c r="DMN2950" s="12"/>
      <c r="DMO2950" s="12"/>
      <c r="DMP2950" s="12"/>
      <c r="DMQ2950" s="12"/>
    </row>
    <row r="2951" spans="3044:3059">
      <c r="DMB2951" s="12"/>
      <c r="DMC2951" s="12"/>
      <c r="DMD2951" s="12"/>
      <c r="DME2951" s="12"/>
      <c r="DMF2951" s="12"/>
      <c r="DMG2951" s="12"/>
      <c r="DMH2951" s="12"/>
      <c r="DMI2951" s="12"/>
      <c r="DMJ2951" s="12"/>
      <c r="DMK2951" s="12"/>
      <c r="DML2951" s="12"/>
      <c r="DMM2951" s="12"/>
      <c r="DMN2951" s="12"/>
      <c r="DMO2951" s="12"/>
      <c r="DMP2951" s="12"/>
      <c r="DMQ2951" s="12"/>
    </row>
    <row r="2952" spans="3044:3059">
      <c r="DMB2952" s="12"/>
      <c r="DMC2952" s="12"/>
      <c r="DMD2952" s="12"/>
      <c r="DME2952" s="12"/>
      <c r="DMF2952" s="12"/>
      <c r="DMG2952" s="12"/>
      <c r="DMH2952" s="12"/>
      <c r="DMI2952" s="12"/>
      <c r="DMJ2952" s="12"/>
      <c r="DMK2952" s="12"/>
      <c r="DML2952" s="12"/>
      <c r="DMM2952" s="12"/>
      <c r="DMN2952" s="12"/>
      <c r="DMO2952" s="12"/>
      <c r="DMP2952" s="12"/>
      <c r="DMQ2952" s="12"/>
    </row>
    <row r="2953" spans="3044:3059">
      <c r="DMB2953" s="12"/>
      <c r="DMC2953" s="12"/>
      <c r="DMD2953" s="12"/>
      <c r="DME2953" s="12"/>
      <c r="DMF2953" s="12"/>
      <c r="DMG2953" s="12"/>
      <c r="DMH2953" s="12"/>
      <c r="DMI2953" s="12"/>
      <c r="DMJ2953" s="12"/>
      <c r="DMK2953" s="12"/>
      <c r="DML2953" s="12"/>
      <c r="DMM2953" s="12"/>
      <c r="DMN2953" s="12"/>
      <c r="DMO2953" s="12"/>
      <c r="DMP2953" s="12"/>
      <c r="DMQ2953" s="12"/>
    </row>
    <row r="2954" spans="3044:3059">
      <c r="DMB2954" s="12"/>
      <c r="DMC2954" s="12"/>
      <c r="DMD2954" s="12"/>
      <c r="DME2954" s="12"/>
      <c r="DMF2954" s="12"/>
      <c r="DMG2954" s="12"/>
      <c r="DMH2954" s="12"/>
      <c r="DMI2954" s="12"/>
      <c r="DMJ2954" s="12"/>
      <c r="DMK2954" s="12"/>
      <c r="DML2954" s="12"/>
      <c r="DMM2954" s="12"/>
      <c r="DMN2954" s="12"/>
      <c r="DMO2954" s="12"/>
      <c r="DMP2954" s="12"/>
      <c r="DMQ2954" s="12"/>
    </row>
    <row r="2955" spans="3044:3059">
      <c r="DMB2955" s="12"/>
      <c r="DMC2955" s="12"/>
      <c r="DMD2955" s="12"/>
      <c r="DME2955" s="12"/>
      <c r="DMF2955" s="12"/>
      <c r="DMG2955" s="12"/>
      <c r="DMH2955" s="12"/>
      <c r="DMI2955" s="12"/>
      <c r="DMJ2955" s="12"/>
      <c r="DMK2955" s="12"/>
      <c r="DML2955" s="12"/>
      <c r="DMM2955" s="12"/>
      <c r="DMN2955" s="12"/>
      <c r="DMO2955" s="12"/>
      <c r="DMP2955" s="12"/>
      <c r="DMQ2955" s="12"/>
    </row>
    <row r="2956" spans="3044:3059">
      <c r="DMB2956" s="12"/>
      <c r="DMC2956" s="12"/>
      <c r="DMD2956" s="12"/>
      <c r="DME2956" s="12"/>
      <c r="DMF2956" s="12"/>
      <c r="DMG2956" s="12"/>
      <c r="DMH2956" s="12"/>
      <c r="DMI2956" s="12"/>
      <c r="DMJ2956" s="12"/>
      <c r="DMK2956" s="12"/>
      <c r="DML2956" s="12"/>
      <c r="DMM2956" s="12"/>
      <c r="DMN2956" s="12"/>
      <c r="DMO2956" s="12"/>
      <c r="DMP2956" s="12"/>
      <c r="DMQ2956" s="12"/>
    </row>
    <row r="2957" spans="3044:3059">
      <c r="DMB2957" s="12"/>
      <c r="DMC2957" s="12"/>
      <c r="DMD2957" s="12"/>
      <c r="DME2957" s="12"/>
      <c r="DMF2957" s="12"/>
      <c r="DMG2957" s="12"/>
      <c r="DMH2957" s="12"/>
      <c r="DMI2957" s="12"/>
      <c r="DMJ2957" s="12"/>
      <c r="DMK2957" s="12"/>
      <c r="DML2957" s="12"/>
      <c r="DMM2957" s="12"/>
      <c r="DMN2957" s="12"/>
      <c r="DMO2957" s="12"/>
      <c r="DMP2957" s="12"/>
      <c r="DMQ2957" s="12"/>
    </row>
    <row r="2958" spans="3044:3059">
      <c r="DMB2958" s="12"/>
      <c r="DMC2958" s="12"/>
      <c r="DMD2958" s="12"/>
      <c r="DME2958" s="12"/>
      <c r="DMF2958" s="12"/>
      <c r="DMG2958" s="12"/>
      <c r="DMH2958" s="12"/>
      <c r="DMI2958" s="12"/>
      <c r="DMJ2958" s="12"/>
      <c r="DMK2958" s="12"/>
      <c r="DML2958" s="12"/>
      <c r="DMM2958" s="12"/>
      <c r="DMN2958" s="12"/>
      <c r="DMO2958" s="12"/>
      <c r="DMP2958" s="12"/>
      <c r="DMQ2958" s="12"/>
    </row>
    <row r="2959" spans="3044:3059">
      <c r="DMB2959" s="12"/>
      <c r="DMC2959" s="12"/>
      <c r="DMD2959" s="12"/>
      <c r="DME2959" s="12"/>
      <c r="DMF2959" s="12"/>
      <c r="DMG2959" s="12"/>
      <c r="DMH2959" s="12"/>
      <c r="DMI2959" s="12"/>
      <c r="DMJ2959" s="12"/>
      <c r="DMK2959" s="12"/>
      <c r="DML2959" s="12"/>
      <c r="DMM2959" s="12"/>
      <c r="DMN2959" s="12"/>
      <c r="DMO2959" s="12"/>
      <c r="DMP2959" s="12"/>
      <c r="DMQ2959" s="12"/>
    </row>
    <row r="2960" spans="3044:3059">
      <c r="DMB2960" s="12"/>
      <c r="DMC2960" s="12"/>
      <c r="DMD2960" s="12"/>
      <c r="DME2960" s="12"/>
      <c r="DMF2960" s="12"/>
      <c r="DMG2960" s="12"/>
      <c r="DMH2960" s="12"/>
      <c r="DMI2960" s="12"/>
      <c r="DMJ2960" s="12"/>
      <c r="DMK2960" s="12"/>
      <c r="DML2960" s="12"/>
      <c r="DMM2960" s="12"/>
      <c r="DMN2960" s="12"/>
      <c r="DMO2960" s="12"/>
      <c r="DMP2960" s="12"/>
      <c r="DMQ2960" s="12"/>
    </row>
    <row r="2961" spans="3044:3059">
      <c r="DMB2961" s="12"/>
      <c r="DMC2961" s="12"/>
      <c r="DMD2961" s="12"/>
      <c r="DME2961" s="12"/>
      <c r="DMF2961" s="12"/>
      <c r="DMG2961" s="12"/>
      <c r="DMH2961" s="12"/>
      <c r="DMI2961" s="12"/>
      <c r="DMJ2961" s="12"/>
      <c r="DMK2961" s="12"/>
      <c r="DML2961" s="12"/>
      <c r="DMM2961" s="12"/>
      <c r="DMN2961" s="12"/>
      <c r="DMO2961" s="12"/>
      <c r="DMP2961" s="12"/>
      <c r="DMQ2961" s="12"/>
    </row>
    <row r="2962" spans="3044:3059">
      <c r="DMB2962" s="12"/>
      <c r="DMC2962" s="12"/>
      <c r="DMD2962" s="12"/>
      <c r="DME2962" s="12"/>
      <c r="DMF2962" s="12"/>
      <c r="DMG2962" s="12"/>
      <c r="DMH2962" s="12"/>
      <c r="DMI2962" s="12"/>
      <c r="DMJ2962" s="12"/>
      <c r="DMK2962" s="12"/>
      <c r="DML2962" s="12"/>
      <c r="DMM2962" s="12"/>
      <c r="DMN2962" s="12"/>
      <c r="DMO2962" s="12"/>
      <c r="DMP2962" s="12"/>
      <c r="DMQ2962" s="12"/>
    </row>
    <row r="2963" spans="3044:3059">
      <c r="DMB2963" s="12"/>
      <c r="DMC2963" s="12"/>
      <c r="DMD2963" s="12"/>
      <c r="DME2963" s="12"/>
      <c r="DMF2963" s="12"/>
      <c r="DMG2963" s="12"/>
      <c r="DMH2963" s="12"/>
      <c r="DMI2963" s="12"/>
      <c r="DMJ2963" s="12"/>
      <c r="DMK2963" s="12"/>
      <c r="DML2963" s="12"/>
      <c r="DMM2963" s="12"/>
      <c r="DMN2963" s="12"/>
      <c r="DMO2963" s="12"/>
      <c r="DMP2963" s="12"/>
      <c r="DMQ2963" s="12"/>
    </row>
    <row r="2964" spans="3044:3059">
      <c r="DMB2964" s="12"/>
      <c r="DMC2964" s="12"/>
      <c r="DMD2964" s="12"/>
      <c r="DME2964" s="12"/>
      <c r="DMF2964" s="12"/>
      <c r="DMG2964" s="12"/>
      <c r="DMH2964" s="12"/>
      <c r="DMI2964" s="12"/>
      <c r="DMJ2964" s="12"/>
      <c r="DMK2964" s="12"/>
      <c r="DML2964" s="12"/>
      <c r="DMM2964" s="12"/>
      <c r="DMN2964" s="12"/>
      <c r="DMO2964" s="12"/>
      <c r="DMP2964" s="12"/>
      <c r="DMQ2964" s="12"/>
    </row>
    <row r="2965" spans="3044:3059">
      <c r="DMB2965" s="12"/>
      <c r="DMC2965" s="12"/>
      <c r="DMD2965" s="12"/>
      <c r="DME2965" s="12"/>
      <c r="DMF2965" s="12"/>
      <c r="DMG2965" s="12"/>
      <c r="DMH2965" s="12"/>
      <c r="DMI2965" s="12"/>
      <c r="DMJ2965" s="12"/>
      <c r="DMK2965" s="12"/>
      <c r="DML2965" s="12"/>
      <c r="DMM2965" s="12"/>
      <c r="DMN2965" s="12"/>
      <c r="DMO2965" s="12"/>
      <c r="DMP2965" s="12"/>
      <c r="DMQ2965" s="12"/>
    </row>
    <row r="2966" spans="3044:3059">
      <c r="DMB2966" s="12"/>
      <c r="DMC2966" s="12"/>
      <c r="DMD2966" s="12"/>
      <c r="DME2966" s="12"/>
      <c r="DMF2966" s="12"/>
      <c r="DMG2966" s="12"/>
      <c r="DMH2966" s="12"/>
      <c r="DMI2966" s="12"/>
      <c r="DMJ2966" s="12"/>
      <c r="DMK2966" s="12"/>
      <c r="DML2966" s="12"/>
      <c r="DMM2966" s="12"/>
      <c r="DMN2966" s="12"/>
      <c r="DMO2966" s="12"/>
      <c r="DMP2966" s="12"/>
      <c r="DMQ2966" s="12"/>
    </row>
    <row r="2967" spans="3044:3059">
      <c r="DMB2967" s="12"/>
      <c r="DMC2967" s="12"/>
      <c r="DMD2967" s="12"/>
      <c r="DME2967" s="12"/>
      <c r="DMF2967" s="12"/>
      <c r="DMG2967" s="12"/>
      <c r="DMH2967" s="12"/>
      <c r="DMI2967" s="12"/>
      <c r="DMJ2967" s="12"/>
      <c r="DMK2967" s="12"/>
      <c r="DML2967" s="12"/>
      <c r="DMM2967" s="12"/>
      <c r="DMN2967" s="12"/>
      <c r="DMO2967" s="12"/>
      <c r="DMP2967" s="12"/>
      <c r="DMQ2967" s="12"/>
    </row>
    <row r="2968" spans="3044:3059">
      <c r="DMB2968" s="12"/>
      <c r="DMC2968" s="12"/>
      <c r="DMD2968" s="12"/>
      <c r="DME2968" s="12"/>
      <c r="DMF2968" s="12"/>
      <c r="DMG2968" s="12"/>
      <c r="DMH2968" s="12"/>
      <c r="DMI2968" s="12"/>
      <c r="DMJ2968" s="12"/>
      <c r="DMK2968" s="12"/>
      <c r="DML2968" s="12"/>
      <c r="DMM2968" s="12"/>
      <c r="DMN2968" s="12"/>
      <c r="DMO2968" s="12"/>
      <c r="DMP2968" s="12"/>
      <c r="DMQ2968" s="12"/>
    </row>
    <row r="2969" spans="3044:3059">
      <c r="DMB2969" s="12"/>
      <c r="DMC2969" s="12"/>
      <c r="DMD2969" s="12"/>
      <c r="DME2969" s="12"/>
      <c r="DMF2969" s="12"/>
      <c r="DMG2969" s="12"/>
      <c r="DMH2969" s="12"/>
      <c r="DMI2969" s="12"/>
      <c r="DMJ2969" s="12"/>
      <c r="DMK2969" s="12"/>
      <c r="DML2969" s="12"/>
      <c r="DMM2969" s="12"/>
      <c r="DMN2969" s="12"/>
      <c r="DMO2969" s="12"/>
      <c r="DMP2969" s="12"/>
      <c r="DMQ2969" s="12"/>
    </row>
    <row r="2970" spans="3044:3059">
      <c r="DMB2970" s="12"/>
      <c r="DMC2970" s="12"/>
      <c r="DMD2970" s="12"/>
      <c r="DME2970" s="12"/>
      <c r="DMF2970" s="12"/>
      <c r="DMG2970" s="12"/>
      <c r="DMH2970" s="12"/>
      <c r="DMI2970" s="12"/>
      <c r="DMJ2970" s="12"/>
      <c r="DMK2970" s="12"/>
      <c r="DML2970" s="12"/>
      <c r="DMM2970" s="12"/>
      <c r="DMN2970" s="12"/>
      <c r="DMO2970" s="12"/>
      <c r="DMP2970" s="12"/>
      <c r="DMQ2970" s="12"/>
    </row>
    <row r="2971" spans="3044:3059">
      <c r="DMB2971" s="12"/>
      <c r="DMC2971" s="12"/>
      <c r="DMD2971" s="12"/>
      <c r="DME2971" s="12"/>
      <c r="DMF2971" s="12"/>
      <c r="DMG2971" s="12"/>
      <c r="DMH2971" s="12"/>
      <c r="DMI2971" s="12"/>
      <c r="DMJ2971" s="12"/>
      <c r="DMK2971" s="12"/>
      <c r="DML2971" s="12"/>
      <c r="DMM2971" s="12"/>
      <c r="DMN2971" s="12"/>
      <c r="DMO2971" s="12"/>
      <c r="DMP2971" s="12"/>
      <c r="DMQ2971" s="12"/>
    </row>
    <row r="2972" spans="3044:3059">
      <c r="DMB2972" s="12"/>
      <c r="DMC2972" s="12"/>
      <c r="DMD2972" s="12"/>
      <c r="DME2972" s="12"/>
      <c r="DMF2972" s="12"/>
      <c r="DMG2972" s="12"/>
      <c r="DMH2972" s="12"/>
      <c r="DMI2972" s="12"/>
      <c r="DMJ2972" s="12"/>
      <c r="DMK2972" s="12"/>
      <c r="DML2972" s="12"/>
      <c r="DMM2972" s="12"/>
      <c r="DMN2972" s="12"/>
      <c r="DMO2972" s="12"/>
      <c r="DMP2972" s="12"/>
      <c r="DMQ2972" s="12"/>
    </row>
    <row r="2973" spans="3044:3059">
      <c r="DMB2973" s="12"/>
      <c r="DMC2973" s="12"/>
      <c r="DMD2973" s="12"/>
      <c r="DME2973" s="12"/>
      <c r="DMF2973" s="12"/>
      <c r="DMG2973" s="12"/>
      <c r="DMH2973" s="12"/>
      <c r="DMI2973" s="12"/>
      <c r="DMJ2973" s="12"/>
      <c r="DMK2973" s="12"/>
      <c r="DML2973" s="12"/>
      <c r="DMM2973" s="12"/>
      <c r="DMN2973" s="12"/>
      <c r="DMO2973" s="12"/>
      <c r="DMP2973" s="12"/>
      <c r="DMQ2973" s="12"/>
    </row>
    <row r="2974" spans="3044:3059">
      <c r="DMB2974" s="12"/>
      <c r="DMC2974" s="12"/>
      <c r="DMD2974" s="12"/>
      <c r="DME2974" s="12"/>
      <c r="DMF2974" s="12"/>
      <c r="DMG2974" s="12"/>
      <c r="DMH2974" s="12"/>
      <c r="DMI2974" s="12"/>
      <c r="DMJ2974" s="12"/>
      <c r="DMK2974" s="12"/>
      <c r="DML2974" s="12"/>
      <c r="DMM2974" s="12"/>
      <c r="DMN2974" s="12"/>
      <c r="DMO2974" s="12"/>
      <c r="DMP2974" s="12"/>
      <c r="DMQ2974" s="12"/>
    </row>
    <row r="2975" spans="3044:3059">
      <c r="DMB2975" s="12"/>
      <c r="DMC2975" s="12"/>
      <c r="DMD2975" s="12"/>
      <c r="DME2975" s="12"/>
      <c r="DMF2975" s="12"/>
      <c r="DMG2975" s="12"/>
      <c r="DMH2975" s="12"/>
      <c r="DMI2975" s="12"/>
      <c r="DMJ2975" s="12"/>
      <c r="DMK2975" s="12"/>
      <c r="DML2975" s="12"/>
      <c r="DMM2975" s="12"/>
      <c r="DMN2975" s="12"/>
      <c r="DMO2975" s="12"/>
      <c r="DMP2975" s="12"/>
      <c r="DMQ2975" s="12"/>
    </row>
    <row r="2976" spans="3044:3059">
      <c r="DMB2976" s="12"/>
      <c r="DMC2976" s="12"/>
      <c r="DMD2976" s="12"/>
      <c r="DME2976" s="12"/>
      <c r="DMF2976" s="12"/>
      <c r="DMG2976" s="12"/>
      <c r="DMH2976" s="12"/>
      <c r="DMI2976" s="12"/>
      <c r="DMJ2976" s="12"/>
      <c r="DMK2976" s="12"/>
      <c r="DML2976" s="12"/>
      <c r="DMM2976" s="12"/>
      <c r="DMN2976" s="12"/>
      <c r="DMO2976" s="12"/>
      <c r="DMP2976" s="12"/>
      <c r="DMQ2976" s="12"/>
    </row>
    <row r="2977" spans="3044:3059">
      <c r="DMB2977" s="12"/>
      <c r="DMC2977" s="12"/>
      <c r="DMD2977" s="12"/>
      <c r="DME2977" s="12"/>
      <c r="DMF2977" s="12"/>
      <c r="DMG2977" s="12"/>
      <c r="DMH2977" s="12"/>
      <c r="DMI2977" s="12"/>
      <c r="DMJ2977" s="12"/>
      <c r="DMK2977" s="12"/>
      <c r="DML2977" s="12"/>
      <c r="DMM2977" s="12"/>
      <c r="DMN2977" s="12"/>
      <c r="DMO2977" s="12"/>
      <c r="DMP2977" s="12"/>
      <c r="DMQ2977" s="12"/>
    </row>
    <row r="2978" spans="3044:3059">
      <c r="DMB2978" s="12"/>
      <c r="DMC2978" s="12"/>
      <c r="DMD2978" s="12"/>
      <c r="DME2978" s="12"/>
      <c r="DMF2978" s="12"/>
      <c r="DMG2978" s="12"/>
      <c r="DMH2978" s="12"/>
      <c r="DMI2978" s="12"/>
      <c r="DMJ2978" s="12"/>
      <c r="DMK2978" s="12"/>
      <c r="DML2978" s="12"/>
      <c r="DMM2978" s="12"/>
      <c r="DMN2978" s="12"/>
      <c r="DMO2978" s="12"/>
      <c r="DMP2978" s="12"/>
      <c r="DMQ2978" s="12"/>
    </row>
    <row r="2979" spans="3044:3059">
      <c r="DMB2979" s="12"/>
      <c r="DMC2979" s="12"/>
      <c r="DMD2979" s="12"/>
      <c r="DME2979" s="12"/>
      <c r="DMF2979" s="12"/>
      <c r="DMG2979" s="12"/>
      <c r="DMH2979" s="12"/>
      <c r="DMI2979" s="12"/>
      <c r="DMJ2979" s="12"/>
      <c r="DMK2979" s="12"/>
      <c r="DML2979" s="12"/>
      <c r="DMM2979" s="12"/>
      <c r="DMN2979" s="12"/>
      <c r="DMO2979" s="12"/>
      <c r="DMP2979" s="12"/>
      <c r="DMQ2979" s="12"/>
    </row>
    <row r="2980" spans="3044:3059">
      <c r="DMB2980" s="12"/>
      <c r="DMC2980" s="12"/>
      <c r="DMD2980" s="12"/>
      <c r="DME2980" s="12"/>
      <c r="DMF2980" s="12"/>
      <c r="DMG2980" s="12"/>
      <c r="DMH2980" s="12"/>
      <c r="DMI2980" s="12"/>
      <c r="DMJ2980" s="12"/>
      <c r="DMK2980" s="12"/>
      <c r="DML2980" s="12"/>
      <c r="DMM2980" s="12"/>
      <c r="DMN2980" s="12"/>
      <c r="DMO2980" s="12"/>
      <c r="DMP2980" s="12"/>
      <c r="DMQ2980" s="12"/>
    </row>
    <row r="2981" spans="3044:3059">
      <c r="DMB2981" s="12"/>
      <c r="DMC2981" s="12"/>
      <c r="DMD2981" s="12"/>
      <c r="DME2981" s="12"/>
      <c r="DMF2981" s="12"/>
      <c r="DMG2981" s="12"/>
      <c r="DMH2981" s="12"/>
      <c r="DMI2981" s="12"/>
      <c r="DMJ2981" s="12"/>
      <c r="DMK2981" s="12"/>
      <c r="DML2981" s="12"/>
      <c r="DMM2981" s="12"/>
      <c r="DMN2981" s="12"/>
      <c r="DMO2981" s="12"/>
      <c r="DMP2981" s="12"/>
      <c r="DMQ2981" s="12"/>
    </row>
    <row r="2982" spans="3044:3059">
      <c r="DMB2982" s="12"/>
      <c r="DMC2982" s="12"/>
      <c r="DMD2982" s="12"/>
      <c r="DME2982" s="12"/>
      <c r="DMF2982" s="12"/>
      <c r="DMG2982" s="12"/>
      <c r="DMH2982" s="12"/>
      <c r="DMI2982" s="12"/>
      <c r="DMJ2982" s="12"/>
      <c r="DMK2982" s="12"/>
      <c r="DML2982" s="12"/>
      <c r="DMM2982" s="12"/>
      <c r="DMN2982" s="12"/>
      <c r="DMO2982" s="12"/>
      <c r="DMP2982" s="12"/>
      <c r="DMQ2982" s="12"/>
    </row>
    <row r="2983" spans="3044:3059">
      <c r="DMB2983" s="12"/>
      <c r="DMC2983" s="12"/>
      <c r="DMD2983" s="12"/>
      <c r="DME2983" s="12"/>
      <c r="DMF2983" s="12"/>
      <c r="DMG2983" s="12"/>
      <c r="DMH2983" s="12"/>
      <c r="DMI2983" s="12"/>
      <c r="DMJ2983" s="12"/>
      <c r="DMK2983" s="12"/>
      <c r="DML2983" s="12"/>
      <c r="DMM2983" s="12"/>
      <c r="DMN2983" s="12"/>
      <c r="DMO2983" s="12"/>
      <c r="DMP2983" s="12"/>
      <c r="DMQ2983" s="12"/>
    </row>
    <row r="2984" spans="3044:3059">
      <c r="DMB2984" s="12"/>
      <c r="DMC2984" s="12"/>
      <c r="DMD2984" s="12"/>
      <c r="DME2984" s="12"/>
      <c r="DMF2984" s="12"/>
      <c r="DMG2984" s="12"/>
      <c r="DMH2984" s="12"/>
      <c r="DMI2984" s="12"/>
      <c r="DMJ2984" s="12"/>
      <c r="DMK2984" s="12"/>
      <c r="DML2984" s="12"/>
      <c r="DMM2984" s="12"/>
      <c r="DMN2984" s="12"/>
      <c r="DMO2984" s="12"/>
      <c r="DMP2984" s="12"/>
      <c r="DMQ2984" s="12"/>
    </row>
    <row r="2985" spans="3044:3059">
      <c r="DMB2985" s="12"/>
      <c r="DMC2985" s="12"/>
      <c r="DMD2985" s="12"/>
      <c r="DME2985" s="12"/>
      <c r="DMF2985" s="12"/>
      <c r="DMG2985" s="12"/>
      <c r="DMH2985" s="12"/>
      <c r="DMI2985" s="12"/>
      <c r="DMJ2985" s="12"/>
      <c r="DMK2985" s="12"/>
      <c r="DML2985" s="12"/>
      <c r="DMM2985" s="12"/>
      <c r="DMN2985" s="12"/>
      <c r="DMO2985" s="12"/>
      <c r="DMP2985" s="12"/>
      <c r="DMQ2985" s="12"/>
    </row>
    <row r="2986" spans="3044:3059">
      <c r="DMB2986" s="12"/>
      <c r="DMC2986" s="12"/>
      <c r="DMD2986" s="12"/>
      <c r="DME2986" s="12"/>
      <c r="DMF2986" s="12"/>
      <c r="DMG2986" s="12"/>
      <c r="DMH2986" s="12"/>
      <c r="DMI2986" s="12"/>
      <c r="DMJ2986" s="12"/>
      <c r="DMK2986" s="12"/>
      <c r="DML2986" s="12"/>
      <c r="DMM2986" s="12"/>
      <c r="DMN2986" s="12"/>
      <c r="DMO2986" s="12"/>
      <c r="DMP2986" s="12"/>
      <c r="DMQ2986" s="12"/>
    </row>
    <row r="2987" spans="3044:3059">
      <c r="DMB2987" s="12"/>
      <c r="DMC2987" s="12"/>
      <c r="DMD2987" s="12"/>
      <c r="DME2987" s="12"/>
      <c r="DMF2987" s="12"/>
      <c r="DMG2987" s="12"/>
      <c r="DMH2987" s="12"/>
      <c r="DMI2987" s="12"/>
      <c r="DMJ2987" s="12"/>
      <c r="DMK2987" s="12"/>
      <c r="DML2987" s="12"/>
      <c r="DMM2987" s="12"/>
      <c r="DMN2987" s="12"/>
      <c r="DMO2987" s="12"/>
      <c r="DMP2987" s="12"/>
      <c r="DMQ2987" s="12"/>
    </row>
    <row r="2988" spans="3044:3059">
      <c r="DMB2988" s="12"/>
      <c r="DMC2988" s="12"/>
      <c r="DMD2988" s="12"/>
      <c r="DME2988" s="12"/>
      <c r="DMF2988" s="12"/>
      <c r="DMG2988" s="12"/>
      <c r="DMH2988" s="12"/>
      <c r="DMI2988" s="12"/>
      <c r="DMJ2988" s="12"/>
      <c r="DMK2988" s="12"/>
      <c r="DML2988" s="12"/>
      <c r="DMM2988" s="12"/>
      <c r="DMN2988" s="12"/>
      <c r="DMO2988" s="12"/>
      <c r="DMP2988" s="12"/>
      <c r="DMQ2988" s="12"/>
    </row>
    <row r="2989" spans="3044:3059">
      <c r="DMB2989" s="12"/>
      <c r="DMC2989" s="12"/>
      <c r="DMD2989" s="12"/>
      <c r="DME2989" s="12"/>
      <c r="DMF2989" s="12"/>
      <c r="DMG2989" s="12"/>
      <c r="DMH2989" s="12"/>
      <c r="DMI2989" s="12"/>
      <c r="DMJ2989" s="12"/>
      <c r="DMK2989" s="12"/>
      <c r="DML2989" s="12"/>
      <c r="DMM2989" s="12"/>
      <c r="DMN2989" s="12"/>
      <c r="DMO2989" s="12"/>
      <c r="DMP2989" s="12"/>
      <c r="DMQ2989" s="12"/>
    </row>
    <row r="2990" spans="3044:3059">
      <c r="DMB2990" s="12"/>
      <c r="DMC2990" s="12"/>
      <c r="DMD2990" s="12"/>
      <c r="DME2990" s="12"/>
      <c r="DMF2990" s="12"/>
      <c r="DMG2990" s="12"/>
      <c r="DMH2990" s="12"/>
      <c r="DMI2990" s="12"/>
      <c r="DMJ2990" s="12"/>
      <c r="DMK2990" s="12"/>
      <c r="DML2990" s="12"/>
      <c r="DMM2990" s="12"/>
      <c r="DMN2990" s="12"/>
      <c r="DMO2990" s="12"/>
      <c r="DMP2990" s="12"/>
      <c r="DMQ2990" s="12"/>
    </row>
    <row r="2991" spans="3044:3059">
      <c r="DMB2991" s="12"/>
      <c r="DMC2991" s="12"/>
      <c r="DMD2991" s="12"/>
      <c r="DME2991" s="12"/>
      <c r="DMF2991" s="12"/>
      <c r="DMG2991" s="12"/>
      <c r="DMH2991" s="12"/>
      <c r="DMI2991" s="12"/>
      <c r="DMJ2991" s="12"/>
      <c r="DMK2991" s="12"/>
      <c r="DML2991" s="12"/>
      <c r="DMM2991" s="12"/>
      <c r="DMN2991" s="12"/>
      <c r="DMO2991" s="12"/>
      <c r="DMP2991" s="12"/>
      <c r="DMQ2991" s="12"/>
    </row>
    <row r="2992" spans="3044:3059">
      <c r="DMB2992" s="12"/>
      <c r="DMC2992" s="12"/>
      <c r="DMD2992" s="12"/>
      <c r="DME2992" s="12"/>
      <c r="DMF2992" s="12"/>
      <c r="DMG2992" s="12"/>
      <c r="DMH2992" s="12"/>
      <c r="DMI2992" s="12"/>
      <c r="DMJ2992" s="12"/>
      <c r="DMK2992" s="12"/>
      <c r="DML2992" s="12"/>
      <c r="DMM2992" s="12"/>
      <c r="DMN2992" s="12"/>
      <c r="DMO2992" s="12"/>
      <c r="DMP2992" s="12"/>
      <c r="DMQ2992" s="12"/>
    </row>
    <row r="2993" spans="3044:3059">
      <c r="DMB2993" s="12"/>
      <c r="DMC2993" s="12"/>
      <c r="DMD2993" s="12"/>
      <c r="DME2993" s="12"/>
      <c r="DMF2993" s="12"/>
      <c r="DMG2993" s="12"/>
      <c r="DMH2993" s="12"/>
      <c r="DMI2993" s="12"/>
      <c r="DMJ2993" s="12"/>
      <c r="DMK2993" s="12"/>
      <c r="DML2993" s="12"/>
      <c r="DMM2993" s="12"/>
      <c r="DMN2993" s="12"/>
      <c r="DMO2993" s="12"/>
      <c r="DMP2993" s="12"/>
      <c r="DMQ2993" s="12"/>
    </row>
    <row r="2994" spans="3044:3059">
      <c r="DMB2994" s="12"/>
      <c r="DMC2994" s="12"/>
      <c r="DMD2994" s="12"/>
      <c r="DME2994" s="12"/>
      <c r="DMF2994" s="12"/>
      <c r="DMG2994" s="12"/>
      <c r="DMH2994" s="12"/>
      <c r="DMI2994" s="12"/>
      <c r="DMJ2994" s="12"/>
      <c r="DMK2994" s="12"/>
      <c r="DML2994" s="12"/>
      <c r="DMM2994" s="12"/>
      <c r="DMN2994" s="12"/>
      <c r="DMO2994" s="12"/>
      <c r="DMP2994" s="12"/>
      <c r="DMQ2994" s="12"/>
    </row>
    <row r="2995" spans="3044:3059">
      <c r="DMB2995" s="12"/>
      <c r="DMC2995" s="12"/>
      <c r="DMD2995" s="12"/>
      <c r="DME2995" s="12"/>
      <c r="DMF2995" s="12"/>
      <c r="DMG2995" s="12"/>
      <c r="DMH2995" s="12"/>
      <c r="DMI2995" s="12"/>
      <c r="DMJ2995" s="12"/>
      <c r="DMK2995" s="12"/>
      <c r="DML2995" s="12"/>
      <c r="DMM2995" s="12"/>
      <c r="DMN2995" s="12"/>
      <c r="DMO2995" s="12"/>
      <c r="DMP2995" s="12"/>
      <c r="DMQ2995" s="12"/>
    </row>
    <row r="2996" spans="3044:3059">
      <c r="DMB2996" s="12"/>
      <c r="DMC2996" s="12"/>
      <c r="DMD2996" s="12"/>
      <c r="DME2996" s="12"/>
      <c r="DMF2996" s="12"/>
      <c r="DMG2996" s="12"/>
      <c r="DMH2996" s="12"/>
      <c r="DMI2996" s="12"/>
      <c r="DMJ2996" s="12"/>
      <c r="DMK2996" s="12"/>
      <c r="DML2996" s="12"/>
      <c r="DMM2996" s="12"/>
      <c r="DMN2996" s="12"/>
      <c r="DMO2996" s="12"/>
      <c r="DMP2996" s="12"/>
      <c r="DMQ2996" s="12"/>
    </row>
    <row r="2997" spans="3044:3059">
      <c r="DMB2997" s="12"/>
      <c r="DMC2997" s="12"/>
      <c r="DMD2997" s="12"/>
      <c r="DME2997" s="12"/>
      <c r="DMF2997" s="12"/>
      <c r="DMG2997" s="12"/>
      <c r="DMH2997" s="12"/>
      <c r="DMI2997" s="12"/>
      <c r="DMJ2997" s="12"/>
      <c r="DMK2997" s="12"/>
      <c r="DML2997" s="12"/>
      <c r="DMM2997" s="12"/>
      <c r="DMN2997" s="12"/>
      <c r="DMO2997" s="12"/>
      <c r="DMP2997" s="12"/>
      <c r="DMQ2997" s="12"/>
    </row>
    <row r="2998" spans="3044:3059">
      <c r="DMB2998" s="12"/>
      <c r="DMC2998" s="12"/>
      <c r="DMD2998" s="12"/>
      <c r="DME2998" s="12"/>
      <c r="DMF2998" s="12"/>
      <c r="DMG2998" s="12"/>
      <c r="DMH2998" s="12"/>
      <c r="DMI2998" s="12"/>
      <c r="DMJ2998" s="12"/>
      <c r="DMK2998" s="12"/>
      <c r="DML2998" s="12"/>
      <c r="DMM2998" s="12"/>
      <c r="DMN2998" s="12"/>
      <c r="DMO2998" s="12"/>
      <c r="DMP2998" s="12"/>
      <c r="DMQ2998" s="12"/>
    </row>
    <row r="2999" spans="3044:3059">
      <c r="DMB2999" s="12"/>
      <c r="DMC2999" s="12"/>
      <c r="DMD2999" s="12"/>
      <c r="DME2999" s="12"/>
      <c r="DMF2999" s="12"/>
      <c r="DMG2999" s="12"/>
      <c r="DMH2999" s="12"/>
      <c r="DMI2999" s="12"/>
      <c r="DMJ2999" s="12"/>
      <c r="DMK2999" s="12"/>
      <c r="DML2999" s="12"/>
      <c r="DMM2999" s="12"/>
      <c r="DMN2999" s="12"/>
      <c r="DMO2999" s="12"/>
      <c r="DMP2999" s="12"/>
      <c r="DMQ2999" s="12"/>
    </row>
    <row r="3000" spans="3044:3059">
      <c r="DMB3000" s="12"/>
      <c r="DMC3000" s="12"/>
      <c r="DMD3000" s="12"/>
      <c r="DME3000" s="12"/>
      <c r="DMF3000" s="12"/>
      <c r="DMG3000" s="12"/>
      <c r="DMH3000" s="12"/>
      <c r="DMI3000" s="12"/>
      <c r="DMJ3000" s="12"/>
      <c r="DMK3000" s="12"/>
      <c r="DML3000" s="12"/>
      <c r="DMM3000" s="12"/>
      <c r="DMN3000" s="12"/>
      <c r="DMO3000" s="12"/>
      <c r="DMP3000" s="12"/>
      <c r="DMQ3000"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dcterms:created xsi:type="dcterms:W3CDTF">2006-09-16T00:00:00Z</dcterms:created>
  <dcterms:modified xsi:type="dcterms:W3CDTF">2020-06-19T11:13:52Z</dcterms:modified>
</cp:coreProperties>
</file>